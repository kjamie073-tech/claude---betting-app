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Bets" sheetId="3" state="visible" r:id="rId3"/>
    <sheet xmlns:r="http://schemas.openxmlformats.org/officeDocument/2006/relationships" name="How to use" sheetId="4" state="visible" r:id="rId4"/>
  </sheets>
  <definedNames>
    <definedName name="StartBank">Settings!$B$3</definedName>
    <definedName name="StartDate">Settings!$B$4</definedName>
    <definedName name="UnitPct">Settings!$B$5</definedName>
    <definedName name="KellySingle">Settings!$B$6</definedName>
    <definedName name="KellyBuilder">Settings!$B$7</definedName>
    <definedName name="MinEdgeSingle">Settings!$B$8</definedName>
    <definedName name="MinEdgePlayer">Settings!$B$9</definedName>
    <definedName name="MinEdgeBuilder">Settings!$B$10</definedName>
    <definedName name="CapSingle">Settings!$B$11</definedName>
    <definedName name="CapBuilder">Settings!$B$12</definedName>
    <definedName name="CapDay">Settings!$B$13</definedName>
    <definedName name="StopLoss">Settings!$B$14</definedName>
    <definedName name="CurrentBank">Settings!$B$16</definedName>
    <definedName name="Unit">Settings!$B$17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.00"/>
    <numFmt numFmtId="165" formatCode="yyyy-mm-dd"/>
    <numFmt numFmtId="166" formatCode="dd mmm yyyy"/>
    <numFmt numFmtId="167" formatCode="0.0%"/>
    <numFmt numFmtId="168" formatCode="dd/mm/yyyy"/>
    <numFmt numFmtId="169" formatCode="mmm yyyy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/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1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2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4" fontId="0" fillId="2" borderId="0" pivotButton="0" quotePrefix="0" xfId="0"/>
    <xf numFmtId="166" fontId="0" fillId="2" borderId="0" pivotButton="0" quotePrefix="0" xfId="0"/>
    <xf numFmtId="167" fontId="0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168" fontId="0" fillId="2" borderId="0" pivotButton="0" quotePrefix="0" xfId="0"/>
    <xf numFmtId="2" fontId="0" fillId="2" borderId="0" pivotButton="0" quotePrefix="0" xfId="0"/>
    <xf numFmtId="2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F2D9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Bank at month 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'Summary'!F37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'Summary'!$A$38:$A$61</f>
            </numRef>
          </cat>
          <val>
            <numRef>
              <f>'Summary'!$F$38:$F$61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Betting record</t>
        </is>
      </c>
    </row>
    <row r="3">
      <c r="A3" t="inlineStr">
        <is>
          <t>Bets placed</t>
        </is>
      </c>
      <c r="B3" s="2">
        <f>COUNTA(Bets!$L$2:$L$2001)</f>
        <v/>
      </c>
    </row>
    <row r="4">
      <c r="A4" t="inlineStr">
        <is>
          <t>Settled</t>
        </is>
      </c>
      <c r="B4" s="2">
        <f>COUNTIFS(Bets!$M$2:$M$2001,"&lt;&gt;Pending",Bets!$M$2:$M$2001,"&lt;&gt;",Bets!$L$2:$L$2001,"&lt;&gt;")</f>
        <v/>
      </c>
    </row>
    <row r="5">
      <c r="A5" t="inlineStr">
        <is>
          <t>Pending</t>
        </is>
      </c>
      <c r="B5" s="2">
        <f>COUNTIFS(Bets!$M$2:$M$2001,"Pending")</f>
        <v/>
      </c>
    </row>
    <row r="6">
      <c r="A6" t="inlineStr">
        <is>
          <t>Total staked (settled)</t>
        </is>
      </c>
      <c r="B6" s="3">
        <f>SUMIFS(Bets!$L$2:$L$2001,Bets!$M$2:$M$2001,"&lt;&gt;Pending",Bets!$M$2:$M$2001,"&lt;&gt;")</f>
        <v/>
      </c>
    </row>
    <row r="7">
      <c r="A7" t="inlineStr">
        <is>
          <t>Total returned</t>
        </is>
      </c>
      <c r="B7" s="3">
        <f>SUM(Bets!$O$2:$O$2001)</f>
        <v/>
      </c>
    </row>
    <row r="8">
      <c r="A8" t="inlineStr">
        <is>
          <t>Profit / loss</t>
        </is>
      </c>
      <c r="B8" s="4">
        <f>SUM(Bets!$P$2:$P$2001)</f>
        <v/>
      </c>
    </row>
    <row r="9">
      <c r="A9" t="inlineStr">
        <is>
          <t>ROI (profit ÷ staked)</t>
        </is>
      </c>
      <c r="B9" s="5">
        <f>IF(SUMIFS(Bets!$L$2:$L$2001,Bets!$M$2:$M$2001,"&lt;&gt;Pending",Bets!$M$2:$M$2001,"&lt;&gt;")=0,"",SUM(Bets!$P$2:$P$2001)/SUMIFS(Bets!$L$2:$L$2001,Bets!$M$2:$M$2001,"&lt;&gt;Pending",Bets!$M$2:$M$2001,"&lt;&gt;"))</f>
        <v/>
      </c>
    </row>
    <row r="10">
      <c r="A10" t="inlineStr">
        <is>
          <t>Strike rate (won ÷ won+lost)</t>
        </is>
      </c>
      <c r="B10" s="6">
        <f>IFERROR(COUNTIFS(Bets!$M$2:$M$2001,"Won")/(COUNTIFS(Bets!$M$2:$M$2001,"Won")+COUNTIFS(Bets!$M$2:$M$2001,"Lost")),"")</f>
        <v/>
      </c>
    </row>
    <row r="11">
      <c r="A11" t="inlineStr">
        <is>
          <t>Average odds (settled)</t>
        </is>
      </c>
      <c r="B11" s="7">
        <f>IFERROR(SUMPRODUCT((Bets!$M$2:$M$2001="Won")+(Bets!$M$2:$M$2001="Lost"),Bets!$G$2:$G$2001)/(COUNTIFS(Bets!$M$2:$M$2001,"Won")+COUNTIFS(Bets!$M$2:$M$2001,"Lost")),"")</f>
        <v/>
      </c>
    </row>
    <row r="12">
      <c r="A12" t="inlineStr">
        <is>
          <t>Expected profit (model)</t>
        </is>
      </c>
      <c r="B12" s="3">
        <f>SUMIFS(Bets!$S$2:$S$2001,Bets!$M$2:$M$2001,"&lt;&gt;Pending",Bets!$M$2:$M$2001,"&lt;&gt;")</f>
        <v/>
      </c>
    </row>
    <row r="13">
      <c r="A13" t="inlineStr">
        <is>
          <t>Actual minus expected</t>
        </is>
      </c>
      <c r="B13" s="3">
        <f>B8-B12</f>
        <v/>
      </c>
    </row>
    <row r="14">
      <c r="A14" t="inlineStr">
        <is>
          <t>Average closing-line value</t>
        </is>
      </c>
      <c r="B14" s="6">
        <f>IFERROR(AVERAGE(Bets!$R$2:$R$2001),"")</f>
        <v/>
      </c>
    </row>
    <row r="15">
      <c r="A15" t="inlineStr">
        <is>
          <t>Bets that beat the closing odds</t>
        </is>
      </c>
      <c r="B15" s="6">
        <f>IFERROR(COUNTIF(Bets!$R$2:$R$2001,"&gt;0")/COUNT(Bets!$R$2:$R$2001),"")</f>
        <v/>
      </c>
    </row>
    <row r="16">
      <c r="A16" t="inlineStr">
        <is>
          <t>Current bank</t>
        </is>
      </c>
      <c r="B16" s="3">
        <f>CurrentBank</f>
        <v/>
      </c>
    </row>
    <row r="17">
      <c r="A17" t="inlineStr">
        <is>
          <t>Bank change since start</t>
        </is>
      </c>
      <c r="B17" s="6">
        <f>IF(StartBank=0,"",CurrentBank/StartBank-1)</f>
        <v/>
      </c>
    </row>
    <row r="19" ht="45" customHeight="1">
      <c r="A19" s="8" t="inlineStr">
        <is>
          <t>ROI is your real return per £ staked. Closing-line value (CLV) shows whether you are getting better odds than the final market price; over hundreds of bets it is the best early sign of a genuine edge.</t>
        </is>
      </c>
    </row>
    <row r="21">
      <c r="A21" s="9" t="inlineStr">
        <is>
          <t>By bet type</t>
        </is>
      </c>
      <c r="B21" s="9" t="inlineStr">
        <is>
          <t>Bets</t>
        </is>
      </c>
      <c r="C21" s="9" t="inlineStr">
        <is>
          <t>Staked</t>
        </is>
      </c>
      <c r="D21" s="9" t="inlineStr">
        <is>
          <t>Profit</t>
        </is>
      </c>
      <c r="E21" s="9" t="inlineStr">
        <is>
          <t>ROI</t>
        </is>
      </c>
      <c r="F21" s="9" t="inlineStr">
        <is>
          <t>Won</t>
        </is>
      </c>
      <c r="G21" s="9" t="inlineStr">
        <is>
          <t>Strike rate</t>
        </is>
      </c>
    </row>
    <row r="22">
      <c r="A22" t="inlineStr">
        <is>
          <t>Single</t>
        </is>
      </c>
      <c r="B22">
        <f>COUNTIFS(Bets!$D$2:$D$2001,$A22,Bets!$M$2:$M$2001,"&lt;&gt;Pending",Bets!$M$2:$M$2001,"&lt;&gt;")</f>
        <v/>
      </c>
      <c r="C22" s="10">
        <f>SUMIFS(Bets!$L$2:$L$2001,Bets!$D$2:$D$2001,$A22,Bets!$M$2:$M$2001,"&lt;&gt;Pending",Bets!$M$2:$M$2001,"&lt;&gt;")</f>
        <v/>
      </c>
      <c r="D22" s="10">
        <f>SUMIFS(Bets!$P$2:$P$2001,Bets!$D$2:$D$2001,$A22,Bets!$M$2:$M$2001,"&lt;&gt;Pending",Bets!$M$2:$M$2001,"&lt;&gt;")</f>
        <v/>
      </c>
      <c r="E22" s="11">
        <f>IF(C22=0,"",D22/C22)</f>
        <v/>
      </c>
      <c r="F22">
        <f>COUNTIFS(Bets!$D$2:$D$2001,$A22,Bets!$M$2:$M$2001,"Won")</f>
        <v/>
      </c>
      <c r="G22" s="11">
        <f>IFERROR(F22/(F22+COUNTIFS(Bets!$D$2:$D$2001,$A22,Bets!$M$2:$M$2001,"Lost")),"")</f>
        <v/>
      </c>
    </row>
    <row r="23">
      <c r="A23" t="inlineStr">
        <is>
          <t>Player</t>
        </is>
      </c>
      <c r="B23">
        <f>COUNTIFS(Bets!$D$2:$D$2001,$A23,Bets!$M$2:$M$2001,"&lt;&gt;Pending",Bets!$M$2:$M$2001,"&lt;&gt;")</f>
        <v/>
      </c>
      <c r="C23" s="10">
        <f>SUMIFS(Bets!$L$2:$L$2001,Bets!$D$2:$D$2001,$A23,Bets!$M$2:$M$2001,"&lt;&gt;Pending",Bets!$M$2:$M$2001,"&lt;&gt;")</f>
        <v/>
      </c>
      <c r="D23" s="10">
        <f>SUMIFS(Bets!$P$2:$P$2001,Bets!$D$2:$D$2001,$A23,Bets!$M$2:$M$2001,"&lt;&gt;Pending",Bets!$M$2:$M$2001,"&lt;&gt;")</f>
        <v/>
      </c>
      <c r="E23" s="11">
        <f>IF(C23=0,"",D23/C23)</f>
        <v/>
      </c>
      <c r="F23">
        <f>COUNTIFS(Bets!$D$2:$D$2001,$A23,Bets!$M$2:$M$2001,"Won")</f>
        <v/>
      </c>
      <c r="G23" s="11">
        <f>IFERROR(F23/(F23+COUNTIFS(Bets!$D$2:$D$2001,$A23,Bets!$M$2:$M$2001,"Lost")),"")</f>
        <v/>
      </c>
    </row>
    <row r="24">
      <c r="A24" t="inlineStr">
        <is>
          <t>Builder</t>
        </is>
      </c>
      <c r="B24">
        <f>COUNTIFS(Bets!$D$2:$D$2001,$A24,Bets!$M$2:$M$2001,"&lt;&gt;Pending",Bets!$M$2:$M$2001,"&lt;&gt;")</f>
        <v/>
      </c>
      <c r="C24" s="10">
        <f>SUMIFS(Bets!$L$2:$L$2001,Bets!$D$2:$D$2001,$A24,Bets!$M$2:$M$2001,"&lt;&gt;Pending",Bets!$M$2:$M$2001,"&lt;&gt;")</f>
        <v/>
      </c>
      <c r="D24" s="10">
        <f>SUMIFS(Bets!$P$2:$P$2001,Bets!$D$2:$D$2001,$A24,Bets!$M$2:$M$2001,"&lt;&gt;Pending",Bets!$M$2:$M$2001,"&lt;&gt;")</f>
        <v/>
      </c>
      <c r="E24" s="11">
        <f>IF(C24=0,"",D24/C24)</f>
        <v/>
      </c>
      <c r="F24">
        <f>COUNTIFS(Bets!$D$2:$D$2001,$A24,Bets!$M$2:$M$2001,"Won")</f>
        <v/>
      </c>
      <c r="G24" s="11">
        <f>IFERROR(F24/(F24+COUNTIFS(Bets!$D$2:$D$2001,$A24,Bets!$M$2:$M$2001,"Lost")),"")</f>
        <v/>
      </c>
    </row>
    <row r="26">
      <c r="A26" s="9" t="inlineStr">
        <is>
          <t>By market</t>
        </is>
      </c>
      <c r="B26" s="9" t="inlineStr">
        <is>
          <t>Bets</t>
        </is>
      </c>
      <c r="C26" s="9" t="inlineStr">
        <is>
          <t>Staked</t>
        </is>
      </c>
      <c r="D26" s="9" t="inlineStr">
        <is>
          <t>Profit</t>
        </is>
      </c>
      <c r="E26" s="9" t="inlineStr">
        <is>
          <t>ROI</t>
        </is>
      </c>
      <c r="F26" s="9" t="inlineStr">
        <is>
          <t>Won</t>
        </is>
      </c>
      <c r="G26" s="9" t="inlineStr">
        <is>
          <t>Strike rate</t>
        </is>
      </c>
    </row>
    <row r="27">
      <c r="A27" t="inlineStr">
        <is>
          <t>Result</t>
        </is>
      </c>
      <c r="B27">
        <f>COUNTIFS(Bets!$E$2:$E$2001,$A27,Bets!$M$2:$M$2001,"&lt;&gt;Pending",Bets!$M$2:$M$2001,"&lt;&gt;")</f>
        <v/>
      </c>
      <c r="C27" s="10">
        <f>SUMIFS(Bets!$L$2:$L$2001,Bets!$E$2:$E$2001,$A27,Bets!$M$2:$M$2001,"&lt;&gt;Pending",Bets!$M$2:$M$2001,"&lt;&gt;")</f>
        <v/>
      </c>
      <c r="D27" s="10">
        <f>SUMIFS(Bets!$P$2:$P$2001,Bets!$E$2:$E$2001,$A27,Bets!$M$2:$M$2001,"&lt;&gt;Pending",Bets!$M$2:$M$2001,"&lt;&gt;")</f>
        <v/>
      </c>
      <c r="E27" s="11">
        <f>IF(C27=0,"",D27/C27)</f>
        <v/>
      </c>
      <c r="F27">
        <f>COUNTIFS(Bets!$E$2:$E$2001,$A27,Bets!$M$2:$M$2001,"Won")</f>
        <v/>
      </c>
      <c r="G27" s="11">
        <f>IFERROR(F27/(F27+COUNTIFS(Bets!$E$2:$E$2001,$A27,Bets!$M$2:$M$2001,"Lost")),"")</f>
        <v/>
      </c>
    </row>
    <row r="28">
      <c r="A28" t="inlineStr">
        <is>
          <t>Goals</t>
        </is>
      </c>
      <c r="B28">
        <f>COUNTIFS(Bets!$E$2:$E$2001,$A28,Bets!$M$2:$M$2001,"&lt;&gt;Pending",Bets!$M$2:$M$2001,"&lt;&gt;")</f>
        <v/>
      </c>
      <c r="C28" s="10">
        <f>SUMIFS(Bets!$L$2:$L$2001,Bets!$E$2:$E$2001,$A28,Bets!$M$2:$M$2001,"&lt;&gt;Pending",Bets!$M$2:$M$2001,"&lt;&gt;")</f>
        <v/>
      </c>
      <c r="D28" s="10">
        <f>SUMIFS(Bets!$P$2:$P$2001,Bets!$E$2:$E$2001,$A28,Bets!$M$2:$M$2001,"&lt;&gt;Pending",Bets!$M$2:$M$2001,"&lt;&gt;")</f>
        <v/>
      </c>
      <c r="E28" s="11">
        <f>IF(C28=0,"",D28/C28)</f>
        <v/>
      </c>
      <c r="F28">
        <f>COUNTIFS(Bets!$E$2:$E$2001,$A28,Bets!$M$2:$M$2001,"Won")</f>
        <v/>
      </c>
      <c r="G28" s="11">
        <f>IFERROR(F28/(F28+COUNTIFS(Bets!$E$2:$E$2001,$A28,Bets!$M$2:$M$2001,"Lost")),"")</f>
        <v/>
      </c>
    </row>
    <row r="29">
      <c r="A29" t="inlineStr">
        <is>
          <t>BTTS</t>
        </is>
      </c>
      <c r="B29">
        <f>COUNTIFS(Bets!$E$2:$E$2001,$A29,Bets!$M$2:$M$2001,"&lt;&gt;Pending",Bets!$M$2:$M$2001,"&lt;&gt;")</f>
        <v/>
      </c>
      <c r="C29" s="10">
        <f>SUMIFS(Bets!$L$2:$L$2001,Bets!$E$2:$E$2001,$A29,Bets!$M$2:$M$2001,"&lt;&gt;Pending",Bets!$M$2:$M$2001,"&lt;&gt;")</f>
        <v/>
      </c>
      <c r="D29" s="10">
        <f>SUMIFS(Bets!$P$2:$P$2001,Bets!$E$2:$E$2001,$A29,Bets!$M$2:$M$2001,"&lt;&gt;Pending",Bets!$M$2:$M$2001,"&lt;&gt;")</f>
        <v/>
      </c>
      <c r="E29" s="11">
        <f>IF(C29=0,"",D29/C29)</f>
        <v/>
      </c>
      <c r="F29">
        <f>COUNTIFS(Bets!$E$2:$E$2001,$A29,Bets!$M$2:$M$2001,"Won")</f>
        <v/>
      </c>
      <c r="G29" s="11">
        <f>IFERROR(F29/(F29+COUNTIFS(Bets!$E$2:$E$2001,$A29,Bets!$M$2:$M$2001,"Lost")),"")</f>
        <v/>
      </c>
    </row>
    <row r="30">
      <c r="A30" t="inlineStr">
        <is>
          <t>Corners</t>
        </is>
      </c>
      <c r="B30">
        <f>COUNTIFS(Bets!$E$2:$E$2001,$A30,Bets!$M$2:$M$2001,"&lt;&gt;Pending",Bets!$M$2:$M$2001,"&lt;&gt;")</f>
        <v/>
      </c>
      <c r="C30" s="10">
        <f>SUMIFS(Bets!$L$2:$L$2001,Bets!$E$2:$E$2001,$A30,Bets!$M$2:$M$2001,"&lt;&gt;Pending",Bets!$M$2:$M$2001,"&lt;&gt;")</f>
        <v/>
      </c>
      <c r="D30" s="10">
        <f>SUMIFS(Bets!$P$2:$P$2001,Bets!$E$2:$E$2001,$A30,Bets!$M$2:$M$2001,"&lt;&gt;Pending",Bets!$M$2:$M$2001,"&lt;&gt;")</f>
        <v/>
      </c>
      <c r="E30" s="11">
        <f>IF(C30=0,"",D30/C30)</f>
        <v/>
      </c>
      <c r="F30">
        <f>COUNTIFS(Bets!$E$2:$E$2001,$A30,Bets!$M$2:$M$2001,"Won")</f>
        <v/>
      </c>
      <c r="G30" s="11">
        <f>IFERROR(F30/(F30+COUNTIFS(Bets!$E$2:$E$2001,$A30,Bets!$M$2:$M$2001,"Lost")),"")</f>
        <v/>
      </c>
    </row>
    <row r="31">
      <c r="A31" t="inlineStr">
        <is>
          <t>Cards</t>
        </is>
      </c>
      <c r="B31">
        <f>COUNTIFS(Bets!$E$2:$E$2001,$A31,Bets!$M$2:$M$2001,"&lt;&gt;Pending",Bets!$M$2:$M$2001,"&lt;&gt;")</f>
        <v/>
      </c>
      <c r="C31" s="10">
        <f>SUMIFS(Bets!$L$2:$L$2001,Bets!$E$2:$E$2001,$A31,Bets!$M$2:$M$2001,"&lt;&gt;Pending",Bets!$M$2:$M$2001,"&lt;&gt;")</f>
        <v/>
      </c>
      <c r="D31" s="10">
        <f>SUMIFS(Bets!$P$2:$P$2001,Bets!$E$2:$E$2001,$A31,Bets!$M$2:$M$2001,"&lt;&gt;Pending",Bets!$M$2:$M$2001,"&lt;&gt;")</f>
        <v/>
      </c>
      <c r="E31" s="11">
        <f>IF(C31=0,"",D31/C31)</f>
        <v/>
      </c>
      <c r="F31">
        <f>COUNTIFS(Bets!$E$2:$E$2001,$A31,Bets!$M$2:$M$2001,"Won")</f>
        <v/>
      </c>
      <c r="G31" s="11">
        <f>IFERROR(F31/(F31+COUNTIFS(Bets!$E$2:$E$2001,$A31,Bets!$M$2:$M$2001,"Lost")),"")</f>
        <v/>
      </c>
    </row>
    <row r="32">
      <c r="A32" t="inlineStr">
        <is>
          <t>Shots</t>
        </is>
      </c>
      <c r="B32">
        <f>COUNTIFS(Bets!$E$2:$E$2001,$A32,Bets!$M$2:$M$2001,"&lt;&gt;Pending",Bets!$M$2:$M$2001,"&lt;&gt;")</f>
        <v/>
      </c>
      <c r="C32" s="10">
        <f>SUMIFS(Bets!$L$2:$L$2001,Bets!$E$2:$E$2001,$A32,Bets!$M$2:$M$2001,"&lt;&gt;Pending",Bets!$M$2:$M$2001,"&lt;&gt;")</f>
        <v/>
      </c>
      <c r="D32" s="10">
        <f>SUMIFS(Bets!$P$2:$P$2001,Bets!$E$2:$E$2001,$A32,Bets!$M$2:$M$2001,"&lt;&gt;Pending",Bets!$M$2:$M$2001,"&lt;&gt;")</f>
        <v/>
      </c>
      <c r="E32" s="11">
        <f>IF(C32=0,"",D32/C32)</f>
        <v/>
      </c>
      <c r="F32">
        <f>COUNTIFS(Bets!$E$2:$E$2001,$A32,Bets!$M$2:$M$2001,"Won")</f>
        <v/>
      </c>
      <c r="G32" s="11">
        <f>IFERROR(F32/(F32+COUNTIFS(Bets!$E$2:$E$2001,$A32,Bets!$M$2:$M$2001,"Lost")),"")</f>
        <v/>
      </c>
    </row>
    <row r="33">
      <c r="A33" t="inlineStr">
        <is>
          <t>Player</t>
        </is>
      </c>
      <c r="B33">
        <f>COUNTIFS(Bets!$E$2:$E$2001,$A33,Bets!$M$2:$M$2001,"&lt;&gt;Pending",Bets!$M$2:$M$2001,"&lt;&gt;")</f>
        <v/>
      </c>
      <c r="C33" s="10">
        <f>SUMIFS(Bets!$L$2:$L$2001,Bets!$E$2:$E$2001,$A33,Bets!$M$2:$M$2001,"&lt;&gt;Pending",Bets!$M$2:$M$2001,"&lt;&gt;")</f>
        <v/>
      </c>
      <c r="D33" s="10">
        <f>SUMIFS(Bets!$P$2:$P$2001,Bets!$E$2:$E$2001,$A33,Bets!$M$2:$M$2001,"&lt;&gt;Pending",Bets!$M$2:$M$2001,"&lt;&gt;")</f>
        <v/>
      </c>
      <c r="E33" s="11">
        <f>IF(C33=0,"",D33/C33)</f>
        <v/>
      </c>
      <c r="F33">
        <f>COUNTIFS(Bets!$E$2:$E$2001,$A33,Bets!$M$2:$M$2001,"Won")</f>
        <v/>
      </c>
      <c r="G33" s="11">
        <f>IFERROR(F33/(F33+COUNTIFS(Bets!$E$2:$E$2001,$A33,Bets!$M$2:$M$2001,"Lost")),"")</f>
        <v/>
      </c>
    </row>
    <row r="34">
      <c r="A34" t="inlineStr">
        <is>
          <t>Builder</t>
        </is>
      </c>
      <c r="B34">
        <f>COUNTIFS(Bets!$E$2:$E$2001,$A34,Bets!$M$2:$M$2001,"&lt;&gt;Pending",Bets!$M$2:$M$2001,"&lt;&gt;")</f>
        <v/>
      </c>
      <c r="C34" s="10">
        <f>SUMIFS(Bets!$L$2:$L$2001,Bets!$E$2:$E$2001,$A34,Bets!$M$2:$M$2001,"&lt;&gt;Pending",Bets!$M$2:$M$2001,"&lt;&gt;")</f>
        <v/>
      </c>
      <c r="D34" s="10">
        <f>SUMIFS(Bets!$P$2:$P$2001,Bets!$E$2:$E$2001,$A34,Bets!$M$2:$M$2001,"&lt;&gt;Pending",Bets!$M$2:$M$2001,"&lt;&gt;")</f>
        <v/>
      </c>
      <c r="E34" s="11">
        <f>IF(C34=0,"",D34/C34)</f>
        <v/>
      </c>
      <c r="F34">
        <f>COUNTIFS(Bets!$E$2:$E$2001,$A34,Bets!$M$2:$M$2001,"Won")</f>
        <v/>
      </c>
      <c r="G34" s="11">
        <f>IFERROR(F34/(F34+COUNTIFS(Bets!$E$2:$E$2001,$A34,Bets!$M$2:$M$2001,"Lost")),"")</f>
        <v/>
      </c>
    </row>
    <row r="35">
      <c r="A35" t="inlineStr">
        <is>
          <t>Other</t>
        </is>
      </c>
      <c r="B35">
        <f>COUNTIFS(Bets!$E$2:$E$2001,$A35,Bets!$M$2:$M$2001,"&lt;&gt;Pending",Bets!$M$2:$M$2001,"&lt;&gt;")</f>
        <v/>
      </c>
      <c r="C35" s="10">
        <f>SUMIFS(Bets!$L$2:$L$2001,Bets!$E$2:$E$2001,$A35,Bets!$M$2:$M$2001,"&lt;&gt;Pending",Bets!$M$2:$M$2001,"&lt;&gt;")</f>
        <v/>
      </c>
      <c r="D35" s="10">
        <f>SUMIFS(Bets!$P$2:$P$2001,Bets!$E$2:$E$2001,$A35,Bets!$M$2:$M$2001,"&lt;&gt;Pending",Bets!$M$2:$M$2001,"&lt;&gt;")</f>
        <v/>
      </c>
      <c r="E35" s="11">
        <f>IF(C35=0,"",D35/C35)</f>
        <v/>
      </c>
      <c r="F35">
        <f>COUNTIFS(Bets!$E$2:$E$2001,$A35,Bets!$M$2:$M$2001,"Won")</f>
        <v/>
      </c>
      <c r="G35" s="11">
        <f>IFERROR(F35/(F35+COUNTIFS(Bets!$E$2:$E$2001,$A35,Bets!$M$2:$M$2001,"Lost")),"")</f>
        <v/>
      </c>
    </row>
    <row r="37">
      <c r="A37" s="9" t="inlineStr">
        <is>
          <t>By month</t>
        </is>
      </c>
      <c r="B37" s="9" t="inlineStr">
        <is>
          <t>Bets</t>
        </is>
      </c>
      <c r="C37" s="9" t="inlineStr">
        <is>
          <t>Staked</t>
        </is>
      </c>
      <c r="D37" s="9" t="inlineStr">
        <is>
          <t>Profit</t>
        </is>
      </c>
      <c r="E37" s="9" t="inlineStr">
        <is>
          <t>ROI</t>
        </is>
      </c>
      <c r="F37" s="9" t="inlineStr">
        <is>
          <t>Bank at month end</t>
        </is>
      </c>
    </row>
    <row r="38">
      <c r="A38" s="12" t="n">
        <v>46296</v>
      </c>
      <c r="B38">
        <f>COUNTIFS(Bets!$A$2:$A$2001,"&gt;="&amp;$A38,Bets!$A$2:$A$2001,"&lt;"&amp;EDATE($A38,1),Bets!$M$2:$M$2001,"&lt;&gt;Pending",Bets!$M$2:$M$2001,"&lt;&gt;")</f>
        <v/>
      </c>
      <c r="C38" s="10">
        <f>SUMIFS(Bets!$L$2:$L$2001,Bets!$A$2:$A$2001,"&gt;="&amp;$A38,Bets!$A$2:$A$2001,"&lt;"&amp;EDATE($A38,1),Bets!$M$2:$M$2001,"&lt;&gt;Pending",Bets!$M$2:$M$2001,"&lt;&gt;")</f>
        <v/>
      </c>
      <c r="D38" s="10">
        <f>SUMIFS(Bets!$P$2:$P$2001,Bets!$A$2:$A$2001,"&gt;="&amp;$A38,Bets!$A$2:$A$2001,"&lt;"&amp;EDATE($A38,1),Bets!$M$2:$M$2001,"&lt;&gt;Pending",Bets!$M$2:$M$2001,"&lt;&gt;")</f>
        <v/>
      </c>
      <c r="E38" s="11">
        <f>IF(C38=0,"",D38/C38)</f>
        <v/>
      </c>
      <c r="F38" s="10">
        <f>StartBank+SUMIFS(Bets!$P$2:$P$2001,Bets!$A$2:$A$2001,"&lt;"&amp;EDATE($A38,1))</f>
        <v/>
      </c>
    </row>
    <row r="39">
      <c r="A39" s="12" t="n">
        <v>46327</v>
      </c>
      <c r="B39">
        <f>COUNTIFS(Bets!$A$2:$A$2001,"&gt;="&amp;$A39,Bets!$A$2:$A$2001,"&lt;"&amp;EDATE($A39,1),Bets!$M$2:$M$2001,"&lt;&gt;Pending",Bets!$M$2:$M$2001,"&lt;&gt;")</f>
        <v/>
      </c>
      <c r="C39" s="10">
        <f>SUMIFS(Bets!$L$2:$L$2001,Bets!$A$2:$A$2001,"&gt;="&amp;$A39,Bets!$A$2:$A$2001,"&lt;"&amp;EDATE($A39,1),Bets!$M$2:$M$2001,"&lt;&gt;Pending",Bets!$M$2:$M$2001,"&lt;&gt;")</f>
        <v/>
      </c>
      <c r="D39" s="10">
        <f>SUMIFS(Bets!$P$2:$P$2001,Bets!$A$2:$A$2001,"&gt;="&amp;$A39,Bets!$A$2:$A$2001,"&lt;"&amp;EDATE($A39,1),Bets!$M$2:$M$2001,"&lt;&gt;Pending",Bets!$M$2:$M$2001,"&lt;&gt;")</f>
        <v/>
      </c>
      <c r="E39" s="11">
        <f>IF(C39=0,"",D39/C39)</f>
        <v/>
      </c>
      <c r="F39" s="10">
        <f>StartBank+SUMIFS(Bets!$P$2:$P$2001,Bets!$A$2:$A$2001,"&lt;"&amp;EDATE($A39,1))</f>
        <v/>
      </c>
    </row>
    <row r="40">
      <c r="A40" s="12" t="n">
        <v>46357</v>
      </c>
      <c r="B40">
        <f>COUNTIFS(Bets!$A$2:$A$2001,"&gt;="&amp;$A40,Bets!$A$2:$A$2001,"&lt;"&amp;EDATE($A40,1),Bets!$M$2:$M$2001,"&lt;&gt;Pending",Bets!$M$2:$M$2001,"&lt;&gt;")</f>
        <v/>
      </c>
      <c r="C40" s="10">
        <f>SUMIFS(Bets!$L$2:$L$2001,Bets!$A$2:$A$2001,"&gt;="&amp;$A40,Bets!$A$2:$A$2001,"&lt;"&amp;EDATE($A40,1),Bets!$M$2:$M$2001,"&lt;&gt;Pending",Bets!$M$2:$M$2001,"&lt;&gt;")</f>
        <v/>
      </c>
      <c r="D40" s="10">
        <f>SUMIFS(Bets!$P$2:$P$2001,Bets!$A$2:$A$2001,"&gt;="&amp;$A40,Bets!$A$2:$A$2001,"&lt;"&amp;EDATE($A40,1),Bets!$M$2:$M$2001,"&lt;&gt;Pending",Bets!$M$2:$M$2001,"&lt;&gt;")</f>
        <v/>
      </c>
      <c r="E40" s="11">
        <f>IF(C40=0,"",D40/C40)</f>
        <v/>
      </c>
      <c r="F40" s="10">
        <f>StartBank+SUMIFS(Bets!$P$2:$P$2001,Bets!$A$2:$A$2001,"&lt;"&amp;EDATE($A40,1))</f>
        <v/>
      </c>
    </row>
    <row r="41">
      <c r="A41" s="12" t="n">
        <v>46388</v>
      </c>
      <c r="B41">
        <f>COUNTIFS(Bets!$A$2:$A$2001,"&gt;="&amp;$A41,Bets!$A$2:$A$2001,"&lt;"&amp;EDATE($A41,1),Bets!$M$2:$M$2001,"&lt;&gt;Pending",Bets!$M$2:$M$2001,"&lt;&gt;")</f>
        <v/>
      </c>
      <c r="C41" s="10">
        <f>SUMIFS(Bets!$L$2:$L$2001,Bets!$A$2:$A$2001,"&gt;="&amp;$A41,Bets!$A$2:$A$2001,"&lt;"&amp;EDATE($A41,1),Bets!$M$2:$M$2001,"&lt;&gt;Pending",Bets!$M$2:$M$2001,"&lt;&gt;")</f>
        <v/>
      </c>
      <c r="D41" s="10">
        <f>SUMIFS(Bets!$P$2:$P$2001,Bets!$A$2:$A$2001,"&gt;="&amp;$A41,Bets!$A$2:$A$2001,"&lt;"&amp;EDATE($A41,1),Bets!$M$2:$M$2001,"&lt;&gt;Pending",Bets!$M$2:$M$2001,"&lt;&gt;")</f>
        <v/>
      </c>
      <c r="E41" s="11">
        <f>IF(C41=0,"",D41/C41)</f>
        <v/>
      </c>
      <c r="F41" s="10">
        <f>StartBank+SUMIFS(Bets!$P$2:$P$2001,Bets!$A$2:$A$2001,"&lt;"&amp;EDATE($A41,1))</f>
        <v/>
      </c>
    </row>
    <row r="42">
      <c r="A42" s="12" t="n">
        <v>46419</v>
      </c>
      <c r="B42">
        <f>COUNTIFS(Bets!$A$2:$A$2001,"&gt;="&amp;$A42,Bets!$A$2:$A$2001,"&lt;"&amp;EDATE($A42,1),Bets!$M$2:$M$2001,"&lt;&gt;Pending",Bets!$M$2:$M$2001,"&lt;&gt;")</f>
        <v/>
      </c>
      <c r="C42" s="10">
        <f>SUMIFS(Bets!$L$2:$L$2001,Bets!$A$2:$A$2001,"&gt;="&amp;$A42,Bets!$A$2:$A$2001,"&lt;"&amp;EDATE($A42,1),Bets!$M$2:$M$2001,"&lt;&gt;Pending",Bets!$M$2:$M$2001,"&lt;&gt;")</f>
        <v/>
      </c>
      <c r="D42" s="10">
        <f>SUMIFS(Bets!$P$2:$P$2001,Bets!$A$2:$A$2001,"&gt;="&amp;$A42,Bets!$A$2:$A$2001,"&lt;"&amp;EDATE($A42,1),Bets!$M$2:$M$2001,"&lt;&gt;Pending",Bets!$M$2:$M$2001,"&lt;&gt;")</f>
        <v/>
      </c>
      <c r="E42" s="11">
        <f>IF(C42=0,"",D42/C42)</f>
        <v/>
      </c>
      <c r="F42" s="10">
        <f>StartBank+SUMIFS(Bets!$P$2:$P$2001,Bets!$A$2:$A$2001,"&lt;"&amp;EDATE($A42,1))</f>
        <v/>
      </c>
    </row>
    <row r="43">
      <c r="A43" s="12" t="n">
        <v>46447</v>
      </c>
      <c r="B43">
        <f>COUNTIFS(Bets!$A$2:$A$2001,"&gt;="&amp;$A43,Bets!$A$2:$A$2001,"&lt;"&amp;EDATE($A43,1),Bets!$M$2:$M$2001,"&lt;&gt;Pending",Bets!$M$2:$M$2001,"&lt;&gt;")</f>
        <v/>
      </c>
      <c r="C43" s="10">
        <f>SUMIFS(Bets!$L$2:$L$2001,Bets!$A$2:$A$2001,"&gt;="&amp;$A43,Bets!$A$2:$A$2001,"&lt;"&amp;EDATE($A43,1),Bets!$M$2:$M$2001,"&lt;&gt;Pending",Bets!$M$2:$M$2001,"&lt;&gt;")</f>
        <v/>
      </c>
      <c r="D43" s="10">
        <f>SUMIFS(Bets!$P$2:$P$2001,Bets!$A$2:$A$2001,"&gt;="&amp;$A43,Bets!$A$2:$A$2001,"&lt;"&amp;EDATE($A43,1),Bets!$M$2:$M$2001,"&lt;&gt;Pending",Bets!$M$2:$M$2001,"&lt;&gt;")</f>
        <v/>
      </c>
      <c r="E43" s="11">
        <f>IF(C43=0,"",D43/C43)</f>
        <v/>
      </c>
      <c r="F43" s="10">
        <f>StartBank+SUMIFS(Bets!$P$2:$P$2001,Bets!$A$2:$A$2001,"&lt;"&amp;EDATE($A43,1))</f>
        <v/>
      </c>
    </row>
    <row r="44">
      <c r="A44" s="12" t="n">
        <v>46478</v>
      </c>
      <c r="B44">
        <f>COUNTIFS(Bets!$A$2:$A$2001,"&gt;="&amp;$A44,Bets!$A$2:$A$2001,"&lt;"&amp;EDATE($A44,1),Bets!$M$2:$M$2001,"&lt;&gt;Pending",Bets!$M$2:$M$2001,"&lt;&gt;")</f>
        <v/>
      </c>
      <c r="C44" s="10">
        <f>SUMIFS(Bets!$L$2:$L$2001,Bets!$A$2:$A$2001,"&gt;="&amp;$A44,Bets!$A$2:$A$2001,"&lt;"&amp;EDATE($A44,1),Bets!$M$2:$M$2001,"&lt;&gt;Pending",Bets!$M$2:$M$2001,"&lt;&gt;")</f>
        <v/>
      </c>
      <c r="D44" s="10">
        <f>SUMIFS(Bets!$P$2:$P$2001,Bets!$A$2:$A$2001,"&gt;="&amp;$A44,Bets!$A$2:$A$2001,"&lt;"&amp;EDATE($A44,1),Bets!$M$2:$M$2001,"&lt;&gt;Pending",Bets!$M$2:$M$2001,"&lt;&gt;")</f>
        <v/>
      </c>
      <c r="E44" s="11">
        <f>IF(C44=0,"",D44/C44)</f>
        <v/>
      </c>
      <c r="F44" s="10">
        <f>StartBank+SUMIFS(Bets!$P$2:$P$2001,Bets!$A$2:$A$2001,"&lt;"&amp;EDATE($A44,1))</f>
        <v/>
      </c>
    </row>
    <row r="45">
      <c r="A45" s="12" t="n">
        <v>46508</v>
      </c>
      <c r="B45">
        <f>COUNTIFS(Bets!$A$2:$A$2001,"&gt;="&amp;$A45,Bets!$A$2:$A$2001,"&lt;"&amp;EDATE($A45,1),Bets!$M$2:$M$2001,"&lt;&gt;Pending",Bets!$M$2:$M$2001,"&lt;&gt;")</f>
        <v/>
      </c>
      <c r="C45" s="10">
        <f>SUMIFS(Bets!$L$2:$L$2001,Bets!$A$2:$A$2001,"&gt;="&amp;$A45,Bets!$A$2:$A$2001,"&lt;"&amp;EDATE($A45,1),Bets!$M$2:$M$2001,"&lt;&gt;Pending",Bets!$M$2:$M$2001,"&lt;&gt;")</f>
        <v/>
      </c>
      <c r="D45" s="10">
        <f>SUMIFS(Bets!$P$2:$P$2001,Bets!$A$2:$A$2001,"&gt;="&amp;$A45,Bets!$A$2:$A$2001,"&lt;"&amp;EDATE($A45,1),Bets!$M$2:$M$2001,"&lt;&gt;Pending",Bets!$M$2:$M$2001,"&lt;&gt;")</f>
        <v/>
      </c>
      <c r="E45" s="11">
        <f>IF(C45=0,"",D45/C45)</f>
        <v/>
      </c>
      <c r="F45" s="10">
        <f>StartBank+SUMIFS(Bets!$P$2:$P$2001,Bets!$A$2:$A$2001,"&lt;"&amp;EDATE($A45,1))</f>
        <v/>
      </c>
    </row>
    <row r="46">
      <c r="A46" s="12" t="n">
        <v>46539</v>
      </c>
      <c r="B46">
        <f>COUNTIFS(Bets!$A$2:$A$2001,"&gt;="&amp;$A46,Bets!$A$2:$A$2001,"&lt;"&amp;EDATE($A46,1),Bets!$M$2:$M$2001,"&lt;&gt;Pending",Bets!$M$2:$M$2001,"&lt;&gt;")</f>
        <v/>
      </c>
      <c r="C46" s="10">
        <f>SUMIFS(Bets!$L$2:$L$2001,Bets!$A$2:$A$2001,"&gt;="&amp;$A46,Bets!$A$2:$A$2001,"&lt;"&amp;EDATE($A46,1),Bets!$M$2:$M$2001,"&lt;&gt;Pending",Bets!$M$2:$M$2001,"&lt;&gt;")</f>
        <v/>
      </c>
      <c r="D46" s="10">
        <f>SUMIFS(Bets!$P$2:$P$2001,Bets!$A$2:$A$2001,"&gt;="&amp;$A46,Bets!$A$2:$A$2001,"&lt;"&amp;EDATE($A46,1),Bets!$M$2:$M$2001,"&lt;&gt;Pending",Bets!$M$2:$M$2001,"&lt;&gt;")</f>
        <v/>
      </c>
      <c r="E46" s="11">
        <f>IF(C46=0,"",D46/C46)</f>
        <v/>
      </c>
      <c r="F46" s="10">
        <f>StartBank+SUMIFS(Bets!$P$2:$P$2001,Bets!$A$2:$A$2001,"&lt;"&amp;EDATE($A46,1))</f>
        <v/>
      </c>
    </row>
    <row r="47">
      <c r="A47" s="12" t="n">
        <v>46569</v>
      </c>
      <c r="B47">
        <f>COUNTIFS(Bets!$A$2:$A$2001,"&gt;="&amp;$A47,Bets!$A$2:$A$2001,"&lt;"&amp;EDATE($A47,1),Bets!$M$2:$M$2001,"&lt;&gt;Pending",Bets!$M$2:$M$2001,"&lt;&gt;")</f>
        <v/>
      </c>
      <c r="C47" s="10">
        <f>SUMIFS(Bets!$L$2:$L$2001,Bets!$A$2:$A$2001,"&gt;="&amp;$A47,Bets!$A$2:$A$2001,"&lt;"&amp;EDATE($A47,1),Bets!$M$2:$M$2001,"&lt;&gt;Pending",Bets!$M$2:$M$2001,"&lt;&gt;")</f>
        <v/>
      </c>
      <c r="D47" s="10">
        <f>SUMIFS(Bets!$P$2:$P$2001,Bets!$A$2:$A$2001,"&gt;="&amp;$A47,Bets!$A$2:$A$2001,"&lt;"&amp;EDATE($A47,1),Bets!$M$2:$M$2001,"&lt;&gt;Pending",Bets!$M$2:$M$2001,"&lt;&gt;")</f>
        <v/>
      </c>
      <c r="E47" s="11">
        <f>IF(C47=0,"",D47/C47)</f>
        <v/>
      </c>
      <c r="F47" s="10">
        <f>StartBank+SUMIFS(Bets!$P$2:$P$2001,Bets!$A$2:$A$2001,"&lt;"&amp;EDATE($A47,1))</f>
        <v/>
      </c>
    </row>
    <row r="48">
      <c r="A48" s="12" t="n">
        <v>46600</v>
      </c>
      <c r="B48">
        <f>COUNTIFS(Bets!$A$2:$A$2001,"&gt;="&amp;$A48,Bets!$A$2:$A$2001,"&lt;"&amp;EDATE($A48,1),Bets!$M$2:$M$2001,"&lt;&gt;Pending",Bets!$M$2:$M$2001,"&lt;&gt;")</f>
        <v/>
      </c>
      <c r="C48" s="10">
        <f>SUMIFS(Bets!$L$2:$L$2001,Bets!$A$2:$A$2001,"&gt;="&amp;$A48,Bets!$A$2:$A$2001,"&lt;"&amp;EDATE($A48,1),Bets!$M$2:$M$2001,"&lt;&gt;Pending",Bets!$M$2:$M$2001,"&lt;&gt;")</f>
        <v/>
      </c>
      <c r="D48" s="10">
        <f>SUMIFS(Bets!$P$2:$P$2001,Bets!$A$2:$A$2001,"&gt;="&amp;$A48,Bets!$A$2:$A$2001,"&lt;"&amp;EDATE($A48,1),Bets!$M$2:$M$2001,"&lt;&gt;Pending",Bets!$M$2:$M$2001,"&lt;&gt;")</f>
        <v/>
      </c>
      <c r="E48" s="11">
        <f>IF(C48=0,"",D48/C48)</f>
        <v/>
      </c>
      <c r="F48" s="10">
        <f>StartBank+SUMIFS(Bets!$P$2:$P$2001,Bets!$A$2:$A$2001,"&lt;"&amp;EDATE($A48,1))</f>
        <v/>
      </c>
    </row>
    <row r="49">
      <c r="A49" s="12" t="n">
        <v>46631</v>
      </c>
      <c r="B49">
        <f>COUNTIFS(Bets!$A$2:$A$2001,"&gt;="&amp;$A49,Bets!$A$2:$A$2001,"&lt;"&amp;EDATE($A49,1),Bets!$M$2:$M$2001,"&lt;&gt;Pending",Bets!$M$2:$M$2001,"&lt;&gt;")</f>
        <v/>
      </c>
      <c r="C49" s="10">
        <f>SUMIFS(Bets!$L$2:$L$2001,Bets!$A$2:$A$2001,"&gt;="&amp;$A49,Bets!$A$2:$A$2001,"&lt;"&amp;EDATE($A49,1),Bets!$M$2:$M$2001,"&lt;&gt;Pending",Bets!$M$2:$M$2001,"&lt;&gt;")</f>
        <v/>
      </c>
      <c r="D49" s="10">
        <f>SUMIFS(Bets!$P$2:$P$2001,Bets!$A$2:$A$2001,"&gt;="&amp;$A49,Bets!$A$2:$A$2001,"&lt;"&amp;EDATE($A49,1),Bets!$M$2:$M$2001,"&lt;&gt;Pending",Bets!$M$2:$M$2001,"&lt;&gt;")</f>
        <v/>
      </c>
      <c r="E49" s="11">
        <f>IF(C49=0,"",D49/C49)</f>
        <v/>
      </c>
      <c r="F49" s="10">
        <f>StartBank+SUMIFS(Bets!$P$2:$P$2001,Bets!$A$2:$A$2001,"&lt;"&amp;EDATE($A49,1))</f>
        <v/>
      </c>
    </row>
    <row r="50">
      <c r="A50" s="12" t="n">
        <v>46661</v>
      </c>
      <c r="B50">
        <f>COUNTIFS(Bets!$A$2:$A$2001,"&gt;="&amp;$A50,Bets!$A$2:$A$2001,"&lt;"&amp;EDATE($A50,1),Bets!$M$2:$M$2001,"&lt;&gt;Pending",Bets!$M$2:$M$2001,"&lt;&gt;")</f>
        <v/>
      </c>
      <c r="C50" s="10">
        <f>SUMIFS(Bets!$L$2:$L$2001,Bets!$A$2:$A$2001,"&gt;="&amp;$A50,Bets!$A$2:$A$2001,"&lt;"&amp;EDATE($A50,1),Bets!$M$2:$M$2001,"&lt;&gt;Pending",Bets!$M$2:$M$2001,"&lt;&gt;")</f>
        <v/>
      </c>
      <c r="D50" s="10">
        <f>SUMIFS(Bets!$P$2:$P$2001,Bets!$A$2:$A$2001,"&gt;="&amp;$A50,Bets!$A$2:$A$2001,"&lt;"&amp;EDATE($A50,1),Bets!$M$2:$M$2001,"&lt;&gt;Pending",Bets!$M$2:$M$2001,"&lt;&gt;")</f>
        <v/>
      </c>
      <c r="E50" s="11">
        <f>IF(C50=0,"",D50/C50)</f>
        <v/>
      </c>
      <c r="F50" s="10">
        <f>StartBank+SUMIFS(Bets!$P$2:$P$2001,Bets!$A$2:$A$2001,"&lt;"&amp;EDATE($A50,1))</f>
        <v/>
      </c>
    </row>
    <row r="51">
      <c r="A51" s="12" t="n">
        <v>46692</v>
      </c>
      <c r="B51">
        <f>COUNTIFS(Bets!$A$2:$A$2001,"&gt;="&amp;$A51,Bets!$A$2:$A$2001,"&lt;"&amp;EDATE($A51,1),Bets!$M$2:$M$2001,"&lt;&gt;Pending",Bets!$M$2:$M$2001,"&lt;&gt;")</f>
        <v/>
      </c>
      <c r="C51" s="10">
        <f>SUMIFS(Bets!$L$2:$L$2001,Bets!$A$2:$A$2001,"&gt;="&amp;$A51,Bets!$A$2:$A$2001,"&lt;"&amp;EDATE($A51,1),Bets!$M$2:$M$2001,"&lt;&gt;Pending",Bets!$M$2:$M$2001,"&lt;&gt;")</f>
        <v/>
      </c>
      <c r="D51" s="10">
        <f>SUMIFS(Bets!$P$2:$P$2001,Bets!$A$2:$A$2001,"&gt;="&amp;$A51,Bets!$A$2:$A$2001,"&lt;"&amp;EDATE($A51,1),Bets!$M$2:$M$2001,"&lt;&gt;Pending",Bets!$M$2:$M$2001,"&lt;&gt;")</f>
        <v/>
      </c>
      <c r="E51" s="11">
        <f>IF(C51=0,"",D51/C51)</f>
        <v/>
      </c>
      <c r="F51" s="10">
        <f>StartBank+SUMIFS(Bets!$P$2:$P$2001,Bets!$A$2:$A$2001,"&lt;"&amp;EDATE($A51,1))</f>
        <v/>
      </c>
    </row>
    <row r="52">
      <c r="A52" s="12" t="n">
        <v>46722</v>
      </c>
      <c r="B52">
        <f>COUNTIFS(Bets!$A$2:$A$2001,"&gt;="&amp;$A52,Bets!$A$2:$A$2001,"&lt;"&amp;EDATE($A52,1),Bets!$M$2:$M$2001,"&lt;&gt;Pending",Bets!$M$2:$M$2001,"&lt;&gt;")</f>
        <v/>
      </c>
      <c r="C52" s="10">
        <f>SUMIFS(Bets!$L$2:$L$2001,Bets!$A$2:$A$2001,"&gt;="&amp;$A52,Bets!$A$2:$A$2001,"&lt;"&amp;EDATE($A52,1),Bets!$M$2:$M$2001,"&lt;&gt;Pending",Bets!$M$2:$M$2001,"&lt;&gt;")</f>
        <v/>
      </c>
      <c r="D52" s="10">
        <f>SUMIFS(Bets!$P$2:$P$2001,Bets!$A$2:$A$2001,"&gt;="&amp;$A52,Bets!$A$2:$A$2001,"&lt;"&amp;EDATE($A52,1),Bets!$M$2:$M$2001,"&lt;&gt;Pending",Bets!$M$2:$M$2001,"&lt;&gt;")</f>
        <v/>
      </c>
      <c r="E52" s="11">
        <f>IF(C52=0,"",D52/C52)</f>
        <v/>
      </c>
      <c r="F52" s="10">
        <f>StartBank+SUMIFS(Bets!$P$2:$P$2001,Bets!$A$2:$A$2001,"&lt;"&amp;EDATE($A52,1))</f>
        <v/>
      </c>
    </row>
    <row r="53">
      <c r="A53" s="12" t="n">
        <v>46753</v>
      </c>
      <c r="B53">
        <f>COUNTIFS(Bets!$A$2:$A$2001,"&gt;="&amp;$A53,Bets!$A$2:$A$2001,"&lt;"&amp;EDATE($A53,1),Bets!$M$2:$M$2001,"&lt;&gt;Pending",Bets!$M$2:$M$2001,"&lt;&gt;")</f>
        <v/>
      </c>
      <c r="C53" s="10">
        <f>SUMIFS(Bets!$L$2:$L$2001,Bets!$A$2:$A$2001,"&gt;="&amp;$A53,Bets!$A$2:$A$2001,"&lt;"&amp;EDATE($A53,1),Bets!$M$2:$M$2001,"&lt;&gt;Pending",Bets!$M$2:$M$2001,"&lt;&gt;")</f>
        <v/>
      </c>
      <c r="D53" s="10">
        <f>SUMIFS(Bets!$P$2:$P$2001,Bets!$A$2:$A$2001,"&gt;="&amp;$A53,Bets!$A$2:$A$2001,"&lt;"&amp;EDATE($A53,1),Bets!$M$2:$M$2001,"&lt;&gt;Pending",Bets!$M$2:$M$2001,"&lt;&gt;")</f>
        <v/>
      </c>
      <c r="E53" s="11">
        <f>IF(C53=0,"",D53/C53)</f>
        <v/>
      </c>
      <c r="F53" s="10">
        <f>StartBank+SUMIFS(Bets!$P$2:$P$2001,Bets!$A$2:$A$2001,"&lt;"&amp;EDATE($A53,1))</f>
        <v/>
      </c>
    </row>
    <row r="54">
      <c r="A54" s="12" t="n">
        <v>46784</v>
      </c>
      <c r="B54">
        <f>COUNTIFS(Bets!$A$2:$A$2001,"&gt;="&amp;$A54,Bets!$A$2:$A$2001,"&lt;"&amp;EDATE($A54,1),Bets!$M$2:$M$2001,"&lt;&gt;Pending",Bets!$M$2:$M$2001,"&lt;&gt;")</f>
        <v/>
      </c>
      <c r="C54" s="10">
        <f>SUMIFS(Bets!$L$2:$L$2001,Bets!$A$2:$A$2001,"&gt;="&amp;$A54,Bets!$A$2:$A$2001,"&lt;"&amp;EDATE($A54,1),Bets!$M$2:$M$2001,"&lt;&gt;Pending",Bets!$M$2:$M$2001,"&lt;&gt;")</f>
        <v/>
      </c>
      <c r="D54" s="10">
        <f>SUMIFS(Bets!$P$2:$P$2001,Bets!$A$2:$A$2001,"&gt;="&amp;$A54,Bets!$A$2:$A$2001,"&lt;"&amp;EDATE($A54,1),Bets!$M$2:$M$2001,"&lt;&gt;Pending",Bets!$M$2:$M$2001,"&lt;&gt;")</f>
        <v/>
      </c>
      <c r="E54" s="11">
        <f>IF(C54=0,"",D54/C54)</f>
        <v/>
      </c>
      <c r="F54" s="10">
        <f>StartBank+SUMIFS(Bets!$P$2:$P$2001,Bets!$A$2:$A$2001,"&lt;"&amp;EDATE($A54,1))</f>
        <v/>
      </c>
    </row>
    <row r="55">
      <c r="A55" s="12" t="n">
        <v>46813</v>
      </c>
      <c r="B55">
        <f>COUNTIFS(Bets!$A$2:$A$2001,"&gt;="&amp;$A55,Bets!$A$2:$A$2001,"&lt;"&amp;EDATE($A55,1),Bets!$M$2:$M$2001,"&lt;&gt;Pending",Bets!$M$2:$M$2001,"&lt;&gt;")</f>
        <v/>
      </c>
      <c r="C55" s="10">
        <f>SUMIFS(Bets!$L$2:$L$2001,Bets!$A$2:$A$2001,"&gt;="&amp;$A55,Bets!$A$2:$A$2001,"&lt;"&amp;EDATE($A55,1),Bets!$M$2:$M$2001,"&lt;&gt;Pending",Bets!$M$2:$M$2001,"&lt;&gt;")</f>
        <v/>
      </c>
      <c r="D55" s="10">
        <f>SUMIFS(Bets!$P$2:$P$2001,Bets!$A$2:$A$2001,"&gt;="&amp;$A55,Bets!$A$2:$A$2001,"&lt;"&amp;EDATE($A55,1),Bets!$M$2:$M$2001,"&lt;&gt;Pending",Bets!$M$2:$M$2001,"&lt;&gt;")</f>
        <v/>
      </c>
      <c r="E55" s="11">
        <f>IF(C55=0,"",D55/C55)</f>
        <v/>
      </c>
      <c r="F55" s="10">
        <f>StartBank+SUMIFS(Bets!$P$2:$P$2001,Bets!$A$2:$A$2001,"&lt;"&amp;EDATE($A55,1))</f>
        <v/>
      </c>
    </row>
    <row r="56">
      <c r="A56" s="12" t="n">
        <v>46844</v>
      </c>
      <c r="B56">
        <f>COUNTIFS(Bets!$A$2:$A$2001,"&gt;="&amp;$A56,Bets!$A$2:$A$2001,"&lt;"&amp;EDATE($A56,1),Bets!$M$2:$M$2001,"&lt;&gt;Pending",Bets!$M$2:$M$2001,"&lt;&gt;")</f>
        <v/>
      </c>
      <c r="C56" s="10">
        <f>SUMIFS(Bets!$L$2:$L$2001,Bets!$A$2:$A$2001,"&gt;="&amp;$A56,Bets!$A$2:$A$2001,"&lt;"&amp;EDATE($A56,1),Bets!$M$2:$M$2001,"&lt;&gt;Pending",Bets!$M$2:$M$2001,"&lt;&gt;")</f>
        <v/>
      </c>
      <c r="D56" s="10">
        <f>SUMIFS(Bets!$P$2:$P$2001,Bets!$A$2:$A$2001,"&gt;="&amp;$A56,Bets!$A$2:$A$2001,"&lt;"&amp;EDATE($A56,1),Bets!$M$2:$M$2001,"&lt;&gt;Pending",Bets!$M$2:$M$2001,"&lt;&gt;")</f>
        <v/>
      </c>
      <c r="E56" s="11">
        <f>IF(C56=0,"",D56/C56)</f>
        <v/>
      </c>
      <c r="F56" s="10">
        <f>StartBank+SUMIFS(Bets!$P$2:$P$2001,Bets!$A$2:$A$2001,"&lt;"&amp;EDATE($A56,1))</f>
        <v/>
      </c>
    </row>
    <row r="57">
      <c r="A57" s="12" t="n">
        <v>46874</v>
      </c>
      <c r="B57">
        <f>COUNTIFS(Bets!$A$2:$A$2001,"&gt;="&amp;$A57,Bets!$A$2:$A$2001,"&lt;"&amp;EDATE($A57,1),Bets!$M$2:$M$2001,"&lt;&gt;Pending",Bets!$M$2:$M$2001,"&lt;&gt;")</f>
        <v/>
      </c>
      <c r="C57" s="10">
        <f>SUMIFS(Bets!$L$2:$L$2001,Bets!$A$2:$A$2001,"&gt;="&amp;$A57,Bets!$A$2:$A$2001,"&lt;"&amp;EDATE($A57,1),Bets!$M$2:$M$2001,"&lt;&gt;Pending",Bets!$M$2:$M$2001,"&lt;&gt;")</f>
        <v/>
      </c>
      <c r="D57" s="10">
        <f>SUMIFS(Bets!$P$2:$P$2001,Bets!$A$2:$A$2001,"&gt;="&amp;$A57,Bets!$A$2:$A$2001,"&lt;"&amp;EDATE($A57,1),Bets!$M$2:$M$2001,"&lt;&gt;Pending",Bets!$M$2:$M$2001,"&lt;&gt;")</f>
        <v/>
      </c>
      <c r="E57" s="11">
        <f>IF(C57=0,"",D57/C57)</f>
        <v/>
      </c>
      <c r="F57" s="10">
        <f>StartBank+SUMIFS(Bets!$P$2:$P$2001,Bets!$A$2:$A$2001,"&lt;"&amp;EDATE($A57,1))</f>
        <v/>
      </c>
    </row>
    <row r="58">
      <c r="A58" s="12" t="n">
        <v>46905</v>
      </c>
      <c r="B58">
        <f>COUNTIFS(Bets!$A$2:$A$2001,"&gt;="&amp;$A58,Bets!$A$2:$A$2001,"&lt;"&amp;EDATE($A58,1),Bets!$M$2:$M$2001,"&lt;&gt;Pending",Bets!$M$2:$M$2001,"&lt;&gt;")</f>
        <v/>
      </c>
      <c r="C58" s="10">
        <f>SUMIFS(Bets!$L$2:$L$2001,Bets!$A$2:$A$2001,"&gt;="&amp;$A58,Bets!$A$2:$A$2001,"&lt;"&amp;EDATE($A58,1),Bets!$M$2:$M$2001,"&lt;&gt;Pending",Bets!$M$2:$M$2001,"&lt;&gt;")</f>
        <v/>
      </c>
      <c r="D58" s="10">
        <f>SUMIFS(Bets!$P$2:$P$2001,Bets!$A$2:$A$2001,"&gt;="&amp;$A58,Bets!$A$2:$A$2001,"&lt;"&amp;EDATE($A58,1),Bets!$M$2:$M$2001,"&lt;&gt;Pending",Bets!$M$2:$M$2001,"&lt;&gt;")</f>
        <v/>
      </c>
      <c r="E58" s="11">
        <f>IF(C58=0,"",D58/C58)</f>
        <v/>
      </c>
      <c r="F58" s="10">
        <f>StartBank+SUMIFS(Bets!$P$2:$P$2001,Bets!$A$2:$A$2001,"&lt;"&amp;EDATE($A58,1))</f>
        <v/>
      </c>
    </row>
    <row r="59">
      <c r="A59" s="12" t="n">
        <v>46935</v>
      </c>
      <c r="B59">
        <f>COUNTIFS(Bets!$A$2:$A$2001,"&gt;="&amp;$A59,Bets!$A$2:$A$2001,"&lt;"&amp;EDATE($A59,1),Bets!$M$2:$M$2001,"&lt;&gt;Pending",Bets!$M$2:$M$2001,"&lt;&gt;")</f>
        <v/>
      </c>
      <c r="C59" s="10">
        <f>SUMIFS(Bets!$L$2:$L$2001,Bets!$A$2:$A$2001,"&gt;="&amp;$A59,Bets!$A$2:$A$2001,"&lt;"&amp;EDATE($A59,1),Bets!$M$2:$M$2001,"&lt;&gt;Pending",Bets!$M$2:$M$2001,"&lt;&gt;")</f>
        <v/>
      </c>
      <c r="D59" s="10">
        <f>SUMIFS(Bets!$P$2:$P$2001,Bets!$A$2:$A$2001,"&gt;="&amp;$A59,Bets!$A$2:$A$2001,"&lt;"&amp;EDATE($A59,1),Bets!$M$2:$M$2001,"&lt;&gt;Pending",Bets!$M$2:$M$2001,"&lt;&gt;")</f>
        <v/>
      </c>
      <c r="E59" s="11">
        <f>IF(C59=0,"",D59/C59)</f>
        <v/>
      </c>
      <c r="F59" s="10">
        <f>StartBank+SUMIFS(Bets!$P$2:$P$2001,Bets!$A$2:$A$2001,"&lt;"&amp;EDATE($A59,1))</f>
        <v/>
      </c>
    </row>
    <row r="60">
      <c r="A60" s="12" t="n">
        <v>46966</v>
      </c>
      <c r="B60">
        <f>COUNTIFS(Bets!$A$2:$A$2001,"&gt;="&amp;$A60,Bets!$A$2:$A$2001,"&lt;"&amp;EDATE($A60,1),Bets!$M$2:$M$2001,"&lt;&gt;Pending",Bets!$M$2:$M$2001,"&lt;&gt;")</f>
        <v/>
      </c>
      <c r="C60" s="10">
        <f>SUMIFS(Bets!$L$2:$L$2001,Bets!$A$2:$A$2001,"&gt;="&amp;$A60,Bets!$A$2:$A$2001,"&lt;"&amp;EDATE($A60,1),Bets!$M$2:$M$2001,"&lt;&gt;Pending",Bets!$M$2:$M$2001,"&lt;&gt;")</f>
        <v/>
      </c>
      <c r="D60" s="10">
        <f>SUMIFS(Bets!$P$2:$P$2001,Bets!$A$2:$A$2001,"&gt;="&amp;$A60,Bets!$A$2:$A$2001,"&lt;"&amp;EDATE($A60,1),Bets!$M$2:$M$2001,"&lt;&gt;Pending",Bets!$M$2:$M$2001,"&lt;&gt;")</f>
        <v/>
      </c>
      <c r="E60" s="11">
        <f>IF(C60=0,"",D60/C60)</f>
        <v/>
      </c>
      <c r="F60" s="10">
        <f>StartBank+SUMIFS(Bets!$P$2:$P$2001,Bets!$A$2:$A$2001,"&lt;"&amp;EDATE($A60,1))</f>
        <v/>
      </c>
    </row>
    <row r="61">
      <c r="A61" s="12" t="n">
        <v>46997</v>
      </c>
      <c r="B61">
        <f>COUNTIFS(Bets!$A$2:$A$2001,"&gt;="&amp;$A61,Bets!$A$2:$A$2001,"&lt;"&amp;EDATE($A61,1),Bets!$M$2:$M$2001,"&lt;&gt;Pending",Bets!$M$2:$M$2001,"&lt;&gt;")</f>
        <v/>
      </c>
      <c r="C61" s="10">
        <f>SUMIFS(Bets!$L$2:$L$2001,Bets!$A$2:$A$2001,"&gt;="&amp;$A61,Bets!$A$2:$A$2001,"&lt;"&amp;EDATE($A61,1),Bets!$M$2:$M$2001,"&lt;&gt;Pending",Bets!$M$2:$M$2001,"&lt;&gt;")</f>
        <v/>
      </c>
      <c r="D61" s="10">
        <f>SUMIFS(Bets!$P$2:$P$2001,Bets!$A$2:$A$2001,"&gt;="&amp;$A61,Bets!$A$2:$A$2001,"&lt;"&amp;EDATE($A61,1),Bets!$M$2:$M$2001,"&lt;&gt;Pending",Bets!$M$2:$M$2001,"&lt;&gt;")</f>
        <v/>
      </c>
      <c r="E61" s="11">
        <f>IF(C61=0,"",D61/C61)</f>
        <v/>
      </c>
      <c r="F61" s="10">
        <f>StartBank+SUMIFS(Bets!$P$2:$P$2001,Bets!$A$2:$A$2001,"&lt;"&amp;EDATE($A61,1))</f>
        <v/>
      </c>
    </row>
  </sheetData>
  <mergeCells count="1">
    <mergeCell ref="A19:H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70" customWidth="1" min="3" max="3"/>
  </cols>
  <sheetData>
    <row r="1">
      <c r="A1" s="1" t="inlineStr">
        <is>
          <t>Staking settings</t>
        </is>
      </c>
    </row>
    <row r="3">
      <c r="A3" t="inlineStr">
        <is>
          <t>Starting bank (£)</t>
        </is>
      </c>
      <c r="B3" s="13" t="n">
        <v>500</v>
      </c>
      <c r="C3" t="inlineStr">
        <is>
          <t>Money set aside purely for betting, that you can afford to lose.</t>
        </is>
      </c>
    </row>
    <row r="4">
      <c r="A4" t="inlineStr">
        <is>
          <t>Start date</t>
        </is>
      </c>
      <c r="B4" s="14" t="n">
        <v>46304</v>
      </c>
      <c r="C4" t="inlineStr"/>
    </row>
    <row r="5">
      <c r="A5" t="inlineStr">
        <is>
          <t>Unit size (% of bank)</t>
        </is>
      </c>
      <c r="B5" s="15" t="n">
        <v>0.01</v>
      </c>
      <c r="C5" t="inlineStr">
        <is>
          <t>1 unit = 1% of the bank. Re-set monthly to 1% of the current bank.</t>
        </is>
      </c>
    </row>
    <row r="6">
      <c r="A6" t="inlineStr">
        <is>
          <t>Kelly fraction: singles</t>
        </is>
      </c>
      <c r="B6" s="15" t="n">
        <v>0.25</v>
      </c>
      <c r="C6" t="inlineStr">
        <is>
          <t>Quarter Kelly on result, goals, corners and cards singles.</t>
        </is>
      </c>
    </row>
    <row r="7">
      <c r="A7" t="inlineStr">
        <is>
          <t>Kelly fraction: player bets and builders</t>
        </is>
      </c>
      <c r="B7" s="15" t="n">
        <v>0.125</v>
      </c>
      <c r="C7" t="inlineStr">
        <is>
          <t>Eighth Kelly: these probabilities are less certain.</t>
        </is>
      </c>
    </row>
    <row r="8">
      <c r="A8" t="inlineStr">
        <is>
          <t>Minimum edge: singles</t>
        </is>
      </c>
      <c r="B8" s="15" t="n">
        <v>0.03</v>
      </c>
      <c r="C8" t="inlineStr">
        <is>
          <t>Result, goals, corners, cards singles. Skip anything with a smaller edge.</t>
        </is>
      </c>
    </row>
    <row r="9">
      <c r="A9" t="inlineStr">
        <is>
          <t>Minimum edge: player singles</t>
        </is>
      </c>
      <c r="B9" s="15" t="n">
        <v>0.05</v>
      </c>
      <c r="C9" t="inlineStr">
        <is>
          <t>Scorer, shots, cards for one player.</t>
        </is>
      </c>
    </row>
    <row r="10">
      <c r="A10" t="inlineStr">
        <is>
          <t>Minimum edge: builders</t>
        </is>
      </c>
      <c r="B10" s="15" t="n">
        <v>0.08</v>
      </c>
      <c r="C10" t="inlineStr">
        <is>
          <t>Builders need a bigger cushion for model error.</t>
        </is>
      </c>
    </row>
    <row r="11">
      <c r="A11" t="inlineStr">
        <is>
          <t>Max stake per single (units)</t>
        </is>
      </c>
      <c r="B11" s="16" t="n">
        <v>2</v>
      </c>
      <c r="C11" t="inlineStr"/>
    </row>
    <row r="12">
      <c r="A12" t="inlineStr">
        <is>
          <t>Max stake per builder (units)</t>
        </is>
      </c>
      <c r="B12" s="16" t="n">
        <v>1</v>
      </c>
      <c r="C12" t="inlineStr"/>
    </row>
    <row r="13">
      <c r="A13" t="inlineStr">
        <is>
          <t>Max stakes per match day (units)</t>
        </is>
      </c>
      <c r="B13" s="16" t="n">
        <v>5</v>
      </c>
      <c r="C13" t="inlineStr">
        <is>
          <t>Total across all bets that day.</t>
        </is>
      </c>
    </row>
    <row r="14">
      <c r="A14" t="inlineStr">
        <is>
          <t>Stop and review if bank falls by</t>
        </is>
      </c>
      <c r="B14" s="15" t="n">
        <v>0.4</v>
      </c>
      <c r="C14" t="inlineStr">
        <is>
          <t>Pause and check the model's record before betting on.</t>
        </is>
      </c>
    </row>
    <row r="16">
      <c r="A16" t="inlineStr">
        <is>
          <t>Current bank</t>
        </is>
      </c>
      <c r="B16" s="10">
        <f>StartBank+SUM(Bets!$P$2:$P$2001)</f>
        <v/>
      </c>
    </row>
    <row r="17">
      <c r="A17" t="inlineStr">
        <is>
          <t>Current unit (£)</t>
        </is>
      </c>
      <c r="B17" s="10">
        <f>ROUND(CurrentBank*UnitPct,2)</f>
        <v/>
      </c>
    </row>
    <row r="19">
      <c r="A19" s="17" t="inlineStr">
        <is>
          <t>Yellow cells are yours to change. Everything else is worked out for you.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9" customWidth="1" min="4" max="4"/>
    <col width="10" customWidth="1" min="5" max="5"/>
    <col width="44" customWidth="1" min="6" max="6"/>
    <col width="7" customWidth="1" min="7" max="7"/>
    <col width="9" customWidth="1" min="8" max="8"/>
    <col width="8" customWidth="1" min="9" max="9"/>
    <col width="8" customWidth="1" min="10" max="10"/>
    <col width="10" customWidth="1" min="11" max="11"/>
    <col width="8" customWidth="1" min="12" max="12"/>
    <col width="9" customWidth="1" min="13" max="13"/>
    <col width="10" customWidth="1" min="14" max="14"/>
    <col width="9" customWidth="1" min="15" max="15"/>
    <col width="9" customWidth="1" min="16" max="16"/>
    <col width="9" customWidth="1" min="17" max="17"/>
    <col width="8" customWidth="1" min="18" max="18"/>
    <col width="10" customWidth="1" min="19" max="19"/>
    <col width="11" customWidth="1" min="20" max="20"/>
    <col width="30" customWidth="1" min="21" max="21"/>
  </cols>
  <sheetData>
    <row r="1" ht="32" customHeight="1">
      <c r="A1" s="18" t="inlineStr">
        <is>
          <t>Date</t>
        </is>
      </c>
      <c r="B1" s="18" t="inlineStr">
        <is>
          <t>Match</t>
        </is>
      </c>
      <c r="C1" s="18" t="inlineStr">
        <is>
          <t>Bookmaker</t>
        </is>
      </c>
      <c r="D1" s="18" t="inlineStr">
        <is>
          <t>Type</t>
        </is>
      </c>
      <c r="E1" s="18" t="inlineStr">
        <is>
          <t>Market</t>
        </is>
      </c>
      <c r="F1" s="18" t="inlineStr">
        <is>
          <t>Selection / legs</t>
        </is>
      </c>
      <c r="G1" s="18" t="inlineStr">
        <is>
          <t>Odds</t>
        </is>
      </c>
      <c r="H1" s="18" t="inlineStr">
        <is>
          <t>Model chance</t>
        </is>
      </c>
      <c r="I1" s="18" t="inlineStr">
        <is>
          <t>Fair odds</t>
        </is>
      </c>
      <c r="J1" s="18" t="inlineStr">
        <is>
          <t>Edge</t>
        </is>
      </c>
      <c r="K1" s="18" t="inlineStr">
        <is>
          <t>Suggested stake</t>
        </is>
      </c>
      <c r="L1" s="18" t="inlineStr">
        <is>
          <t>Stake</t>
        </is>
      </c>
      <c r="M1" s="18" t="inlineStr">
        <is>
          <t>Result</t>
        </is>
      </c>
      <c r="N1" s="18" t="inlineStr">
        <is>
          <t>Cash-out return</t>
        </is>
      </c>
      <c r="O1" s="18" t="inlineStr">
        <is>
          <t>Return</t>
        </is>
      </c>
      <c r="P1" s="18" t="inlineStr">
        <is>
          <t>Profit</t>
        </is>
      </c>
      <c r="Q1" s="18" t="inlineStr">
        <is>
          <t>Closing odds</t>
        </is>
      </c>
      <c r="R1" s="18" t="inlineStr">
        <is>
          <t>CLV</t>
        </is>
      </c>
      <c r="S1" s="18" t="inlineStr">
        <is>
          <t>Expected profit</t>
        </is>
      </c>
      <c r="T1" s="18" t="inlineStr">
        <is>
          <t>Bank after</t>
        </is>
      </c>
      <c r="U1" s="18" t="inlineStr">
        <is>
          <t>Notes</t>
        </is>
      </c>
    </row>
    <row r="2">
      <c r="A2" s="19" t="n"/>
      <c r="B2" s="16" t="n"/>
      <c r="C2" s="16" t="n"/>
      <c r="D2" s="16" t="n"/>
      <c r="E2" s="16" t="n"/>
      <c r="F2" s="16" t="n"/>
      <c r="G2" s="20" t="n"/>
      <c r="H2" s="15" t="n"/>
      <c r="I2" s="21">
        <f>IF(OR(H2="",H2=0),"",1/H2)</f>
        <v/>
      </c>
      <c r="J2" s="11">
        <f>IF(OR(G2="",H2=""),"",H2*G2-1)</f>
        <v/>
      </c>
      <c r="K2" s="10">
        <f>IF(OR(G2="",H2="",G2&lt;=1),"",IF(J2&lt;IF(D2="Builder",MinEdgeBuilder,IF(D2="Player",MinEdgePlayer,MinEdgeSingle)),0,ROUND(MIN(IF(D2="Single",KellySingle,KellyBuilder)*(StartBank+SUM(P$1:P1))*J2/(G2-1),IF(D2="Builder",CapBuilder,CapSingle)*Unit),2)))</f>
        <v/>
      </c>
      <c r="L2" s="13" t="n"/>
      <c r="M2" s="16" t="n"/>
      <c r="N2" s="13" t="n"/>
      <c r="O2" s="10">
        <f>IF(L2="","",IF(M2="Won",L2*G2,IF(M2="Void",L2,IF(M2="Cash out",N(N2),IF(M2="Lost",0,"")))))</f>
        <v/>
      </c>
      <c r="P2" s="10">
        <f>IF(OR(L2="",M2="",M2="Pending"),"",O2-L2)</f>
        <v/>
      </c>
      <c r="Q2" s="20" t="n"/>
      <c r="R2" s="11">
        <f>IF(OR(G2="",Q2=""),"",G2/Q2-1)</f>
        <v/>
      </c>
      <c r="S2" s="10">
        <f>IF(OR(L2="",J2=""),"",L2*J2)</f>
        <v/>
      </c>
      <c r="T2" s="10">
        <f>IF(P2="","",StartBank+SUM(P$2:P2))</f>
        <v/>
      </c>
      <c r="U2" s="16" t="n"/>
    </row>
    <row r="3">
      <c r="A3" s="19" t="n"/>
      <c r="B3" s="16" t="n"/>
      <c r="C3" s="16" t="n"/>
      <c r="D3" s="16" t="n"/>
      <c r="E3" s="16" t="n"/>
      <c r="F3" s="16" t="n"/>
      <c r="G3" s="20" t="n"/>
      <c r="H3" s="15" t="n"/>
      <c r="I3" s="21">
        <f>IF(OR(H3="",H3=0),"",1/H3)</f>
        <v/>
      </c>
      <c r="J3" s="11">
        <f>IF(OR(G3="",H3=""),"",H3*G3-1)</f>
        <v/>
      </c>
      <c r="K3" s="10">
        <f>IF(OR(G3="",H3="",G3&lt;=1),"",IF(J3&lt;IF(D3="Builder",MinEdgeBuilder,IF(D3="Player",MinEdgePlayer,MinEdgeSingle)),0,ROUND(MIN(IF(D3="Single",KellySingle,KellyBuilder)*(StartBank+SUM(P$1:P2))*J3/(G3-1),IF(D3="Builder",CapBuilder,CapSingle)*Unit),2)))</f>
        <v/>
      </c>
      <c r="L3" s="13" t="n"/>
      <c r="M3" s="16" t="n"/>
      <c r="N3" s="13" t="n"/>
      <c r="O3" s="10">
        <f>IF(L3="","",IF(M3="Won",L3*G3,IF(M3="Void",L3,IF(M3="Cash out",N(N3),IF(M3="Lost",0,"")))))</f>
        <v/>
      </c>
      <c r="P3" s="10">
        <f>IF(OR(L3="",M3="",M3="Pending"),"",O3-L3)</f>
        <v/>
      </c>
      <c r="Q3" s="20" t="n"/>
      <c r="R3" s="11">
        <f>IF(OR(G3="",Q3=""),"",G3/Q3-1)</f>
        <v/>
      </c>
      <c r="S3" s="10">
        <f>IF(OR(L3="",J3=""),"",L3*J3)</f>
        <v/>
      </c>
      <c r="T3" s="10">
        <f>IF(P3="","",StartBank+SUM(P$2:P3))</f>
        <v/>
      </c>
      <c r="U3" s="16" t="n"/>
    </row>
    <row r="4">
      <c r="A4" s="19" t="n"/>
      <c r="B4" s="16" t="n"/>
      <c r="C4" s="16" t="n"/>
      <c r="D4" s="16" t="n"/>
      <c r="E4" s="16" t="n"/>
      <c r="F4" s="16" t="n"/>
      <c r="G4" s="20" t="n"/>
      <c r="H4" s="15" t="n"/>
      <c r="I4" s="21">
        <f>IF(OR(H4="",H4=0),"",1/H4)</f>
        <v/>
      </c>
      <c r="J4" s="11">
        <f>IF(OR(G4="",H4=""),"",H4*G4-1)</f>
        <v/>
      </c>
      <c r="K4" s="10">
        <f>IF(OR(G4="",H4="",G4&lt;=1),"",IF(J4&lt;IF(D4="Builder",MinEdgeBuilder,IF(D4="Player",MinEdgePlayer,MinEdgeSingle)),0,ROUND(MIN(IF(D4="Single",KellySingle,KellyBuilder)*(StartBank+SUM(P$1:P3))*J4/(G4-1),IF(D4="Builder",CapBuilder,CapSingle)*Unit),2)))</f>
        <v/>
      </c>
      <c r="L4" s="13" t="n"/>
      <c r="M4" s="16" t="n"/>
      <c r="N4" s="13" t="n"/>
      <c r="O4" s="10">
        <f>IF(L4="","",IF(M4="Won",L4*G4,IF(M4="Void",L4,IF(M4="Cash out",N(N4),IF(M4="Lost",0,"")))))</f>
        <v/>
      </c>
      <c r="P4" s="10">
        <f>IF(OR(L4="",M4="",M4="Pending"),"",O4-L4)</f>
        <v/>
      </c>
      <c r="Q4" s="20" t="n"/>
      <c r="R4" s="11">
        <f>IF(OR(G4="",Q4=""),"",G4/Q4-1)</f>
        <v/>
      </c>
      <c r="S4" s="10">
        <f>IF(OR(L4="",J4=""),"",L4*J4)</f>
        <v/>
      </c>
      <c r="T4" s="10">
        <f>IF(P4="","",StartBank+SUM(P$2:P4))</f>
        <v/>
      </c>
      <c r="U4" s="16" t="n"/>
    </row>
    <row r="5">
      <c r="A5" s="19" t="n"/>
      <c r="B5" s="16" t="n"/>
      <c r="C5" s="16" t="n"/>
      <c r="D5" s="16" t="n"/>
      <c r="E5" s="16" t="n"/>
      <c r="F5" s="16" t="n"/>
      <c r="G5" s="20" t="n"/>
      <c r="H5" s="15" t="n"/>
      <c r="I5" s="21">
        <f>IF(OR(H5="",H5=0),"",1/H5)</f>
        <v/>
      </c>
      <c r="J5" s="11">
        <f>IF(OR(G5="",H5=""),"",H5*G5-1)</f>
        <v/>
      </c>
      <c r="K5" s="10">
        <f>IF(OR(G5="",H5="",G5&lt;=1),"",IF(J5&lt;IF(D5="Builder",MinEdgeBuilder,IF(D5="Player",MinEdgePlayer,MinEdgeSingle)),0,ROUND(MIN(IF(D5="Single",KellySingle,KellyBuilder)*(StartBank+SUM(P$1:P4))*J5/(G5-1),IF(D5="Builder",CapBuilder,CapSingle)*Unit),2)))</f>
        <v/>
      </c>
      <c r="L5" s="13" t="n"/>
      <c r="M5" s="16" t="n"/>
      <c r="N5" s="13" t="n"/>
      <c r="O5" s="10">
        <f>IF(L5="","",IF(M5="Won",L5*G5,IF(M5="Void",L5,IF(M5="Cash out",N(N5),IF(M5="Lost",0,"")))))</f>
        <v/>
      </c>
      <c r="P5" s="10">
        <f>IF(OR(L5="",M5="",M5="Pending"),"",O5-L5)</f>
        <v/>
      </c>
      <c r="Q5" s="20" t="n"/>
      <c r="R5" s="11">
        <f>IF(OR(G5="",Q5=""),"",G5/Q5-1)</f>
        <v/>
      </c>
      <c r="S5" s="10">
        <f>IF(OR(L5="",J5=""),"",L5*J5)</f>
        <v/>
      </c>
      <c r="T5" s="10">
        <f>IF(P5="","",StartBank+SUM(P$2:P5))</f>
        <v/>
      </c>
      <c r="U5" s="16" t="n"/>
    </row>
    <row r="6">
      <c r="A6" s="19" t="n"/>
      <c r="B6" s="16" t="n"/>
      <c r="C6" s="16" t="n"/>
      <c r="D6" s="16" t="n"/>
      <c r="E6" s="16" t="n"/>
      <c r="F6" s="16" t="n"/>
      <c r="G6" s="20" t="n"/>
      <c r="H6" s="15" t="n"/>
      <c r="I6" s="21">
        <f>IF(OR(H6="",H6=0),"",1/H6)</f>
        <v/>
      </c>
      <c r="J6" s="11">
        <f>IF(OR(G6="",H6=""),"",H6*G6-1)</f>
        <v/>
      </c>
      <c r="K6" s="10">
        <f>IF(OR(G6="",H6="",G6&lt;=1),"",IF(J6&lt;IF(D6="Builder",MinEdgeBuilder,IF(D6="Player",MinEdgePlayer,MinEdgeSingle)),0,ROUND(MIN(IF(D6="Single",KellySingle,KellyBuilder)*(StartBank+SUM(P$1:P5))*J6/(G6-1),IF(D6="Builder",CapBuilder,CapSingle)*Unit),2)))</f>
        <v/>
      </c>
      <c r="L6" s="13" t="n"/>
      <c r="M6" s="16" t="n"/>
      <c r="N6" s="13" t="n"/>
      <c r="O6" s="10">
        <f>IF(L6="","",IF(M6="Won",L6*G6,IF(M6="Void",L6,IF(M6="Cash out",N(N6),IF(M6="Lost",0,"")))))</f>
        <v/>
      </c>
      <c r="P6" s="10">
        <f>IF(OR(L6="",M6="",M6="Pending"),"",O6-L6)</f>
        <v/>
      </c>
      <c r="Q6" s="20" t="n"/>
      <c r="R6" s="11">
        <f>IF(OR(G6="",Q6=""),"",G6/Q6-1)</f>
        <v/>
      </c>
      <c r="S6" s="10">
        <f>IF(OR(L6="",J6=""),"",L6*J6)</f>
        <v/>
      </c>
      <c r="T6" s="10">
        <f>IF(P6="","",StartBank+SUM(P$2:P6))</f>
        <v/>
      </c>
      <c r="U6" s="16" t="n"/>
    </row>
    <row r="7">
      <c r="A7" s="19" t="n"/>
      <c r="B7" s="16" t="n"/>
      <c r="C7" s="16" t="n"/>
      <c r="D7" s="16" t="n"/>
      <c r="E7" s="16" t="n"/>
      <c r="F7" s="16" t="n"/>
      <c r="G7" s="20" t="n"/>
      <c r="H7" s="15" t="n"/>
      <c r="I7" s="21">
        <f>IF(OR(H7="",H7=0),"",1/H7)</f>
        <v/>
      </c>
      <c r="J7" s="11">
        <f>IF(OR(G7="",H7=""),"",H7*G7-1)</f>
        <v/>
      </c>
      <c r="K7" s="10">
        <f>IF(OR(G7="",H7="",G7&lt;=1),"",IF(J7&lt;IF(D7="Builder",MinEdgeBuilder,IF(D7="Player",MinEdgePlayer,MinEdgeSingle)),0,ROUND(MIN(IF(D7="Single",KellySingle,KellyBuilder)*(StartBank+SUM(P$1:P6))*J7/(G7-1),IF(D7="Builder",CapBuilder,CapSingle)*Unit),2)))</f>
        <v/>
      </c>
      <c r="L7" s="13" t="n"/>
      <c r="M7" s="16" t="n"/>
      <c r="N7" s="13" t="n"/>
      <c r="O7" s="10">
        <f>IF(L7="","",IF(M7="Won",L7*G7,IF(M7="Void",L7,IF(M7="Cash out",N(N7),IF(M7="Lost",0,"")))))</f>
        <v/>
      </c>
      <c r="P7" s="10">
        <f>IF(OR(L7="",M7="",M7="Pending"),"",O7-L7)</f>
        <v/>
      </c>
      <c r="Q7" s="20" t="n"/>
      <c r="R7" s="11">
        <f>IF(OR(G7="",Q7=""),"",G7/Q7-1)</f>
        <v/>
      </c>
      <c r="S7" s="10">
        <f>IF(OR(L7="",J7=""),"",L7*J7)</f>
        <v/>
      </c>
      <c r="T7" s="10">
        <f>IF(P7="","",StartBank+SUM(P$2:P7))</f>
        <v/>
      </c>
      <c r="U7" s="16" t="n"/>
    </row>
    <row r="8">
      <c r="A8" s="19" t="n"/>
      <c r="B8" s="16" t="n"/>
      <c r="C8" s="16" t="n"/>
      <c r="D8" s="16" t="n"/>
      <c r="E8" s="16" t="n"/>
      <c r="F8" s="16" t="n"/>
      <c r="G8" s="20" t="n"/>
      <c r="H8" s="15" t="n"/>
      <c r="I8" s="21">
        <f>IF(OR(H8="",H8=0),"",1/H8)</f>
        <v/>
      </c>
      <c r="J8" s="11">
        <f>IF(OR(G8="",H8=""),"",H8*G8-1)</f>
        <v/>
      </c>
      <c r="K8" s="10">
        <f>IF(OR(G8="",H8="",G8&lt;=1),"",IF(J8&lt;IF(D8="Builder",MinEdgeBuilder,IF(D8="Player",MinEdgePlayer,MinEdgeSingle)),0,ROUND(MIN(IF(D8="Single",KellySingle,KellyBuilder)*(StartBank+SUM(P$1:P7))*J8/(G8-1),IF(D8="Builder",CapBuilder,CapSingle)*Unit),2)))</f>
        <v/>
      </c>
      <c r="L8" s="13" t="n"/>
      <c r="M8" s="16" t="n"/>
      <c r="N8" s="13" t="n"/>
      <c r="O8" s="10">
        <f>IF(L8="","",IF(M8="Won",L8*G8,IF(M8="Void",L8,IF(M8="Cash out",N(N8),IF(M8="Lost",0,"")))))</f>
        <v/>
      </c>
      <c r="P8" s="10">
        <f>IF(OR(L8="",M8="",M8="Pending"),"",O8-L8)</f>
        <v/>
      </c>
      <c r="Q8" s="20" t="n"/>
      <c r="R8" s="11">
        <f>IF(OR(G8="",Q8=""),"",G8/Q8-1)</f>
        <v/>
      </c>
      <c r="S8" s="10">
        <f>IF(OR(L8="",J8=""),"",L8*J8)</f>
        <v/>
      </c>
      <c r="T8" s="10">
        <f>IF(P8="","",StartBank+SUM(P$2:P8))</f>
        <v/>
      </c>
      <c r="U8" s="16" t="n"/>
    </row>
    <row r="9">
      <c r="A9" s="19" t="n"/>
      <c r="B9" s="16" t="n"/>
      <c r="C9" s="16" t="n"/>
      <c r="D9" s="16" t="n"/>
      <c r="E9" s="16" t="n"/>
      <c r="F9" s="16" t="n"/>
      <c r="G9" s="20" t="n"/>
      <c r="H9" s="15" t="n"/>
      <c r="I9" s="21">
        <f>IF(OR(H9="",H9=0),"",1/H9)</f>
        <v/>
      </c>
      <c r="J9" s="11">
        <f>IF(OR(G9="",H9=""),"",H9*G9-1)</f>
        <v/>
      </c>
      <c r="K9" s="10">
        <f>IF(OR(G9="",H9="",G9&lt;=1),"",IF(J9&lt;IF(D9="Builder",MinEdgeBuilder,IF(D9="Player",MinEdgePlayer,MinEdgeSingle)),0,ROUND(MIN(IF(D9="Single",KellySingle,KellyBuilder)*(StartBank+SUM(P$1:P8))*J9/(G9-1),IF(D9="Builder",CapBuilder,CapSingle)*Unit),2)))</f>
        <v/>
      </c>
      <c r="L9" s="13" t="n"/>
      <c r="M9" s="16" t="n"/>
      <c r="N9" s="13" t="n"/>
      <c r="O9" s="10">
        <f>IF(L9="","",IF(M9="Won",L9*G9,IF(M9="Void",L9,IF(M9="Cash out",N(N9),IF(M9="Lost",0,"")))))</f>
        <v/>
      </c>
      <c r="P9" s="10">
        <f>IF(OR(L9="",M9="",M9="Pending"),"",O9-L9)</f>
        <v/>
      </c>
      <c r="Q9" s="20" t="n"/>
      <c r="R9" s="11">
        <f>IF(OR(G9="",Q9=""),"",G9/Q9-1)</f>
        <v/>
      </c>
      <c r="S9" s="10">
        <f>IF(OR(L9="",J9=""),"",L9*J9)</f>
        <v/>
      </c>
      <c r="T9" s="10">
        <f>IF(P9="","",StartBank+SUM(P$2:P9))</f>
        <v/>
      </c>
      <c r="U9" s="16" t="n"/>
    </row>
    <row r="10">
      <c r="A10" s="19" t="n"/>
      <c r="B10" s="16" t="n"/>
      <c r="C10" s="16" t="n"/>
      <c r="D10" s="16" t="n"/>
      <c r="E10" s="16" t="n"/>
      <c r="F10" s="16" t="n"/>
      <c r="G10" s="20" t="n"/>
      <c r="H10" s="15" t="n"/>
      <c r="I10" s="21">
        <f>IF(OR(H10="",H10=0),"",1/H10)</f>
        <v/>
      </c>
      <c r="J10" s="11">
        <f>IF(OR(G10="",H10=""),"",H10*G10-1)</f>
        <v/>
      </c>
      <c r="K10" s="10">
        <f>IF(OR(G10="",H10="",G10&lt;=1),"",IF(J10&lt;IF(D10="Builder",MinEdgeBuilder,IF(D10="Player",MinEdgePlayer,MinEdgeSingle)),0,ROUND(MIN(IF(D10="Single",KellySingle,KellyBuilder)*(StartBank+SUM(P$1:P9))*J10/(G10-1),IF(D10="Builder",CapBuilder,CapSingle)*Unit),2)))</f>
        <v/>
      </c>
      <c r="L10" s="13" t="n"/>
      <c r="M10" s="16" t="n"/>
      <c r="N10" s="13" t="n"/>
      <c r="O10" s="10">
        <f>IF(L10="","",IF(M10="Won",L10*G10,IF(M10="Void",L10,IF(M10="Cash out",N(N10),IF(M10="Lost",0,"")))))</f>
        <v/>
      </c>
      <c r="P10" s="10">
        <f>IF(OR(L10="",M10="",M10="Pending"),"",O10-L10)</f>
        <v/>
      </c>
      <c r="Q10" s="20" t="n"/>
      <c r="R10" s="11">
        <f>IF(OR(G10="",Q10=""),"",G10/Q10-1)</f>
        <v/>
      </c>
      <c r="S10" s="10">
        <f>IF(OR(L10="",J10=""),"",L10*J10)</f>
        <v/>
      </c>
      <c r="T10" s="10">
        <f>IF(P10="","",StartBank+SUM(P$2:P10))</f>
        <v/>
      </c>
      <c r="U10" s="16" t="n"/>
    </row>
    <row r="11">
      <c r="A11" s="19" t="n"/>
      <c r="B11" s="16" t="n"/>
      <c r="C11" s="16" t="n"/>
      <c r="D11" s="16" t="n"/>
      <c r="E11" s="16" t="n"/>
      <c r="F11" s="16" t="n"/>
      <c r="G11" s="20" t="n"/>
      <c r="H11" s="15" t="n"/>
      <c r="I11" s="21">
        <f>IF(OR(H11="",H11=0),"",1/H11)</f>
        <v/>
      </c>
      <c r="J11" s="11">
        <f>IF(OR(G11="",H11=""),"",H11*G11-1)</f>
        <v/>
      </c>
      <c r="K11" s="10">
        <f>IF(OR(G11="",H11="",G11&lt;=1),"",IF(J11&lt;IF(D11="Builder",MinEdgeBuilder,IF(D11="Player",MinEdgePlayer,MinEdgeSingle)),0,ROUND(MIN(IF(D11="Single",KellySingle,KellyBuilder)*(StartBank+SUM(P$1:P10))*J11/(G11-1),IF(D11="Builder",CapBuilder,CapSingle)*Unit),2)))</f>
        <v/>
      </c>
      <c r="L11" s="13" t="n"/>
      <c r="M11" s="16" t="n"/>
      <c r="N11" s="13" t="n"/>
      <c r="O11" s="10">
        <f>IF(L11="","",IF(M11="Won",L11*G11,IF(M11="Void",L11,IF(M11="Cash out",N(N11),IF(M11="Lost",0,"")))))</f>
        <v/>
      </c>
      <c r="P11" s="10">
        <f>IF(OR(L11="",M11="",M11="Pending"),"",O11-L11)</f>
        <v/>
      </c>
      <c r="Q11" s="20" t="n"/>
      <c r="R11" s="11">
        <f>IF(OR(G11="",Q11=""),"",G11/Q11-1)</f>
        <v/>
      </c>
      <c r="S11" s="10">
        <f>IF(OR(L11="",J11=""),"",L11*J11)</f>
        <v/>
      </c>
      <c r="T11" s="10">
        <f>IF(P11="","",StartBank+SUM(P$2:P11))</f>
        <v/>
      </c>
      <c r="U11" s="16" t="n"/>
    </row>
    <row r="12">
      <c r="A12" s="19" t="n"/>
      <c r="B12" s="16" t="n"/>
      <c r="C12" s="16" t="n"/>
      <c r="D12" s="16" t="n"/>
      <c r="E12" s="16" t="n"/>
      <c r="F12" s="16" t="n"/>
      <c r="G12" s="20" t="n"/>
      <c r="H12" s="15" t="n"/>
      <c r="I12" s="21">
        <f>IF(OR(H12="",H12=0),"",1/H12)</f>
        <v/>
      </c>
      <c r="J12" s="11">
        <f>IF(OR(G12="",H12=""),"",H12*G12-1)</f>
        <v/>
      </c>
      <c r="K12" s="10">
        <f>IF(OR(G12="",H12="",G12&lt;=1),"",IF(J12&lt;IF(D12="Builder",MinEdgeBuilder,IF(D12="Player",MinEdgePlayer,MinEdgeSingle)),0,ROUND(MIN(IF(D12="Single",KellySingle,KellyBuilder)*(StartBank+SUM(P$1:P11))*J12/(G12-1),IF(D12="Builder",CapBuilder,CapSingle)*Unit),2)))</f>
        <v/>
      </c>
      <c r="L12" s="13" t="n"/>
      <c r="M12" s="16" t="n"/>
      <c r="N12" s="13" t="n"/>
      <c r="O12" s="10">
        <f>IF(L12="","",IF(M12="Won",L12*G12,IF(M12="Void",L12,IF(M12="Cash out",N(N12),IF(M12="Lost",0,"")))))</f>
        <v/>
      </c>
      <c r="P12" s="10">
        <f>IF(OR(L12="",M12="",M12="Pending"),"",O12-L12)</f>
        <v/>
      </c>
      <c r="Q12" s="20" t="n"/>
      <c r="R12" s="11">
        <f>IF(OR(G12="",Q12=""),"",G12/Q12-1)</f>
        <v/>
      </c>
      <c r="S12" s="10">
        <f>IF(OR(L12="",J12=""),"",L12*J12)</f>
        <v/>
      </c>
      <c r="T12" s="10">
        <f>IF(P12="","",StartBank+SUM(P$2:P12))</f>
        <v/>
      </c>
      <c r="U12" s="16" t="n"/>
    </row>
    <row r="13">
      <c r="A13" s="19" t="n"/>
      <c r="B13" s="16" t="n"/>
      <c r="C13" s="16" t="n"/>
      <c r="D13" s="16" t="n"/>
      <c r="E13" s="16" t="n"/>
      <c r="F13" s="16" t="n"/>
      <c r="G13" s="20" t="n"/>
      <c r="H13" s="15" t="n"/>
      <c r="I13" s="21">
        <f>IF(OR(H13="",H13=0),"",1/H13)</f>
        <v/>
      </c>
      <c r="J13" s="11">
        <f>IF(OR(G13="",H13=""),"",H13*G13-1)</f>
        <v/>
      </c>
      <c r="K13" s="10">
        <f>IF(OR(G13="",H13="",G13&lt;=1),"",IF(J13&lt;IF(D13="Builder",MinEdgeBuilder,IF(D13="Player",MinEdgePlayer,MinEdgeSingle)),0,ROUND(MIN(IF(D13="Single",KellySingle,KellyBuilder)*(StartBank+SUM(P$1:P12))*J13/(G13-1),IF(D13="Builder",CapBuilder,CapSingle)*Unit),2)))</f>
        <v/>
      </c>
      <c r="L13" s="13" t="n"/>
      <c r="M13" s="16" t="n"/>
      <c r="N13" s="13" t="n"/>
      <c r="O13" s="10">
        <f>IF(L13="","",IF(M13="Won",L13*G13,IF(M13="Void",L13,IF(M13="Cash out",N(N13),IF(M13="Lost",0,"")))))</f>
        <v/>
      </c>
      <c r="P13" s="10">
        <f>IF(OR(L13="",M13="",M13="Pending"),"",O13-L13)</f>
        <v/>
      </c>
      <c r="Q13" s="20" t="n"/>
      <c r="R13" s="11">
        <f>IF(OR(G13="",Q13=""),"",G13/Q13-1)</f>
        <v/>
      </c>
      <c r="S13" s="10">
        <f>IF(OR(L13="",J13=""),"",L13*J13)</f>
        <v/>
      </c>
      <c r="T13" s="10">
        <f>IF(P13="","",StartBank+SUM(P$2:P13))</f>
        <v/>
      </c>
      <c r="U13" s="16" t="n"/>
    </row>
    <row r="14">
      <c r="A14" s="19" t="n"/>
      <c r="B14" s="16" t="n"/>
      <c r="C14" s="16" t="n"/>
      <c r="D14" s="16" t="n"/>
      <c r="E14" s="16" t="n"/>
      <c r="F14" s="16" t="n"/>
      <c r="G14" s="20" t="n"/>
      <c r="H14" s="15" t="n"/>
      <c r="I14" s="21">
        <f>IF(OR(H14="",H14=0),"",1/H14)</f>
        <v/>
      </c>
      <c r="J14" s="11">
        <f>IF(OR(G14="",H14=""),"",H14*G14-1)</f>
        <v/>
      </c>
      <c r="K14" s="10">
        <f>IF(OR(G14="",H14="",G14&lt;=1),"",IF(J14&lt;IF(D14="Builder",MinEdgeBuilder,IF(D14="Player",MinEdgePlayer,MinEdgeSingle)),0,ROUND(MIN(IF(D14="Single",KellySingle,KellyBuilder)*(StartBank+SUM(P$1:P13))*J14/(G14-1),IF(D14="Builder",CapBuilder,CapSingle)*Unit),2)))</f>
        <v/>
      </c>
      <c r="L14" s="13" t="n"/>
      <c r="M14" s="16" t="n"/>
      <c r="N14" s="13" t="n"/>
      <c r="O14" s="10">
        <f>IF(L14="","",IF(M14="Won",L14*G14,IF(M14="Void",L14,IF(M14="Cash out",N(N14),IF(M14="Lost",0,"")))))</f>
        <v/>
      </c>
      <c r="P14" s="10">
        <f>IF(OR(L14="",M14="",M14="Pending"),"",O14-L14)</f>
        <v/>
      </c>
      <c r="Q14" s="20" t="n"/>
      <c r="R14" s="11">
        <f>IF(OR(G14="",Q14=""),"",G14/Q14-1)</f>
        <v/>
      </c>
      <c r="S14" s="10">
        <f>IF(OR(L14="",J14=""),"",L14*J14)</f>
        <v/>
      </c>
      <c r="T14" s="10">
        <f>IF(P14="","",StartBank+SUM(P$2:P14))</f>
        <v/>
      </c>
      <c r="U14" s="16" t="n"/>
    </row>
    <row r="15">
      <c r="A15" s="19" t="n"/>
      <c r="B15" s="16" t="n"/>
      <c r="C15" s="16" t="n"/>
      <c r="D15" s="16" t="n"/>
      <c r="E15" s="16" t="n"/>
      <c r="F15" s="16" t="n"/>
      <c r="G15" s="20" t="n"/>
      <c r="H15" s="15" t="n"/>
      <c r="I15" s="21">
        <f>IF(OR(H15="",H15=0),"",1/H15)</f>
        <v/>
      </c>
      <c r="J15" s="11">
        <f>IF(OR(G15="",H15=""),"",H15*G15-1)</f>
        <v/>
      </c>
      <c r="K15" s="10">
        <f>IF(OR(G15="",H15="",G15&lt;=1),"",IF(J15&lt;IF(D15="Builder",MinEdgeBuilder,IF(D15="Player",MinEdgePlayer,MinEdgeSingle)),0,ROUND(MIN(IF(D15="Single",KellySingle,KellyBuilder)*(StartBank+SUM(P$1:P14))*J15/(G15-1),IF(D15="Builder",CapBuilder,CapSingle)*Unit),2)))</f>
        <v/>
      </c>
      <c r="L15" s="13" t="n"/>
      <c r="M15" s="16" t="n"/>
      <c r="N15" s="13" t="n"/>
      <c r="O15" s="10">
        <f>IF(L15="","",IF(M15="Won",L15*G15,IF(M15="Void",L15,IF(M15="Cash out",N(N15),IF(M15="Lost",0,"")))))</f>
        <v/>
      </c>
      <c r="P15" s="10">
        <f>IF(OR(L15="",M15="",M15="Pending"),"",O15-L15)</f>
        <v/>
      </c>
      <c r="Q15" s="20" t="n"/>
      <c r="R15" s="11">
        <f>IF(OR(G15="",Q15=""),"",G15/Q15-1)</f>
        <v/>
      </c>
      <c r="S15" s="10">
        <f>IF(OR(L15="",J15=""),"",L15*J15)</f>
        <v/>
      </c>
      <c r="T15" s="10">
        <f>IF(P15="","",StartBank+SUM(P$2:P15))</f>
        <v/>
      </c>
      <c r="U15" s="16" t="n"/>
    </row>
    <row r="16">
      <c r="A16" s="19" t="n"/>
      <c r="B16" s="16" t="n"/>
      <c r="C16" s="16" t="n"/>
      <c r="D16" s="16" t="n"/>
      <c r="E16" s="16" t="n"/>
      <c r="F16" s="16" t="n"/>
      <c r="G16" s="20" t="n"/>
      <c r="H16" s="15" t="n"/>
      <c r="I16" s="21">
        <f>IF(OR(H16="",H16=0),"",1/H16)</f>
        <v/>
      </c>
      <c r="J16" s="11">
        <f>IF(OR(G16="",H16=""),"",H16*G16-1)</f>
        <v/>
      </c>
      <c r="K16" s="10">
        <f>IF(OR(G16="",H16="",G16&lt;=1),"",IF(J16&lt;IF(D16="Builder",MinEdgeBuilder,IF(D16="Player",MinEdgePlayer,MinEdgeSingle)),0,ROUND(MIN(IF(D16="Single",KellySingle,KellyBuilder)*(StartBank+SUM(P$1:P15))*J16/(G16-1),IF(D16="Builder",CapBuilder,CapSingle)*Unit),2)))</f>
        <v/>
      </c>
      <c r="L16" s="13" t="n"/>
      <c r="M16" s="16" t="n"/>
      <c r="N16" s="13" t="n"/>
      <c r="O16" s="10">
        <f>IF(L16="","",IF(M16="Won",L16*G16,IF(M16="Void",L16,IF(M16="Cash out",N(N16),IF(M16="Lost",0,"")))))</f>
        <v/>
      </c>
      <c r="P16" s="10">
        <f>IF(OR(L16="",M16="",M16="Pending"),"",O16-L16)</f>
        <v/>
      </c>
      <c r="Q16" s="20" t="n"/>
      <c r="R16" s="11">
        <f>IF(OR(G16="",Q16=""),"",G16/Q16-1)</f>
        <v/>
      </c>
      <c r="S16" s="10">
        <f>IF(OR(L16="",J16=""),"",L16*J16)</f>
        <v/>
      </c>
      <c r="T16" s="10">
        <f>IF(P16="","",StartBank+SUM(P$2:P16))</f>
        <v/>
      </c>
      <c r="U16" s="16" t="n"/>
    </row>
    <row r="17">
      <c r="A17" s="19" t="n"/>
      <c r="B17" s="16" t="n"/>
      <c r="C17" s="16" t="n"/>
      <c r="D17" s="16" t="n"/>
      <c r="E17" s="16" t="n"/>
      <c r="F17" s="16" t="n"/>
      <c r="G17" s="20" t="n"/>
      <c r="H17" s="15" t="n"/>
      <c r="I17" s="21">
        <f>IF(OR(H17="",H17=0),"",1/H17)</f>
        <v/>
      </c>
      <c r="J17" s="11">
        <f>IF(OR(G17="",H17=""),"",H17*G17-1)</f>
        <v/>
      </c>
      <c r="K17" s="10">
        <f>IF(OR(G17="",H17="",G17&lt;=1),"",IF(J17&lt;IF(D17="Builder",MinEdgeBuilder,IF(D17="Player",MinEdgePlayer,MinEdgeSingle)),0,ROUND(MIN(IF(D17="Single",KellySingle,KellyBuilder)*(StartBank+SUM(P$1:P16))*J17/(G17-1),IF(D17="Builder",CapBuilder,CapSingle)*Unit),2)))</f>
        <v/>
      </c>
      <c r="L17" s="13" t="n"/>
      <c r="M17" s="16" t="n"/>
      <c r="N17" s="13" t="n"/>
      <c r="O17" s="10">
        <f>IF(L17="","",IF(M17="Won",L17*G17,IF(M17="Void",L17,IF(M17="Cash out",N(N17),IF(M17="Lost",0,"")))))</f>
        <v/>
      </c>
      <c r="P17" s="10">
        <f>IF(OR(L17="",M17="",M17="Pending"),"",O17-L17)</f>
        <v/>
      </c>
      <c r="Q17" s="20" t="n"/>
      <c r="R17" s="11">
        <f>IF(OR(G17="",Q17=""),"",G17/Q17-1)</f>
        <v/>
      </c>
      <c r="S17" s="10">
        <f>IF(OR(L17="",J17=""),"",L17*J17)</f>
        <v/>
      </c>
      <c r="T17" s="10">
        <f>IF(P17="","",StartBank+SUM(P$2:P17))</f>
        <v/>
      </c>
      <c r="U17" s="16" t="n"/>
    </row>
    <row r="18">
      <c r="A18" s="19" t="n"/>
      <c r="B18" s="16" t="n"/>
      <c r="C18" s="16" t="n"/>
      <c r="D18" s="16" t="n"/>
      <c r="E18" s="16" t="n"/>
      <c r="F18" s="16" t="n"/>
      <c r="G18" s="20" t="n"/>
      <c r="H18" s="15" t="n"/>
      <c r="I18" s="21">
        <f>IF(OR(H18="",H18=0),"",1/H18)</f>
        <v/>
      </c>
      <c r="J18" s="11">
        <f>IF(OR(G18="",H18=""),"",H18*G18-1)</f>
        <v/>
      </c>
      <c r="K18" s="10">
        <f>IF(OR(G18="",H18="",G18&lt;=1),"",IF(J18&lt;IF(D18="Builder",MinEdgeBuilder,IF(D18="Player",MinEdgePlayer,MinEdgeSingle)),0,ROUND(MIN(IF(D18="Single",KellySingle,KellyBuilder)*(StartBank+SUM(P$1:P17))*J18/(G18-1),IF(D18="Builder",CapBuilder,CapSingle)*Unit),2)))</f>
        <v/>
      </c>
      <c r="L18" s="13" t="n"/>
      <c r="M18" s="16" t="n"/>
      <c r="N18" s="13" t="n"/>
      <c r="O18" s="10">
        <f>IF(L18="","",IF(M18="Won",L18*G18,IF(M18="Void",L18,IF(M18="Cash out",N(N18),IF(M18="Lost",0,"")))))</f>
        <v/>
      </c>
      <c r="P18" s="10">
        <f>IF(OR(L18="",M18="",M18="Pending"),"",O18-L18)</f>
        <v/>
      </c>
      <c r="Q18" s="20" t="n"/>
      <c r="R18" s="11">
        <f>IF(OR(G18="",Q18=""),"",G18/Q18-1)</f>
        <v/>
      </c>
      <c r="S18" s="10">
        <f>IF(OR(L18="",J18=""),"",L18*J18)</f>
        <v/>
      </c>
      <c r="T18" s="10">
        <f>IF(P18="","",StartBank+SUM(P$2:P18))</f>
        <v/>
      </c>
      <c r="U18" s="16" t="n"/>
    </row>
    <row r="19">
      <c r="A19" s="19" t="n"/>
      <c r="B19" s="16" t="n"/>
      <c r="C19" s="16" t="n"/>
      <c r="D19" s="16" t="n"/>
      <c r="E19" s="16" t="n"/>
      <c r="F19" s="16" t="n"/>
      <c r="G19" s="20" t="n"/>
      <c r="H19" s="15" t="n"/>
      <c r="I19" s="21">
        <f>IF(OR(H19="",H19=0),"",1/H19)</f>
        <v/>
      </c>
      <c r="J19" s="11">
        <f>IF(OR(G19="",H19=""),"",H19*G19-1)</f>
        <v/>
      </c>
      <c r="K19" s="10">
        <f>IF(OR(G19="",H19="",G19&lt;=1),"",IF(J19&lt;IF(D19="Builder",MinEdgeBuilder,IF(D19="Player",MinEdgePlayer,MinEdgeSingle)),0,ROUND(MIN(IF(D19="Single",KellySingle,KellyBuilder)*(StartBank+SUM(P$1:P18))*J19/(G19-1),IF(D19="Builder",CapBuilder,CapSingle)*Unit),2)))</f>
        <v/>
      </c>
      <c r="L19" s="13" t="n"/>
      <c r="M19" s="16" t="n"/>
      <c r="N19" s="13" t="n"/>
      <c r="O19" s="10">
        <f>IF(L19="","",IF(M19="Won",L19*G19,IF(M19="Void",L19,IF(M19="Cash out",N(N19),IF(M19="Lost",0,"")))))</f>
        <v/>
      </c>
      <c r="P19" s="10">
        <f>IF(OR(L19="",M19="",M19="Pending"),"",O19-L19)</f>
        <v/>
      </c>
      <c r="Q19" s="20" t="n"/>
      <c r="R19" s="11">
        <f>IF(OR(G19="",Q19=""),"",G19/Q19-1)</f>
        <v/>
      </c>
      <c r="S19" s="10">
        <f>IF(OR(L19="",J19=""),"",L19*J19)</f>
        <v/>
      </c>
      <c r="T19" s="10">
        <f>IF(P19="","",StartBank+SUM(P$2:P19))</f>
        <v/>
      </c>
      <c r="U19" s="16" t="n"/>
    </row>
    <row r="20">
      <c r="A20" s="19" t="n"/>
      <c r="B20" s="16" t="n"/>
      <c r="C20" s="16" t="n"/>
      <c r="D20" s="16" t="n"/>
      <c r="E20" s="16" t="n"/>
      <c r="F20" s="16" t="n"/>
      <c r="G20" s="20" t="n"/>
      <c r="H20" s="15" t="n"/>
      <c r="I20" s="21">
        <f>IF(OR(H20="",H20=0),"",1/H20)</f>
        <v/>
      </c>
      <c r="J20" s="11">
        <f>IF(OR(G20="",H20=""),"",H20*G20-1)</f>
        <v/>
      </c>
      <c r="K20" s="10">
        <f>IF(OR(G20="",H20="",G20&lt;=1),"",IF(J20&lt;IF(D20="Builder",MinEdgeBuilder,IF(D20="Player",MinEdgePlayer,MinEdgeSingle)),0,ROUND(MIN(IF(D20="Single",KellySingle,KellyBuilder)*(StartBank+SUM(P$1:P19))*J20/(G20-1),IF(D20="Builder",CapBuilder,CapSingle)*Unit),2)))</f>
        <v/>
      </c>
      <c r="L20" s="13" t="n"/>
      <c r="M20" s="16" t="n"/>
      <c r="N20" s="13" t="n"/>
      <c r="O20" s="10">
        <f>IF(L20="","",IF(M20="Won",L20*G20,IF(M20="Void",L20,IF(M20="Cash out",N(N20),IF(M20="Lost",0,"")))))</f>
        <v/>
      </c>
      <c r="P20" s="10">
        <f>IF(OR(L20="",M20="",M20="Pending"),"",O20-L20)</f>
        <v/>
      </c>
      <c r="Q20" s="20" t="n"/>
      <c r="R20" s="11">
        <f>IF(OR(G20="",Q20=""),"",G20/Q20-1)</f>
        <v/>
      </c>
      <c r="S20" s="10">
        <f>IF(OR(L20="",J20=""),"",L20*J20)</f>
        <v/>
      </c>
      <c r="T20" s="10">
        <f>IF(P20="","",StartBank+SUM(P$2:P20))</f>
        <v/>
      </c>
      <c r="U20" s="16" t="n"/>
    </row>
    <row r="21">
      <c r="A21" s="19" t="n"/>
      <c r="B21" s="16" t="n"/>
      <c r="C21" s="16" t="n"/>
      <c r="D21" s="16" t="n"/>
      <c r="E21" s="16" t="n"/>
      <c r="F21" s="16" t="n"/>
      <c r="G21" s="20" t="n"/>
      <c r="H21" s="15" t="n"/>
      <c r="I21" s="21">
        <f>IF(OR(H21="",H21=0),"",1/H21)</f>
        <v/>
      </c>
      <c r="J21" s="11">
        <f>IF(OR(G21="",H21=""),"",H21*G21-1)</f>
        <v/>
      </c>
      <c r="K21" s="10">
        <f>IF(OR(G21="",H21="",G21&lt;=1),"",IF(J21&lt;IF(D21="Builder",MinEdgeBuilder,IF(D21="Player",MinEdgePlayer,MinEdgeSingle)),0,ROUND(MIN(IF(D21="Single",KellySingle,KellyBuilder)*(StartBank+SUM(P$1:P20))*J21/(G21-1),IF(D21="Builder",CapBuilder,CapSingle)*Unit),2)))</f>
        <v/>
      </c>
      <c r="L21" s="13" t="n"/>
      <c r="M21" s="16" t="n"/>
      <c r="N21" s="13" t="n"/>
      <c r="O21" s="10">
        <f>IF(L21="","",IF(M21="Won",L21*G21,IF(M21="Void",L21,IF(M21="Cash out",N(N21),IF(M21="Lost",0,"")))))</f>
        <v/>
      </c>
      <c r="P21" s="10">
        <f>IF(OR(L21="",M21="",M21="Pending"),"",O21-L21)</f>
        <v/>
      </c>
      <c r="Q21" s="20" t="n"/>
      <c r="R21" s="11">
        <f>IF(OR(G21="",Q21=""),"",G21/Q21-1)</f>
        <v/>
      </c>
      <c r="S21" s="10">
        <f>IF(OR(L21="",J21=""),"",L21*J21)</f>
        <v/>
      </c>
      <c r="T21" s="10">
        <f>IF(P21="","",StartBank+SUM(P$2:P21))</f>
        <v/>
      </c>
      <c r="U21" s="16" t="n"/>
    </row>
    <row r="22">
      <c r="A22" s="19" t="n"/>
      <c r="B22" s="16" t="n"/>
      <c r="C22" s="16" t="n"/>
      <c r="D22" s="16" t="n"/>
      <c r="E22" s="16" t="n"/>
      <c r="F22" s="16" t="n"/>
      <c r="G22" s="20" t="n"/>
      <c r="H22" s="15" t="n"/>
      <c r="I22" s="21">
        <f>IF(OR(H22="",H22=0),"",1/H22)</f>
        <v/>
      </c>
      <c r="J22" s="11">
        <f>IF(OR(G22="",H22=""),"",H22*G22-1)</f>
        <v/>
      </c>
      <c r="K22" s="10">
        <f>IF(OR(G22="",H22="",G22&lt;=1),"",IF(J22&lt;IF(D22="Builder",MinEdgeBuilder,IF(D22="Player",MinEdgePlayer,MinEdgeSingle)),0,ROUND(MIN(IF(D22="Single",KellySingle,KellyBuilder)*(StartBank+SUM(P$1:P21))*J22/(G22-1),IF(D22="Builder",CapBuilder,CapSingle)*Unit),2)))</f>
        <v/>
      </c>
      <c r="L22" s="13" t="n"/>
      <c r="M22" s="16" t="n"/>
      <c r="N22" s="13" t="n"/>
      <c r="O22" s="10">
        <f>IF(L22="","",IF(M22="Won",L22*G22,IF(M22="Void",L22,IF(M22="Cash out",N(N22),IF(M22="Lost",0,"")))))</f>
        <v/>
      </c>
      <c r="P22" s="10">
        <f>IF(OR(L22="",M22="",M22="Pending"),"",O22-L22)</f>
        <v/>
      </c>
      <c r="Q22" s="20" t="n"/>
      <c r="R22" s="11">
        <f>IF(OR(G22="",Q22=""),"",G22/Q22-1)</f>
        <v/>
      </c>
      <c r="S22" s="10">
        <f>IF(OR(L22="",J22=""),"",L22*J22)</f>
        <v/>
      </c>
      <c r="T22" s="10">
        <f>IF(P22="","",StartBank+SUM(P$2:P22))</f>
        <v/>
      </c>
      <c r="U22" s="16" t="n"/>
    </row>
    <row r="23">
      <c r="A23" s="19" t="n"/>
      <c r="B23" s="16" t="n"/>
      <c r="C23" s="16" t="n"/>
      <c r="D23" s="16" t="n"/>
      <c r="E23" s="16" t="n"/>
      <c r="F23" s="16" t="n"/>
      <c r="G23" s="20" t="n"/>
      <c r="H23" s="15" t="n"/>
      <c r="I23" s="21">
        <f>IF(OR(H23="",H23=0),"",1/H23)</f>
        <v/>
      </c>
      <c r="J23" s="11">
        <f>IF(OR(G23="",H23=""),"",H23*G23-1)</f>
        <v/>
      </c>
      <c r="K23" s="10">
        <f>IF(OR(G23="",H23="",G23&lt;=1),"",IF(J23&lt;IF(D23="Builder",MinEdgeBuilder,IF(D23="Player",MinEdgePlayer,MinEdgeSingle)),0,ROUND(MIN(IF(D23="Single",KellySingle,KellyBuilder)*(StartBank+SUM(P$1:P22))*J23/(G23-1),IF(D23="Builder",CapBuilder,CapSingle)*Unit),2)))</f>
        <v/>
      </c>
      <c r="L23" s="13" t="n"/>
      <c r="M23" s="16" t="n"/>
      <c r="N23" s="13" t="n"/>
      <c r="O23" s="10">
        <f>IF(L23="","",IF(M23="Won",L23*G23,IF(M23="Void",L23,IF(M23="Cash out",N(N23),IF(M23="Lost",0,"")))))</f>
        <v/>
      </c>
      <c r="P23" s="10">
        <f>IF(OR(L23="",M23="",M23="Pending"),"",O23-L23)</f>
        <v/>
      </c>
      <c r="Q23" s="20" t="n"/>
      <c r="R23" s="11">
        <f>IF(OR(G23="",Q23=""),"",G23/Q23-1)</f>
        <v/>
      </c>
      <c r="S23" s="10">
        <f>IF(OR(L23="",J23=""),"",L23*J23)</f>
        <v/>
      </c>
      <c r="T23" s="10">
        <f>IF(P23="","",StartBank+SUM(P$2:P23))</f>
        <v/>
      </c>
      <c r="U23" s="16" t="n"/>
    </row>
    <row r="24">
      <c r="A24" s="19" t="n"/>
      <c r="B24" s="16" t="n"/>
      <c r="C24" s="16" t="n"/>
      <c r="D24" s="16" t="n"/>
      <c r="E24" s="16" t="n"/>
      <c r="F24" s="16" t="n"/>
      <c r="G24" s="20" t="n"/>
      <c r="H24" s="15" t="n"/>
      <c r="I24" s="21">
        <f>IF(OR(H24="",H24=0),"",1/H24)</f>
        <v/>
      </c>
      <c r="J24" s="11">
        <f>IF(OR(G24="",H24=""),"",H24*G24-1)</f>
        <v/>
      </c>
      <c r="K24" s="10">
        <f>IF(OR(G24="",H24="",G24&lt;=1),"",IF(J24&lt;IF(D24="Builder",MinEdgeBuilder,IF(D24="Player",MinEdgePlayer,MinEdgeSingle)),0,ROUND(MIN(IF(D24="Single",KellySingle,KellyBuilder)*(StartBank+SUM(P$1:P23))*J24/(G24-1),IF(D24="Builder",CapBuilder,CapSingle)*Unit),2)))</f>
        <v/>
      </c>
      <c r="L24" s="13" t="n"/>
      <c r="M24" s="16" t="n"/>
      <c r="N24" s="13" t="n"/>
      <c r="O24" s="10">
        <f>IF(L24="","",IF(M24="Won",L24*G24,IF(M24="Void",L24,IF(M24="Cash out",N(N24),IF(M24="Lost",0,"")))))</f>
        <v/>
      </c>
      <c r="P24" s="10">
        <f>IF(OR(L24="",M24="",M24="Pending"),"",O24-L24)</f>
        <v/>
      </c>
      <c r="Q24" s="20" t="n"/>
      <c r="R24" s="11">
        <f>IF(OR(G24="",Q24=""),"",G24/Q24-1)</f>
        <v/>
      </c>
      <c r="S24" s="10">
        <f>IF(OR(L24="",J24=""),"",L24*J24)</f>
        <v/>
      </c>
      <c r="T24" s="10">
        <f>IF(P24="","",StartBank+SUM(P$2:P24))</f>
        <v/>
      </c>
      <c r="U24" s="16" t="n"/>
    </row>
    <row r="25">
      <c r="A25" s="19" t="n"/>
      <c r="B25" s="16" t="n"/>
      <c r="C25" s="16" t="n"/>
      <c r="D25" s="16" t="n"/>
      <c r="E25" s="16" t="n"/>
      <c r="F25" s="16" t="n"/>
      <c r="G25" s="20" t="n"/>
      <c r="H25" s="15" t="n"/>
      <c r="I25" s="21">
        <f>IF(OR(H25="",H25=0),"",1/H25)</f>
        <v/>
      </c>
      <c r="J25" s="11">
        <f>IF(OR(G25="",H25=""),"",H25*G25-1)</f>
        <v/>
      </c>
      <c r="K25" s="10">
        <f>IF(OR(G25="",H25="",G25&lt;=1),"",IF(J25&lt;IF(D25="Builder",MinEdgeBuilder,IF(D25="Player",MinEdgePlayer,MinEdgeSingle)),0,ROUND(MIN(IF(D25="Single",KellySingle,KellyBuilder)*(StartBank+SUM(P$1:P24))*J25/(G25-1),IF(D25="Builder",CapBuilder,CapSingle)*Unit),2)))</f>
        <v/>
      </c>
      <c r="L25" s="13" t="n"/>
      <c r="M25" s="16" t="n"/>
      <c r="N25" s="13" t="n"/>
      <c r="O25" s="10">
        <f>IF(L25="","",IF(M25="Won",L25*G25,IF(M25="Void",L25,IF(M25="Cash out",N(N25),IF(M25="Lost",0,"")))))</f>
        <v/>
      </c>
      <c r="P25" s="10">
        <f>IF(OR(L25="",M25="",M25="Pending"),"",O25-L25)</f>
        <v/>
      </c>
      <c r="Q25" s="20" t="n"/>
      <c r="R25" s="11">
        <f>IF(OR(G25="",Q25=""),"",G25/Q25-1)</f>
        <v/>
      </c>
      <c r="S25" s="10">
        <f>IF(OR(L25="",J25=""),"",L25*J25)</f>
        <v/>
      </c>
      <c r="T25" s="10">
        <f>IF(P25="","",StartBank+SUM(P$2:P25))</f>
        <v/>
      </c>
      <c r="U25" s="16" t="n"/>
    </row>
    <row r="26">
      <c r="A26" s="19" t="n"/>
      <c r="B26" s="16" t="n"/>
      <c r="C26" s="16" t="n"/>
      <c r="D26" s="16" t="n"/>
      <c r="E26" s="16" t="n"/>
      <c r="F26" s="16" t="n"/>
      <c r="G26" s="20" t="n"/>
      <c r="H26" s="15" t="n"/>
      <c r="I26" s="21">
        <f>IF(OR(H26="",H26=0),"",1/H26)</f>
        <v/>
      </c>
      <c r="J26" s="11">
        <f>IF(OR(G26="",H26=""),"",H26*G26-1)</f>
        <v/>
      </c>
      <c r="K26" s="10">
        <f>IF(OR(G26="",H26="",G26&lt;=1),"",IF(J26&lt;IF(D26="Builder",MinEdgeBuilder,IF(D26="Player",MinEdgePlayer,MinEdgeSingle)),0,ROUND(MIN(IF(D26="Single",KellySingle,KellyBuilder)*(StartBank+SUM(P$1:P25))*J26/(G26-1),IF(D26="Builder",CapBuilder,CapSingle)*Unit),2)))</f>
        <v/>
      </c>
      <c r="L26" s="13" t="n"/>
      <c r="M26" s="16" t="n"/>
      <c r="N26" s="13" t="n"/>
      <c r="O26" s="10">
        <f>IF(L26="","",IF(M26="Won",L26*G26,IF(M26="Void",L26,IF(M26="Cash out",N(N26),IF(M26="Lost",0,"")))))</f>
        <v/>
      </c>
      <c r="P26" s="10">
        <f>IF(OR(L26="",M26="",M26="Pending"),"",O26-L26)</f>
        <v/>
      </c>
      <c r="Q26" s="20" t="n"/>
      <c r="R26" s="11">
        <f>IF(OR(G26="",Q26=""),"",G26/Q26-1)</f>
        <v/>
      </c>
      <c r="S26" s="10">
        <f>IF(OR(L26="",J26=""),"",L26*J26)</f>
        <v/>
      </c>
      <c r="T26" s="10">
        <f>IF(P26="","",StartBank+SUM(P$2:P26))</f>
        <v/>
      </c>
      <c r="U26" s="16" t="n"/>
    </row>
    <row r="27">
      <c r="A27" s="19" t="n"/>
      <c r="B27" s="16" t="n"/>
      <c r="C27" s="16" t="n"/>
      <c r="D27" s="16" t="n"/>
      <c r="E27" s="16" t="n"/>
      <c r="F27" s="16" t="n"/>
      <c r="G27" s="20" t="n"/>
      <c r="H27" s="15" t="n"/>
      <c r="I27" s="21">
        <f>IF(OR(H27="",H27=0),"",1/H27)</f>
        <v/>
      </c>
      <c r="J27" s="11">
        <f>IF(OR(G27="",H27=""),"",H27*G27-1)</f>
        <v/>
      </c>
      <c r="K27" s="10">
        <f>IF(OR(G27="",H27="",G27&lt;=1),"",IF(J27&lt;IF(D27="Builder",MinEdgeBuilder,IF(D27="Player",MinEdgePlayer,MinEdgeSingle)),0,ROUND(MIN(IF(D27="Single",KellySingle,KellyBuilder)*(StartBank+SUM(P$1:P26))*J27/(G27-1),IF(D27="Builder",CapBuilder,CapSingle)*Unit),2)))</f>
        <v/>
      </c>
      <c r="L27" s="13" t="n"/>
      <c r="M27" s="16" t="n"/>
      <c r="N27" s="13" t="n"/>
      <c r="O27" s="10">
        <f>IF(L27="","",IF(M27="Won",L27*G27,IF(M27="Void",L27,IF(M27="Cash out",N(N27),IF(M27="Lost",0,"")))))</f>
        <v/>
      </c>
      <c r="P27" s="10">
        <f>IF(OR(L27="",M27="",M27="Pending"),"",O27-L27)</f>
        <v/>
      </c>
      <c r="Q27" s="20" t="n"/>
      <c r="R27" s="11">
        <f>IF(OR(G27="",Q27=""),"",G27/Q27-1)</f>
        <v/>
      </c>
      <c r="S27" s="10">
        <f>IF(OR(L27="",J27=""),"",L27*J27)</f>
        <v/>
      </c>
      <c r="T27" s="10">
        <f>IF(P27="","",StartBank+SUM(P$2:P27))</f>
        <v/>
      </c>
      <c r="U27" s="16" t="n"/>
    </row>
    <row r="28">
      <c r="A28" s="19" t="n"/>
      <c r="B28" s="16" t="n"/>
      <c r="C28" s="16" t="n"/>
      <c r="D28" s="16" t="n"/>
      <c r="E28" s="16" t="n"/>
      <c r="F28" s="16" t="n"/>
      <c r="G28" s="20" t="n"/>
      <c r="H28" s="15" t="n"/>
      <c r="I28" s="21">
        <f>IF(OR(H28="",H28=0),"",1/H28)</f>
        <v/>
      </c>
      <c r="J28" s="11">
        <f>IF(OR(G28="",H28=""),"",H28*G28-1)</f>
        <v/>
      </c>
      <c r="K28" s="10">
        <f>IF(OR(G28="",H28="",G28&lt;=1),"",IF(J28&lt;IF(D28="Builder",MinEdgeBuilder,IF(D28="Player",MinEdgePlayer,MinEdgeSingle)),0,ROUND(MIN(IF(D28="Single",KellySingle,KellyBuilder)*(StartBank+SUM(P$1:P27))*J28/(G28-1),IF(D28="Builder",CapBuilder,CapSingle)*Unit),2)))</f>
        <v/>
      </c>
      <c r="L28" s="13" t="n"/>
      <c r="M28" s="16" t="n"/>
      <c r="N28" s="13" t="n"/>
      <c r="O28" s="10">
        <f>IF(L28="","",IF(M28="Won",L28*G28,IF(M28="Void",L28,IF(M28="Cash out",N(N28),IF(M28="Lost",0,"")))))</f>
        <v/>
      </c>
      <c r="P28" s="10">
        <f>IF(OR(L28="",M28="",M28="Pending"),"",O28-L28)</f>
        <v/>
      </c>
      <c r="Q28" s="20" t="n"/>
      <c r="R28" s="11">
        <f>IF(OR(G28="",Q28=""),"",G28/Q28-1)</f>
        <v/>
      </c>
      <c r="S28" s="10">
        <f>IF(OR(L28="",J28=""),"",L28*J28)</f>
        <v/>
      </c>
      <c r="T28" s="10">
        <f>IF(P28="","",StartBank+SUM(P$2:P28))</f>
        <v/>
      </c>
      <c r="U28" s="16" t="n"/>
    </row>
    <row r="29">
      <c r="A29" s="19" t="n"/>
      <c r="B29" s="16" t="n"/>
      <c r="C29" s="16" t="n"/>
      <c r="D29" s="16" t="n"/>
      <c r="E29" s="16" t="n"/>
      <c r="F29" s="16" t="n"/>
      <c r="G29" s="20" t="n"/>
      <c r="H29" s="15" t="n"/>
      <c r="I29" s="21">
        <f>IF(OR(H29="",H29=0),"",1/H29)</f>
        <v/>
      </c>
      <c r="J29" s="11">
        <f>IF(OR(G29="",H29=""),"",H29*G29-1)</f>
        <v/>
      </c>
      <c r="K29" s="10">
        <f>IF(OR(G29="",H29="",G29&lt;=1),"",IF(J29&lt;IF(D29="Builder",MinEdgeBuilder,IF(D29="Player",MinEdgePlayer,MinEdgeSingle)),0,ROUND(MIN(IF(D29="Single",KellySingle,KellyBuilder)*(StartBank+SUM(P$1:P28))*J29/(G29-1),IF(D29="Builder",CapBuilder,CapSingle)*Unit),2)))</f>
        <v/>
      </c>
      <c r="L29" s="13" t="n"/>
      <c r="M29" s="16" t="n"/>
      <c r="N29" s="13" t="n"/>
      <c r="O29" s="10">
        <f>IF(L29="","",IF(M29="Won",L29*G29,IF(M29="Void",L29,IF(M29="Cash out",N(N29),IF(M29="Lost",0,"")))))</f>
        <v/>
      </c>
      <c r="P29" s="10">
        <f>IF(OR(L29="",M29="",M29="Pending"),"",O29-L29)</f>
        <v/>
      </c>
      <c r="Q29" s="20" t="n"/>
      <c r="R29" s="11">
        <f>IF(OR(G29="",Q29=""),"",G29/Q29-1)</f>
        <v/>
      </c>
      <c r="S29" s="10">
        <f>IF(OR(L29="",J29=""),"",L29*J29)</f>
        <v/>
      </c>
      <c r="T29" s="10">
        <f>IF(P29="","",StartBank+SUM(P$2:P29))</f>
        <v/>
      </c>
      <c r="U29" s="16" t="n"/>
    </row>
    <row r="30">
      <c r="A30" s="19" t="n"/>
      <c r="B30" s="16" t="n"/>
      <c r="C30" s="16" t="n"/>
      <c r="D30" s="16" t="n"/>
      <c r="E30" s="16" t="n"/>
      <c r="F30" s="16" t="n"/>
      <c r="G30" s="20" t="n"/>
      <c r="H30" s="15" t="n"/>
      <c r="I30" s="21">
        <f>IF(OR(H30="",H30=0),"",1/H30)</f>
        <v/>
      </c>
      <c r="J30" s="11">
        <f>IF(OR(G30="",H30=""),"",H30*G30-1)</f>
        <v/>
      </c>
      <c r="K30" s="10">
        <f>IF(OR(G30="",H30="",G30&lt;=1),"",IF(J30&lt;IF(D30="Builder",MinEdgeBuilder,IF(D30="Player",MinEdgePlayer,MinEdgeSingle)),0,ROUND(MIN(IF(D30="Single",KellySingle,KellyBuilder)*(StartBank+SUM(P$1:P29))*J30/(G30-1),IF(D30="Builder",CapBuilder,CapSingle)*Unit),2)))</f>
        <v/>
      </c>
      <c r="L30" s="13" t="n"/>
      <c r="M30" s="16" t="n"/>
      <c r="N30" s="13" t="n"/>
      <c r="O30" s="10">
        <f>IF(L30="","",IF(M30="Won",L30*G30,IF(M30="Void",L30,IF(M30="Cash out",N(N30),IF(M30="Lost",0,"")))))</f>
        <v/>
      </c>
      <c r="P30" s="10">
        <f>IF(OR(L30="",M30="",M30="Pending"),"",O30-L30)</f>
        <v/>
      </c>
      <c r="Q30" s="20" t="n"/>
      <c r="R30" s="11">
        <f>IF(OR(G30="",Q30=""),"",G30/Q30-1)</f>
        <v/>
      </c>
      <c r="S30" s="10">
        <f>IF(OR(L30="",J30=""),"",L30*J30)</f>
        <v/>
      </c>
      <c r="T30" s="10">
        <f>IF(P30="","",StartBank+SUM(P$2:P30))</f>
        <v/>
      </c>
      <c r="U30" s="16" t="n"/>
    </row>
    <row r="31">
      <c r="A31" s="19" t="n"/>
      <c r="B31" s="16" t="n"/>
      <c r="C31" s="16" t="n"/>
      <c r="D31" s="16" t="n"/>
      <c r="E31" s="16" t="n"/>
      <c r="F31" s="16" t="n"/>
      <c r="G31" s="20" t="n"/>
      <c r="H31" s="15" t="n"/>
      <c r="I31" s="21">
        <f>IF(OR(H31="",H31=0),"",1/H31)</f>
        <v/>
      </c>
      <c r="J31" s="11">
        <f>IF(OR(G31="",H31=""),"",H31*G31-1)</f>
        <v/>
      </c>
      <c r="K31" s="10">
        <f>IF(OR(G31="",H31="",G31&lt;=1),"",IF(J31&lt;IF(D31="Builder",MinEdgeBuilder,IF(D31="Player",MinEdgePlayer,MinEdgeSingle)),0,ROUND(MIN(IF(D31="Single",KellySingle,KellyBuilder)*(StartBank+SUM(P$1:P30))*J31/(G31-1),IF(D31="Builder",CapBuilder,CapSingle)*Unit),2)))</f>
        <v/>
      </c>
      <c r="L31" s="13" t="n"/>
      <c r="M31" s="16" t="n"/>
      <c r="N31" s="13" t="n"/>
      <c r="O31" s="10">
        <f>IF(L31="","",IF(M31="Won",L31*G31,IF(M31="Void",L31,IF(M31="Cash out",N(N31),IF(M31="Lost",0,"")))))</f>
        <v/>
      </c>
      <c r="P31" s="10">
        <f>IF(OR(L31="",M31="",M31="Pending"),"",O31-L31)</f>
        <v/>
      </c>
      <c r="Q31" s="20" t="n"/>
      <c r="R31" s="11">
        <f>IF(OR(G31="",Q31=""),"",G31/Q31-1)</f>
        <v/>
      </c>
      <c r="S31" s="10">
        <f>IF(OR(L31="",J31=""),"",L31*J31)</f>
        <v/>
      </c>
      <c r="T31" s="10">
        <f>IF(P31="","",StartBank+SUM(P$2:P31))</f>
        <v/>
      </c>
      <c r="U31" s="16" t="n"/>
    </row>
    <row r="32">
      <c r="A32" s="19" t="n"/>
      <c r="B32" s="16" t="n"/>
      <c r="C32" s="16" t="n"/>
      <c r="D32" s="16" t="n"/>
      <c r="E32" s="16" t="n"/>
      <c r="F32" s="16" t="n"/>
      <c r="G32" s="20" t="n"/>
      <c r="H32" s="15" t="n"/>
      <c r="I32" s="21">
        <f>IF(OR(H32="",H32=0),"",1/H32)</f>
        <v/>
      </c>
      <c r="J32" s="11">
        <f>IF(OR(G32="",H32=""),"",H32*G32-1)</f>
        <v/>
      </c>
      <c r="K32" s="10">
        <f>IF(OR(G32="",H32="",G32&lt;=1),"",IF(J32&lt;IF(D32="Builder",MinEdgeBuilder,IF(D32="Player",MinEdgePlayer,MinEdgeSingle)),0,ROUND(MIN(IF(D32="Single",KellySingle,KellyBuilder)*(StartBank+SUM(P$1:P31))*J32/(G32-1),IF(D32="Builder",CapBuilder,CapSingle)*Unit),2)))</f>
        <v/>
      </c>
      <c r="L32" s="13" t="n"/>
      <c r="M32" s="16" t="n"/>
      <c r="N32" s="13" t="n"/>
      <c r="O32" s="10">
        <f>IF(L32="","",IF(M32="Won",L32*G32,IF(M32="Void",L32,IF(M32="Cash out",N(N32),IF(M32="Lost",0,"")))))</f>
        <v/>
      </c>
      <c r="P32" s="10">
        <f>IF(OR(L32="",M32="",M32="Pending"),"",O32-L32)</f>
        <v/>
      </c>
      <c r="Q32" s="20" t="n"/>
      <c r="R32" s="11">
        <f>IF(OR(G32="",Q32=""),"",G32/Q32-1)</f>
        <v/>
      </c>
      <c r="S32" s="10">
        <f>IF(OR(L32="",J32=""),"",L32*J32)</f>
        <v/>
      </c>
      <c r="T32" s="10">
        <f>IF(P32="","",StartBank+SUM(P$2:P32))</f>
        <v/>
      </c>
      <c r="U32" s="16" t="n"/>
    </row>
    <row r="33">
      <c r="A33" s="19" t="n"/>
      <c r="B33" s="16" t="n"/>
      <c r="C33" s="16" t="n"/>
      <c r="D33" s="16" t="n"/>
      <c r="E33" s="16" t="n"/>
      <c r="F33" s="16" t="n"/>
      <c r="G33" s="20" t="n"/>
      <c r="H33" s="15" t="n"/>
      <c r="I33" s="21">
        <f>IF(OR(H33="",H33=0),"",1/H33)</f>
        <v/>
      </c>
      <c r="J33" s="11">
        <f>IF(OR(G33="",H33=""),"",H33*G33-1)</f>
        <v/>
      </c>
      <c r="K33" s="10">
        <f>IF(OR(G33="",H33="",G33&lt;=1),"",IF(J33&lt;IF(D33="Builder",MinEdgeBuilder,IF(D33="Player",MinEdgePlayer,MinEdgeSingle)),0,ROUND(MIN(IF(D33="Single",KellySingle,KellyBuilder)*(StartBank+SUM(P$1:P32))*J33/(G33-1),IF(D33="Builder",CapBuilder,CapSingle)*Unit),2)))</f>
        <v/>
      </c>
      <c r="L33" s="13" t="n"/>
      <c r="M33" s="16" t="n"/>
      <c r="N33" s="13" t="n"/>
      <c r="O33" s="10">
        <f>IF(L33="","",IF(M33="Won",L33*G33,IF(M33="Void",L33,IF(M33="Cash out",N(N33),IF(M33="Lost",0,"")))))</f>
        <v/>
      </c>
      <c r="P33" s="10">
        <f>IF(OR(L33="",M33="",M33="Pending"),"",O33-L33)</f>
        <v/>
      </c>
      <c r="Q33" s="20" t="n"/>
      <c r="R33" s="11">
        <f>IF(OR(G33="",Q33=""),"",G33/Q33-1)</f>
        <v/>
      </c>
      <c r="S33" s="10">
        <f>IF(OR(L33="",J33=""),"",L33*J33)</f>
        <v/>
      </c>
      <c r="T33" s="10">
        <f>IF(P33="","",StartBank+SUM(P$2:P33))</f>
        <v/>
      </c>
      <c r="U33" s="16" t="n"/>
    </row>
    <row r="34">
      <c r="A34" s="19" t="n"/>
      <c r="B34" s="16" t="n"/>
      <c r="C34" s="16" t="n"/>
      <c r="D34" s="16" t="n"/>
      <c r="E34" s="16" t="n"/>
      <c r="F34" s="16" t="n"/>
      <c r="G34" s="20" t="n"/>
      <c r="H34" s="15" t="n"/>
      <c r="I34" s="21">
        <f>IF(OR(H34="",H34=0),"",1/H34)</f>
        <v/>
      </c>
      <c r="J34" s="11">
        <f>IF(OR(G34="",H34=""),"",H34*G34-1)</f>
        <v/>
      </c>
      <c r="K34" s="10">
        <f>IF(OR(G34="",H34="",G34&lt;=1),"",IF(J34&lt;IF(D34="Builder",MinEdgeBuilder,IF(D34="Player",MinEdgePlayer,MinEdgeSingle)),0,ROUND(MIN(IF(D34="Single",KellySingle,KellyBuilder)*(StartBank+SUM(P$1:P33))*J34/(G34-1),IF(D34="Builder",CapBuilder,CapSingle)*Unit),2)))</f>
        <v/>
      </c>
      <c r="L34" s="13" t="n"/>
      <c r="M34" s="16" t="n"/>
      <c r="N34" s="13" t="n"/>
      <c r="O34" s="10">
        <f>IF(L34="","",IF(M34="Won",L34*G34,IF(M34="Void",L34,IF(M34="Cash out",N(N34),IF(M34="Lost",0,"")))))</f>
        <v/>
      </c>
      <c r="P34" s="10">
        <f>IF(OR(L34="",M34="",M34="Pending"),"",O34-L34)</f>
        <v/>
      </c>
      <c r="Q34" s="20" t="n"/>
      <c r="R34" s="11">
        <f>IF(OR(G34="",Q34=""),"",G34/Q34-1)</f>
        <v/>
      </c>
      <c r="S34" s="10">
        <f>IF(OR(L34="",J34=""),"",L34*J34)</f>
        <v/>
      </c>
      <c r="T34" s="10">
        <f>IF(P34="","",StartBank+SUM(P$2:P34))</f>
        <v/>
      </c>
      <c r="U34" s="16" t="n"/>
    </row>
    <row r="35">
      <c r="A35" s="19" t="n"/>
      <c r="B35" s="16" t="n"/>
      <c r="C35" s="16" t="n"/>
      <c r="D35" s="16" t="n"/>
      <c r="E35" s="16" t="n"/>
      <c r="F35" s="16" t="n"/>
      <c r="G35" s="20" t="n"/>
      <c r="H35" s="15" t="n"/>
      <c r="I35" s="21">
        <f>IF(OR(H35="",H35=0),"",1/H35)</f>
        <v/>
      </c>
      <c r="J35" s="11">
        <f>IF(OR(G35="",H35=""),"",H35*G35-1)</f>
        <v/>
      </c>
      <c r="K35" s="10">
        <f>IF(OR(G35="",H35="",G35&lt;=1),"",IF(J35&lt;IF(D35="Builder",MinEdgeBuilder,IF(D35="Player",MinEdgePlayer,MinEdgeSingle)),0,ROUND(MIN(IF(D35="Single",KellySingle,KellyBuilder)*(StartBank+SUM(P$1:P34))*J35/(G35-1),IF(D35="Builder",CapBuilder,CapSingle)*Unit),2)))</f>
        <v/>
      </c>
      <c r="L35" s="13" t="n"/>
      <c r="M35" s="16" t="n"/>
      <c r="N35" s="13" t="n"/>
      <c r="O35" s="10">
        <f>IF(L35="","",IF(M35="Won",L35*G35,IF(M35="Void",L35,IF(M35="Cash out",N(N35),IF(M35="Lost",0,"")))))</f>
        <v/>
      </c>
      <c r="P35" s="10">
        <f>IF(OR(L35="",M35="",M35="Pending"),"",O35-L35)</f>
        <v/>
      </c>
      <c r="Q35" s="20" t="n"/>
      <c r="R35" s="11">
        <f>IF(OR(G35="",Q35=""),"",G35/Q35-1)</f>
        <v/>
      </c>
      <c r="S35" s="10">
        <f>IF(OR(L35="",J35=""),"",L35*J35)</f>
        <v/>
      </c>
      <c r="T35" s="10">
        <f>IF(P35="","",StartBank+SUM(P$2:P35))</f>
        <v/>
      </c>
      <c r="U35" s="16" t="n"/>
    </row>
    <row r="36">
      <c r="A36" s="19" t="n"/>
      <c r="B36" s="16" t="n"/>
      <c r="C36" s="16" t="n"/>
      <c r="D36" s="16" t="n"/>
      <c r="E36" s="16" t="n"/>
      <c r="F36" s="16" t="n"/>
      <c r="G36" s="20" t="n"/>
      <c r="H36" s="15" t="n"/>
      <c r="I36" s="21">
        <f>IF(OR(H36="",H36=0),"",1/H36)</f>
        <v/>
      </c>
      <c r="J36" s="11">
        <f>IF(OR(G36="",H36=""),"",H36*G36-1)</f>
        <v/>
      </c>
      <c r="K36" s="10">
        <f>IF(OR(G36="",H36="",G36&lt;=1),"",IF(J36&lt;IF(D36="Builder",MinEdgeBuilder,IF(D36="Player",MinEdgePlayer,MinEdgeSingle)),0,ROUND(MIN(IF(D36="Single",KellySingle,KellyBuilder)*(StartBank+SUM(P$1:P35))*J36/(G36-1),IF(D36="Builder",CapBuilder,CapSingle)*Unit),2)))</f>
        <v/>
      </c>
      <c r="L36" s="13" t="n"/>
      <c r="M36" s="16" t="n"/>
      <c r="N36" s="13" t="n"/>
      <c r="O36" s="10">
        <f>IF(L36="","",IF(M36="Won",L36*G36,IF(M36="Void",L36,IF(M36="Cash out",N(N36),IF(M36="Lost",0,"")))))</f>
        <v/>
      </c>
      <c r="P36" s="10">
        <f>IF(OR(L36="",M36="",M36="Pending"),"",O36-L36)</f>
        <v/>
      </c>
      <c r="Q36" s="20" t="n"/>
      <c r="R36" s="11">
        <f>IF(OR(G36="",Q36=""),"",G36/Q36-1)</f>
        <v/>
      </c>
      <c r="S36" s="10">
        <f>IF(OR(L36="",J36=""),"",L36*J36)</f>
        <v/>
      </c>
      <c r="T36" s="10">
        <f>IF(P36="","",StartBank+SUM(P$2:P36))</f>
        <v/>
      </c>
      <c r="U36" s="16" t="n"/>
    </row>
    <row r="37">
      <c r="A37" s="19" t="n"/>
      <c r="B37" s="16" t="n"/>
      <c r="C37" s="16" t="n"/>
      <c r="D37" s="16" t="n"/>
      <c r="E37" s="16" t="n"/>
      <c r="F37" s="16" t="n"/>
      <c r="G37" s="20" t="n"/>
      <c r="H37" s="15" t="n"/>
      <c r="I37" s="21">
        <f>IF(OR(H37="",H37=0),"",1/H37)</f>
        <v/>
      </c>
      <c r="J37" s="11">
        <f>IF(OR(G37="",H37=""),"",H37*G37-1)</f>
        <v/>
      </c>
      <c r="K37" s="10">
        <f>IF(OR(G37="",H37="",G37&lt;=1),"",IF(J37&lt;IF(D37="Builder",MinEdgeBuilder,IF(D37="Player",MinEdgePlayer,MinEdgeSingle)),0,ROUND(MIN(IF(D37="Single",KellySingle,KellyBuilder)*(StartBank+SUM(P$1:P36))*J37/(G37-1),IF(D37="Builder",CapBuilder,CapSingle)*Unit),2)))</f>
        <v/>
      </c>
      <c r="L37" s="13" t="n"/>
      <c r="M37" s="16" t="n"/>
      <c r="N37" s="13" t="n"/>
      <c r="O37" s="10">
        <f>IF(L37="","",IF(M37="Won",L37*G37,IF(M37="Void",L37,IF(M37="Cash out",N(N37),IF(M37="Lost",0,"")))))</f>
        <v/>
      </c>
      <c r="P37" s="10">
        <f>IF(OR(L37="",M37="",M37="Pending"),"",O37-L37)</f>
        <v/>
      </c>
      <c r="Q37" s="20" t="n"/>
      <c r="R37" s="11">
        <f>IF(OR(G37="",Q37=""),"",G37/Q37-1)</f>
        <v/>
      </c>
      <c r="S37" s="10">
        <f>IF(OR(L37="",J37=""),"",L37*J37)</f>
        <v/>
      </c>
      <c r="T37" s="10">
        <f>IF(P37="","",StartBank+SUM(P$2:P37))</f>
        <v/>
      </c>
      <c r="U37" s="16" t="n"/>
    </row>
    <row r="38">
      <c r="A38" s="19" t="n"/>
      <c r="B38" s="16" t="n"/>
      <c r="C38" s="16" t="n"/>
      <c r="D38" s="16" t="n"/>
      <c r="E38" s="16" t="n"/>
      <c r="F38" s="16" t="n"/>
      <c r="G38" s="20" t="n"/>
      <c r="H38" s="15" t="n"/>
      <c r="I38" s="21">
        <f>IF(OR(H38="",H38=0),"",1/H38)</f>
        <v/>
      </c>
      <c r="J38" s="11">
        <f>IF(OR(G38="",H38=""),"",H38*G38-1)</f>
        <v/>
      </c>
      <c r="K38" s="10">
        <f>IF(OR(G38="",H38="",G38&lt;=1),"",IF(J38&lt;IF(D38="Builder",MinEdgeBuilder,IF(D38="Player",MinEdgePlayer,MinEdgeSingle)),0,ROUND(MIN(IF(D38="Single",KellySingle,KellyBuilder)*(StartBank+SUM(P$1:P37))*J38/(G38-1),IF(D38="Builder",CapBuilder,CapSingle)*Unit),2)))</f>
        <v/>
      </c>
      <c r="L38" s="13" t="n"/>
      <c r="M38" s="16" t="n"/>
      <c r="N38" s="13" t="n"/>
      <c r="O38" s="10">
        <f>IF(L38="","",IF(M38="Won",L38*G38,IF(M38="Void",L38,IF(M38="Cash out",N(N38),IF(M38="Lost",0,"")))))</f>
        <v/>
      </c>
      <c r="P38" s="10">
        <f>IF(OR(L38="",M38="",M38="Pending"),"",O38-L38)</f>
        <v/>
      </c>
      <c r="Q38" s="20" t="n"/>
      <c r="R38" s="11">
        <f>IF(OR(G38="",Q38=""),"",G38/Q38-1)</f>
        <v/>
      </c>
      <c r="S38" s="10">
        <f>IF(OR(L38="",J38=""),"",L38*J38)</f>
        <v/>
      </c>
      <c r="T38" s="10">
        <f>IF(P38="","",StartBank+SUM(P$2:P38))</f>
        <v/>
      </c>
      <c r="U38" s="16" t="n"/>
    </row>
    <row r="39">
      <c r="A39" s="19" t="n"/>
      <c r="B39" s="16" t="n"/>
      <c r="C39" s="16" t="n"/>
      <c r="D39" s="16" t="n"/>
      <c r="E39" s="16" t="n"/>
      <c r="F39" s="16" t="n"/>
      <c r="G39" s="20" t="n"/>
      <c r="H39" s="15" t="n"/>
      <c r="I39" s="21">
        <f>IF(OR(H39="",H39=0),"",1/H39)</f>
        <v/>
      </c>
      <c r="J39" s="11">
        <f>IF(OR(G39="",H39=""),"",H39*G39-1)</f>
        <v/>
      </c>
      <c r="K39" s="10">
        <f>IF(OR(G39="",H39="",G39&lt;=1),"",IF(J39&lt;IF(D39="Builder",MinEdgeBuilder,IF(D39="Player",MinEdgePlayer,MinEdgeSingle)),0,ROUND(MIN(IF(D39="Single",KellySingle,KellyBuilder)*(StartBank+SUM(P$1:P38))*J39/(G39-1),IF(D39="Builder",CapBuilder,CapSingle)*Unit),2)))</f>
        <v/>
      </c>
      <c r="L39" s="13" t="n"/>
      <c r="M39" s="16" t="n"/>
      <c r="N39" s="13" t="n"/>
      <c r="O39" s="10">
        <f>IF(L39="","",IF(M39="Won",L39*G39,IF(M39="Void",L39,IF(M39="Cash out",N(N39),IF(M39="Lost",0,"")))))</f>
        <v/>
      </c>
      <c r="P39" s="10">
        <f>IF(OR(L39="",M39="",M39="Pending"),"",O39-L39)</f>
        <v/>
      </c>
      <c r="Q39" s="20" t="n"/>
      <c r="R39" s="11">
        <f>IF(OR(G39="",Q39=""),"",G39/Q39-1)</f>
        <v/>
      </c>
      <c r="S39" s="10">
        <f>IF(OR(L39="",J39=""),"",L39*J39)</f>
        <v/>
      </c>
      <c r="T39" s="10">
        <f>IF(P39="","",StartBank+SUM(P$2:P39))</f>
        <v/>
      </c>
      <c r="U39" s="16" t="n"/>
    </row>
    <row r="40">
      <c r="A40" s="19" t="n"/>
      <c r="B40" s="16" t="n"/>
      <c r="C40" s="16" t="n"/>
      <c r="D40" s="16" t="n"/>
      <c r="E40" s="16" t="n"/>
      <c r="F40" s="16" t="n"/>
      <c r="G40" s="20" t="n"/>
      <c r="H40" s="15" t="n"/>
      <c r="I40" s="21">
        <f>IF(OR(H40="",H40=0),"",1/H40)</f>
        <v/>
      </c>
      <c r="J40" s="11">
        <f>IF(OR(G40="",H40=""),"",H40*G40-1)</f>
        <v/>
      </c>
      <c r="K40" s="10">
        <f>IF(OR(G40="",H40="",G40&lt;=1),"",IF(J40&lt;IF(D40="Builder",MinEdgeBuilder,IF(D40="Player",MinEdgePlayer,MinEdgeSingle)),0,ROUND(MIN(IF(D40="Single",KellySingle,KellyBuilder)*(StartBank+SUM(P$1:P39))*J40/(G40-1),IF(D40="Builder",CapBuilder,CapSingle)*Unit),2)))</f>
        <v/>
      </c>
      <c r="L40" s="13" t="n"/>
      <c r="M40" s="16" t="n"/>
      <c r="N40" s="13" t="n"/>
      <c r="O40" s="10">
        <f>IF(L40="","",IF(M40="Won",L40*G40,IF(M40="Void",L40,IF(M40="Cash out",N(N40),IF(M40="Lost",0,"")))))</f>
        <v/>
      </c>
      <c r="P40" s="10">
        <f>IF(OR(L40="",M40="",M40="Pending"),"",O40-L40)</f>
        <v/>
      </c>
      <c r="Q40" s="20" t="n"/>
      <c r="R40" s="11">
        <f>IF(OR(G40="",Q40=""),"",G40/Q40-1)</f>
        <v/>
      </c>
      <c r="S40" s="10">
        <f>IF(OR(L40="",J40=""),"",L40*J40)</f>
        <v/>
      </c>
      <c r="T40" s="10">
        <f>IF(P40="","",StartBank+SUM(P$2:P40))</f>
        <v/>
      </c>
      <c r="U40" s="16" t="n"/>
    </row>
    <row r="41">
      <c r="A41" s="19" t="n"/>
      <c r="B41" s="16" t="n"/>
      <c r="C41" s="16" t="n"/>
      <c r="D41" s="16" t="n"/>
      <c r="E41" s="16" t="n"/>
      <c r="F41" s="16" t="n"/>
      <c r="G41" s="20" t="n"/>
      <c r="H41" s="15" t="n"/>
      <c r="I41" s="21">
        <f>IF(OR(H41="",H41=0),"",1/H41)</f>
        <v/>
      </c>
      <c r="J41" s="11">
        <f>IF(OR(G41="",H41=""),"",H41*G41-1)</f>
        <v/>
      </c>
      <c r="K41" s="10">
        <f>IF(OR(G41="",H41="",G41&lt;=1),"",IF(J41&lt;IF(D41="Builder",MinEdgeBuilder,IF(D41="Player",MinEdgePlayer,MinEdgeSingle)),0,ROUND(MIN(IF(D41="Single",KellySingle,KellyBuilder)*(StartBank+SUM(P$1:P40))*J41/(G41-1),IF(D41="Builder",CapBuilder,CapSingle)*Unit),2)))</f>
        <v/>
      </c>
      <c r="L41" s="13" t="n"/>
      <c r="M41" s="16" t="n"/>
      <c r="N41" s="13" t="n"/>
      <c r="O41" s="10">
        <f>IF(L41="","",IF(M41="Won",L41*G41,IF(M41="Void",L41,IF(M41="Cash out",N(N41),IF(M41="Lost",0,"")))))</f>
        <v/>
      </c>
      <c r="P41" s="10">
        <f>IF(OR(L41="",M41="",M41="Pending"),"",O41-L41)</f>
        <v/>
      </c>
      <c r="Q41" s="20" t="n"/>
      <c r="R41" s="11">
        <f>IF(OR(G41="",Q41=""),"",G41/Q41-1)</f>
        <v/>
      </c>
      <c r="S41" s="10">
        <f>IF(OR(L41="",J41=""),"",L41*J41)</f>
        <v/>
      </c>
      <c r="T41" s="10">
        <f>IF(P41="","",StartBank+SUM(P$2:P41))</f>
        <v/>
      </c>
      <c r="U41" s="16" t="n"/>
    </row>
    <row r="42">
      <c r="A42" s="19" t="n"/>
      <c r="B42" s="16" t="n"/>
      <c r="C42" s="16" t="n"/>
      <c r="D42" s="16" t="n"/>
      <c r="E42" s="16" t="n"/>
      <c r="F42" s="16" t="n"/>
      <c r="G42" s="20" t="n"/>
      <c r="H42" s="15" t="n"/>
      <c r="I42" s="21">
        <f>IF(OR(H42="",H42=0),"",1/H42)</f>
        <v/>
      </c>
      <c r="J42" s="11">
        <f>IF(OR(G42="",H42=""),"",H42*G42-1)</f>
        <v/>
      </c>
      <c r="K42" s="10">
        <f>IF(OR(G42="",H42="",G42&lt;=1),"",IF(J42&lt;IF(D42="Builder",MinEdgeBuilder,IF(D42="Player",MinEdgePlayer,MinEdgeSingle)),0,ROUND(MIN(IF(D42="Single",KellySingle,KellyBuilder)*(StartBank+SUM(P$1:P41))*J42/(G42-1),IF(D42="Builder",CapBuilder,CapSingle)*Unit),2)))</f>
        <v/>
      </c>
      <c r="L42" s="13" t="n"/>
      <c r="M42" s="16" t="n"/>
      <c r="N42" s="13" t="n"/>
      <c r="O42" s="10">
        <f>IF(L42="","",IF(M42="Won",L42*G42,IF(M42="Void",L42,IF(M42="Cash out",N(N42),IF(M42="Lost",0,"")))))</f>
        <v/>
      </c>
      <c r="P42" s="10">
        <f>IF(OR(L42="",M42="",M42="Pending"),"",O42-L42)</f>
        <v/>
      </c>
      <c r="Q42" s="20" t="n"/>
      <c r="R42" s="11">
        <f>IF(OR(G42="",Q42=""),"",G42/Q42-1)</f>
        <v/>
      </c>
      <c r="S42" s="10">
        <f>IF(OR(L42="",J42=""),"",L42*J42)</f>
        <v/>
      </c>
      <c r="T42" s="10">
        <f>IF(P42="","",StartBank+SUM(P$2:P42))</f>
        <v/>
      </c>
      <c r="U42" s="16" t="n"/>
    </row>
    <row r="43">
      <c r="A43" s="19" t="n"/>
      <c r="B43" s="16" t="n"/>
      <c r="C43" s="16" t="n"/>
      <c r="D43" s="16" t="n"/>
      <c r="E43" s="16" t="n"/>
      <c r="F43" s="16" t="n"/>
      <c r="G43" s="20" t="n"/>
      <c r="H43" s="15" t="n"/>
      <c r="I43" s="21">
        <f>IF(OR(H43="",H43=0),"",1/H43)</f>
        <v/>
      </c>
      <c r="J43" s="11">
        <f>IF(OR(G43="",H43=""),"",H43*G43-1)</f>
        <v/>
      </c>
      <c r="K43" s="10">
        <f>IF(OR(G43="",H43="",G43&lt;=1),"",IF(J43&lt;IF(D43="Builder",MinEdgeBuilder,IF(D43="Player",MinEdgePlayer,MinEdgeSingle)),0,ROUND(MIN(IF(D43="Single",KellySingle,KellyBuilder)*(StartBank+SUM(P$1:P42))*J43/(G43-1),IF(D43="Builder",CapBuilder,CapSingle)*Unit),2)))</f>
        <v/>
      </c>
      <c r="L43" s="13" t="n"/>
      <c r="M43" s="16" t="n"/>
      <c r="N43" s="13" t="n"/>
      <c r="O43" s="10">
        <f>IF(L43="","",IF(M43="Won",L43*G43,IF(M43="Void",L43,IF(M43="Cash out",N(N43),IF(M43="Lost",0,"")))))</f>
        <v/>
      </c>
      <c r="P43" s="10">
        <f>IF(OR(L43="",M43="",M43="Pending"),"",O43-L43)</f>
        <v/>
      </c>
      <c r="Q43" s="20" t="n"/>
      <c r="R43" s="11">
        <f>IF(OR(G43="",Q43=""),"",G43/Q43-1)</f>
        <v/>
      </c>
      <c r="S43" s="10">
        <f>IF(OR(L43="",J43=""),"",L43*J43)</f>
        <v/>
      </c>
      <c r="T43" s="10">
        <f>IF(P43="","",StartBank+SUM(P$2:P43))</f>
        <v/>
      </c>
      <c r="U43" s="16" t="n"/>
    </row>
    <row r="44">
      <c r="A44" s="19" t="n"/>
      <c r="B44" s="16" t="n"/>
      <c r="C44" s="16" t="n"/>
      <c r="D44" s="16" t="n"/>
      <c r="E44" s="16" t="n"/>
      <c r="F44" s="16" t="n"/>
      <c r="G44" s="20" t="n"/>
      <c r="H44" s="15" t="n"/>
      <c r="I44" s="21">
        <f>IF(OR(H44="",H44=0),"",1/H44)</f>
        <v/>
      </c>
      <c r="J44" s="11">
        <f>IF(OR(G44="",H44=""),"",H44*G44-1)</f>
        <v/>
      </c>
      <c r="K44" s="10">
        <f>IF(OR(G44="",H44="",G44&lt;=1),"",IF(J44&lt;IF(D44="Builder",MinEdgeBuilder,IF(D44="Player",MinEdgePlayer,MinEdgeSingle)),0,ROUND(MIN(IF(D44="Single",KellySingle,KellyBuilder)*(StartBank+SUM(P$1:P43))*J44/(G44-1),IF(D44="Builder",CapBuilder,CapSingle)*Unit),2)))</f>
        <v/>
      </c>
      <c r="L44" s="13" t="n"/>
      <c r="M44" s="16" t="n"/>
      <c r="N44" s="13" t="n"/>
      <c r="O44" s="10">
        <f>IF(L44="","",IF(M44="Won",L44*G44,IF(M44="Void",L44,IF(M44="Cash out",N(N44),IF(M44="Lost",0,"")))))</f>
        <v/>
      </c>
      <c r="P44" s="10">
        <f>IF(OR(L44="",M44="",M44="Pending"),"",O44-L44)</f>
        <v/>
      </c>
      <c r="Q44" s="20" t="n"/>
      <c r="R44" s="11">
        <f>IF(OR(G44="",Q44=""),"",G44/Q44-1)</f>
        <v/>
      </c>
      <c r="S44" s="10">
        <f>IF(OR(L44="",J44=""),"",L44*J44)</f>
        <v/>
      </c>
      <c r="T44" s="10">
        <f>IF(P44="","",StartBank+SUM(P$2:P44))</f>
        <v/>
      </c>
      <c r="U44" s="16" t="n"/>
    </row>
    <row r="45">
      <c r="A45" s="19" t="n"/>
      <c r="B45" s="16" t="n"/>
      <c r="C45" s="16" t="n"/>
      <c r="D45" s="16" t="n"/>
      <c r="E45" s="16" t="n"/>
      <c r="F45" s="16" t="n"/>
      <c r="G45" s="20" t="n"/>
      <c r="H45" s="15" t="n"/>
      <c r="I45" s="21">
        <f>IF(OR(H45="",H45=0),"",1/H45)</f>
        <v/>
      </c>
      <c r="J45" s="11">
        <f>IF(OR(G45="",H45=""),"",H45*G45-1)</f>
        <v/>
      </c>
      <c r="K45" s="10">
        <f>IF(OR(G45="",H45="",G45&lt;=1),"",IF(J45&lt;IF(D45="Builder",MinEdgeBuilder,IF(D45="Player",MinEdgePlayer,MinEdgeSingle)),0,ROUND(MIN(IF(D45="Single",KellySingle,KellyBuilder)*(StartBank+SUM(P$1:P44))*J45/(G45-1),IF(D45="Builder",CapBuilder,CapSingle)*Unit),2)))</f>
        <v/>
      </c>
      <c r="L45" s="13" t="n"/>
      <c r="M45" s="16" t="n"/>
      <c r="N45" s="13" t="n"/>
      <c r="O45" s="10">
        <f>IF(L45="","",IF(M45="Won",L45*G45,IF(M45="Void",L45,IF(M45="Cash out",N(N45),IF(M45="Lost",0,"")))))</f>
        <v/>
      </c>
      <c r="P45" s="10">
        <f>IF(OR(L45="",M45="",M45="Pending"),"",O45-L45)</f>
        <v/>
      </c>
      <c r="Q45" s="20" t="n"/>
      <c r="R45" s="11">
        <f>IF(OR(G45="",Q45=""),"",G45/Q45-1)</f>
        <v/>
      </c>
      <c r="S45" s="10">
        <f>IF(OR(L45="",J45=""),"",L45*J45)</f>
        <v/>
      </c>
      <c r="T45" s="10">
        <f>IF(P45="","",StartBank+SUM(P$2:P45))</f>
        <v/>
      </c>
      <c r="U45" s="16" t="n"/>
    </row>
    <row r="46">
      <c r="A46" s="19" t="n"/>
      <c r="B46" s="16" t="n"/>
      <c r="C46" s="16" t="n"/>
      <c r="D46" s="16" t="n"/>
      <c r="E46" s="16" t="n"/>
      <c r="F46" s="16" t="n"/>
      <c r="G46" s="20" t="n"/>
      <c r="H46" s="15" t="n"/>
      <c r="I46" s="21">
        <f>IF(OR(H46="",H46=0),"",1/H46)</f>
        <v/>
      </c>
      <c r="J46" s="11">
        <f>IF(OR(G46="",H46=""),"",H46*G46-1)</f>
        <v/>
      </c>
      <c r="K46" s="10">
        <f>IF(OR(G46="",H46="",G46&lt;=1),"",IF(J46&lt;IF(D46="Builder",MinEdgeBuilder,IF(D46="Player",MinEdgePlayer,MinEdgeSingle)),0,ROUND(MIN(IF(D46="Single",KellySingle,KellyBuilder)*(StartBank+SUM(P$1:P45))*J46/(G46-1),IF(D46="Builder",CapBuilder,CapSingle)*Unit),2)))</f>
        <v/>
      </c>
      <c r="L46" s="13" t="n"/>
      <c r="M46" s="16" t="n"/>
      <c r="N46" s="13" t="n"/>
      <c r="O46" s="10">
        <f>IF(L46="","",IF(M46="Won",L46*G46,IF(M46="Void",L46,IF(M46="Cash out",N(N46),IF(M46="Lost",0,"")))))</f>
        <v/>
      </c>
      <c r="P46" s="10">
        <f>IF(OR(L46="",M46="",M46="Pending"),"",O46-L46)</f>
        <v/>
      </c>
      <c r="Q46" s="20" t="n"/>
      <c r="R46" s="11">
        <f>IF(OR(G46="",Q46=""),"",G46/Q46-1)</f>
        <v/>
      </c>
      <c r="S46" s="10">
        <f>IF(OR(L46="",J46=""),"",L46*J46)</f>
        <v/>
      </c>
      <c r="T46" s="10">
        <f>IF(P46="","",StartBank+SUM(P$2:P46))</f>
        <v/>
      </c>
      <c r="U46" s="16" t="n"/>
    </row>
    <row r="47">
      <c r="A47" s="19" t="n"/>
      <c r="B47" s="16" t="n"/>
      <c r="C47" s="16" t="n"/>
      <c r="D47" s="16" t="n"/>
      <c r="E47" s="16" t="n"/>
      <c r="F47" s="16" t="n"/>
      <c r="G47" s="20" t="n"/>
      <c r="H47" s="15" t="n"/>
      <c r="I47" s="21">
        <f>IF(OR(H47="",H47=0),"",1/H47)</f>
        <v/>
      </c>
      <c r="J47" s="11">
        <f>IF(OR(G47="",H47=""),"",H47*G47-1)</f>
        <v/>
      </c>
      <c r="K47" s="10">
        <f>IF(OR(G47="",H47="",G47&lt;=1),"",IF(J47&lt;IF(D47="Builder",MinEdgeBuilder,IF(D47="Player",MinEdgePlayer,MinEdgeSingle)),0,ROUND(MIN(IF(D47="Single",KellySingle,KellyBuilder)*(StartBank+SUM(P$1:P46))*J47/(G47-1),IF(D47="Builder",CapBuilder,CapSingle)*Unit),2)))</f>
        <v/>
      </c>
      <c r="L47" s="13" t="n"/>
      <c r="M47" s="16" t="n"/>
      <c r="N47" s="13" t="n"/>
      <c r="O47" s="10">
        <f>IF(L47="","",IF(M47="Won",L47*G47,IF(M47="Void",L47,IF(M47="Cash out",N(N47),IF(M47="Lost",0,"")))))</f>
        <v/>
      </c>
      <c r="P47" s="10">
        <f>IF(OR(L47="",M47="",M47="Pending"),"",O47-L47)</f>
        <v/>
      </c>
      <c r="Q47" s="20" t="n"/>
      <c r="R47" s="11">
        <f>IF(OR(G47="",Q47=""),"",G47/Q47-1)</f>
        <v/>
      </c>
      <c r="S47" s="10">
        <f>IF(OR(L47="",J47=""),"",L47*J47)</f>
        <v/>
      </c>
      <c r="T47" s="10">
        <f>IF(P47="","",StartBank+SUM(P$2:P47))</f>
        <v/>
      </c>
      <c r="U47" s="16" t="n"/>
    </row>
    <row r="48">
      <c r="A48" s="19" t="n"/>
      <c r="B48" s="16" t="n"/>
      <c r="C48" s="16" t="n"/>
      <c r="D48" s="16" t="n"/>
      <c r="E48" s="16" t="n"/>
      <c r="F48" s="16" t="n"/>
      <c r="G48" s="20" t="n"/>
      <c r="H48" s="15" t="n"/>
      <c r="I48" s="21">
        <f>IF(OR(H48="",H48=0),"",1/H48)</f>
        <v/>
      </c>
      <c r="J48" s="11">
        <f>IF(OR(G48="",H48=""),"",H48*G48-1)</f>
        <v/>
      </c>
      <c r="K48" s="10">
        <f>IF(OR(G48="",H48="",G48&lt;=1),"",IF(J48&lt;IF(D48="Builder",MinEdgeBuilder,IF(D48="Player",MinEdgePlayer,MinEdgeSingle)),0,ROUND(MIN(IF(D48="Single",KellySingle,KellyBuilder)*(StartBank+SUM(P$1:P47))*J48/(G48-1),IF(D48="Builder",CapBuilder,CapSingle)*Unit),2)))</f>
        <v/>
      </c>
      <c r="L48" s="13" t="n"/>
      <c r="M48" s="16" t="n"/>
      <c r="N48" s="13" t="n"/>
      <c r="O48" s="10">
        <f>IF(L48="","",IF(M48="Won",L48*G48,IF(M48="Void",L48,IF(M48="Cash out",N(N48),IF(M48="Lost",0,"")))))</f>
        <v/>
      </c>
      <c r="P48" s="10">
        <f>IF(OR(L48="",M48="",M48="Pending"),"",O48-L48)</f>
        <v/>
      </c>
      <c r="Q48" s="20" t="n"/>
      <c r="R48" s="11">
        <f>IF(OR(G48="",Q48=""),"",G48/Q48-1)</f>
        <v/>
      </c>
      <c r="S48" s="10">
        <f>IF(OR(L48="",J48=""),"",L48*J48)</f>
        <v/>
      </c>
      <c r="T48" s="10">
        <f>IF(P48="","",StartBank+SUM(P$2:P48))</f>
        <v/>
      </c>
      <c r="U48" s="16" t="n"/>
    </row>
    <row r="49">
      <c r="A49" s="19" t="n"/>
      <c r="B49" s="16" t="n"/>
      <c r="C49" s="16" t="n"/>
      <c r="D49" s="16" t="n"/>
      <c r="E49" s="16" t="n"/>
      <c r="F49" s="16" t="n"/>
      <c r="G49" s="20" t="n"/>
      <c r="H49" s="15" t="n"/>
      <c r="I49" s="21">
        <f>IF(OR(H49="",H49=0),"",1/H49)</f>
        <v/>
      </c>
      <c r="J49" s="11">
        <f>IF(OR(G49="",H49=""),"",H49*G49-1)</f>
        <v/>
      </c>
      <c r="K49" s="10">
        <f>IF(OR(G49="",H49="",G49&lt;=1),"",IF(J49&lt;IF(D49="Builder",MinEdgeBuilder,IF(D49="Player",MinEdgePlayer,MinEdgeSingle)),0,ROUND(MIN(IF(D49="Single",KellySingle,KellyBuilder)*(StartBank+SUM(P$1:P48))*J49/(G49-1),IF(D49="Builder",CapBuilder,CapSingle)*Unit),2)))</f>
        <v/>
      </c>
      <c r="L49" s="13" t="n"/>
      <c r="M49" s="16" t="n"/>
      <c r="N49" s="13" t="n"/>
      <c r="O49" s="10">
        <f>IF(L49="","",IF(M49="Won",L49*G49,IF(M49="Void",L49,IF(M49="Cash out",N(N49),IF(M49="Lost",0,"")))))</f>
        <v/>
      </c>
      <c r="P49" s="10">
        <f>IF(OR(L49="",M49="",M49="Pending"),"",O49-L49)</f>
        <v/>
      </c>
      <c r="Q49" s="20" t="n"/>
      <c r="R49" s="11">
        <f>IF(OR(G49="",Q49=""),"",G49/Q49-1)</f>
        <v/>
      </c>
      <c r="S49" s="10">
        <f>IF(OR(L49="",J49=""),"",L49*J49)</f>
        <v/>
      </c>
      <c r="T49" s="10">
        <f>IF(P49="","",StartBank+SUM(P$2:P49))</f>
        <v/>
      </c>
      <c r="U49" s="16" t="n"/>
    </row>
    <row r="50">
      <c r="A50" s="19" t="n"/>
      <c r="B50" s="16" t="n"/>
      <c r="C50" s="16" t="n"/>
      <c r="D50" s="16" t="n"/>
      <c r="E50" s="16" t="n"/>
      <c r="F50" s="16" t="n"/>
      <c r="G50" s="20" t="n"/>
      <c r="H50" s="15" t="n"/>
      <c r="I50" s="21">
        <f>IF(OR(H50="",H50=0),"",1/H50)</f>
        <v/>
      </c>
      <c r="J50" s="11">
        <f>IF(OR(G50="",H50=""),"",H50*G50-1)</f>
        <v/>
      </c>
      <c r="K50" s="10">
        <f>IF(OR(G50="",H50="",G50&lt;=1),"",IF(J50&lt;IF(D50="Builder",MinEdgeBuilder,IF(D50="Player",MinEdgePlayer,MinEdgeSingle)),0,ROUND(MIN(IF(D50="Single",KellySingle,KellyBuilder)*(StartBank+SUM(P$1:P49))*J50/(G50-1),IF(D50="Builder",CapBuilder,CapSingle)*Unit),2)))</f>
        <v/>
      </c>
      <c r="L50" s="13" t="n"/>
      <c r="M50" s="16" t="n"/>
      <c r="N50" s="13" t="n"/>
      <c r="O50" s="10">
        <f>IF(L50="","",IF(M50="Won",L50*G50,IF(M50="Void",L50,IF(M50="Cash out",N(N50),IF(M50="Lost",0,"")))))</f>
        <v/>
      </c>
      <c r="P50" s="10">
        <f>IF(OR(L50="",M50="",M50="Pending"),"",O50-L50)</f>
        <v/>
      </c>
      <c r="Q50" s="20" t="n"/>
      <c r="R50" s="11">
        <f>IF(OR(G50="",Q50=""),"",G50/Q50-1)</f>
        <v/>
      </c>
      <c r="S50" s="10">
        <f>IF(OR(L50="",J50=""),"",L50*J50)</f>
        <v/>
      </c>
      <c r="T50" s="10">
        <f>IF(P50="","",StartBank+SUM(P$2:P50))</f>
        <v/>
      </c>
      <c r="U50" s="16" t="n"/>
    </row>
    <row r="51">
      <c r="A51" s="19" t="n"/>
      <c r="B51" s="16" t="n"/>
      <c r="C51" s="16" t="n"/>
      <c r="D51" s="16" t="n"/>
      <c r="E51" s="16" t="n"/>
      <c r="F51" s="16" t="n"/>
      <c r="G51" s="20" t="n"/>
      <c r="H51" s="15" t="n"/>
      <c r="I51" s="21">
        <f>IF(OR(H51="",H51=0),"",1/H51)</f>
        <v/>
      </c>
      <c r="J51" s="11">
        <f>IF(OR(G51="",H51=""),"",H51*G51-1)</f>
        <v/>
      </c>
      <c r="K51" s="10">
        <f>IF(OR(G51="",H51="",G51&lt;=1),"",IF(J51&lt;IF(D51="Builder",MinEdgeBuilder,IF(D51="Player",MinEdgePlayer,MinEdgeSingle)),0,ROUND(MIN(IF(D51="Single",KellySingle,KellyBuilder)*(StartBank+SUM(P$1:P50))*J51/(G51-1),IF(D51="Builder",CapBuilder,CapSingle)*Unit),2)))</f>
        <v/>
      </c>
      <c r="L51" s="13" t="n"/>
      <c r="M51" s="16" t="n"/>
      <c r="N51" s="13" t="n"/>
      <c r="O51" s="10">
        <f>IF(L51="","",IF(M51="Won",L51*G51,IF(M51="Void",L51,IF(M51="Cash out",N(N51),IF(M51="Lost",0,"")))))</f>
        <v/>
      </c>
      <c r="P51" s="10">
        <f>IF(OR(L51="",M51="",M51="Pending"),"",O51-L51)</f>
        <v/>
      </c>
      <c r="Q51" s="20" t="n"/>
      <c r="R51" s="11">
        <f>IF(OR(G51="",Q51=""),"",G51/Q51-1)</f>
        <v/>
      </c>
      <c r="S51" s="10">
        <f>IF(OR(L51="",J51=""),"",L51*J51)</f>
        <v/>
      </c>
      <c r="T51" s="10">
        <f>IF(P51="","",StartBank+SUM(P$2:P51))</f>
        <v/>
      </c>
      <c r="U51" s="16" t="n"/>
    </row>
    <row r="52">
      <c r="A52" s="19" t="n"/>
      <c r="B52" s="16" t="n"/>
      <c r="C52" s="16" t="n"/>
      <c r="D52" s="16" t="n"/>
      <c r="E52" s="16" t="n"/>
      <c r="F52" s="16" t="n"/>
      <c r="G52" s="20" t="n"/>
      <c r="H52" s="15" t="n"/>
      <c r="I52" s="21">
        <f>IF(OR(H52="",H52=0),"",1/H52)</f>
        <v/>
      </c>
      <c r="J52" s="11">
        <f>IF(OR(G52="",H52=""),"",H52*G52-1)</f>
        <v/>
      </c>
      <c r="K52" s="10">
        <f>IF(OR(G52="",H52="",G52&lt;=1),"",IF(J52&lt;IF(D52="Builder",MinEdgeBuilder,IF(D52="Player",MinEdgePlayer,MinEdgeSingle)),0,ROUND(MIN(IF(D52="Single",KellySingle,KellyBuilder)*(StartBank+SUM(P$1:P51))*J52/(G52-1),IF(D52="Builder",CapBuilder,CapSingle)*Unit),2)))</f>
        <v/>
      </c>
      <c r="L52" s="13" t="n"/>
      <c r="M52" s="16" t="n"/>
      <c r="N52" s="13" t="n"/>
      <c r="O52" s="10">
        <f>IF(L52="","",IF(M52="Won",L52*G52,IF(M52="Void",L52,IF(M52="Cash out",N(N52),IF(M52="Lost",0,"")))))</f>
        <v/>
      </c>
      <c r="P52" s="10">
        <f>IF(OR(L52="",M52="",M52="Pending"),"",O52-L52)</f>
        <v/>
      </c>
      <c r="Q52" s="20" t="n"/>
      <c r="R52" s="11">
        <f>IF(OR(G52="",Q52=""),"",G52/Q52-1)</f>
        <v/>
      </c>
      <c r="S52" s="10">
        <f>IF(OR(L52="",J52=""),"",L52*J52)</f>
        <v/>
      </c>
      <c r="T52" s="10">
        <f>IF(P52="","",StartBank+SUM(P$2:P52))</f>
        <v/>
      </c>
      <c r="U52" s="16" t="n"/>
    </row>
    <row r="53">
      <c r="A53" s="19" t="n"/>
      <c r="B53" s="16" t="n"/>
      <c r="C53" s="16" t="n"/>
      <c r="D53" s="16" t="n"/>
      <c r="E53" s="16" t="n"/>
      <c r="F53" s="16" t="n"/>
      <c r="G53" s="20" t="n"/>
      <c r="H53" s="15" t="n"/>
      <c r="I53" s="21">
        <f>IF(OR(H53="",H53=0),"",1/H53)</f>
        <v/>
      </c>
      <c r="J53" s="11">
        <f>IF(OR(G53="",H53=""),"",H53*G53-1)</f>
        <v/>
      </c>
      <c r="K53" s="10">
        <f>IF(OR(G53="",H53="",G53&lt;=1),"",IF(J53&lt;IF(D53="Builder",MinEdgeBuilder,IF(D53="Player",MinEdgePlayer,MinEdgeSingle)),0,ROUND(MIN(IF(D53="Single",KellySingle,KellyBuilder)*(StartBank+SUM(P$1:P52))*J53/(G53-1),IF(D53="Builder",CapBuilder,CapSingle)*Unit),2)))</f>
        <v/>
      </c>
      <c r="L53" s="13" t="n"/>
      <c r="M53" s="16" t="n"/>
      <c r="N53" s="13" t="n"/>
      <c r="O53" s="10">
        <f>IF(L53="","",IF(M53="Won",L53*G53,IF(M53="Void",L53,IF(M53="Cash out",N(N53),IF(M53="Lost",0,"")))))</f>
        <v/>
      </c>
      <c r="P53" s="10">
        <f>IF(OR(L53="",M53="",M53="Pending"),"",O53-L53)</f>
        <v/>
      </c>
      <c r="Q53" s="20" t="n"/>
      <c r="R53" s="11">
        <f>IF(OR(G53="",Q53=""),"",G53/Q53-1)</f>
        <v/>
      </c>
      <c r="S53" s="10">
        <f>IF(OR(L53="",J53=""),"",L53*J53)</f>
        <v/>
      </c>
      <c r="T53" s="10">
        <f>IF(P53="","",StartBank+SUM(P$2:P53))</f>
        <v/>
      </c>
      <c r="U53" s="16" t="n"/>
    </row>
    <row r="54">
      <c r="A54" s="19" t="n"/>
      <c r="B54" s="16" t="n"/>
      <c r="C54" s="16" t="n"/>
      <c r="D54" s="16" t="n"/>
      <c r="E54" s="16" t="n"/>
      <c r="F54" s="16" t="n"/>
      <c r="G54" s="20" t="n"/>
      <c r="H54" s="15" t="n"/>
      <c r="I54" s="21">
        <f>IF(OR(H54="",H54=0),"",1/H54)</f>
        <v/>
      </c>
      <c r="J54" s="11">
        <f>IF(OR(G54="",H54=""),"",H54*G54-1)</f>
        <v/>
      </c>
      <c r="K54" s="10">
        <f>IF(OR(G54="",H54="",G54&lt;=1),"",IF(J54&lt;IF(D54="Builder",MinEdgeBuilder,IF(D54="Player",MinEdgePlayer,MinEdgeSingle)),0,ROUND(MIN(IF(D54="Single",KellySingle,KellyBuilder)*(StartBank+SUM(P$1:P53))*J54/(G54-1),IF(D54="Builder",CapBuilder,CapSingle)*Unit),2)))</f>
        <v/>
      </c>
      <c r="L54" s="13" t="n"/>
      <c r="M54" s="16" t="n"/>
      <c r="N54" s="13" t="n"/>
      <c r="O54" s="10">
        <f>IF(L54="","",IF(M54="Won",L54*G54,IF(M54="Void",L54,IF(M54="Cash out",N(N54),IF(M54="Lost",0,"")))))</f>
        <v/>
      </c>
      <c r="P54" s="10">
        <f>IF(OR(L54="",M54="",M54="Pending"),"",O54-L54)</f>
        <v/>
      </c>
      <c r="Q54" s="20" t="n"/>
      <c r="R54" s="11">
        <f>IF(OR(G54="",Q54=""),"",G54/Q54-1)</f>
        <v/>
      </c>
      <c r="S54" s="10">
        <f>IF(OR(L54="",J54=""),"",L54*J54)</f>
        <v/>
      </c>
      <c r="T54" s="10">
        <f>IF(P54="","",StartBank+SUM(P$2:P54))</f>
        <v/>
      </c>
      <c r="U54" s="16" t="n"/>
    </row>
    <row r="55">
      <c r="A55" s="19" t="n"/>
      <c r="B55" s="16" t="n"/>
      <c r="C55" s="16" t="n"/>
      <c r="D55" s="16" t="n"/>
      <c r="E55" s="16" t="n"/>
      <c r="F55" s="16" t="n"/>
      <c r="G55" s="20" t="n"/>
      <c r="H55" s="15" t="n"/>
      <c r="I55" s="21">
        <f>IF(OR(H55="",H55=0),"",1/H55)</f>
        <v/>
      </c>
      <c r="J55" s="11">
        <f>IF(OR(G55="",H55=""),"",H55*G55-1)</f>
        <v/>
      </c>
      <c r="K55" s="10">
        <f>IF(OR(G55="",H55="",G55&lt;=1),"",IF(J55&lt;IF(D55="Builder",MinEdgeBuilder,IF(D55="Player",MinEdgePlayer,MinEdgeSingle)),0,ROUND(MIN(IF(D55="Single",KellySingle,KellyBuilder)*(StartBank+SUM(P$1:P54))*J55/(G55-1),IF(D55="Builder",CapBuilder,CapSingle)*Unit),2)))</f>
        <v/>
      </c>
      <c r="L55" s="13" t="n"/>
      <c r="M55" s="16" t="n"/>
      <c r="N55" s="13" t="n"/>
      <c r="O55" s="10">
        <f>IF(L55="","",IF(M55="Won",L55*G55,IF(M55="Void",L55,IF(M55="Cash out",N(N55),IF(M55="Lost",0,"")))))</f>
        <v/>
      </c>
      <c r="P55" s="10">
        <f>IF(OR(L55="",M55="",M55="Pending"),"",O55-L55)</f>
        <v/>
      </c>
      <c r="Q55" s="20" t="n"/>
      <c r="R55" s="11">
        <f>IF(OR(G55="",Q55=""),"",G55/Q55-1)</f>
        <v/>
      </c>
      <c r="S55" s="10">
        <f>IF(OR(L55="",J55=""),"",L55*J55)</f>
        <v/>
      </c>
      <c r="T55" s="10">
        <f>IF(P55="","",StartBank+SUM(P$2:P55))</f>
        <v/>
      </c>
      <c r="U55" s="16" t="n"/>
    </row>
    <row r="56">
      <c r="A56" s="19" t="n"/>
      <c r="B56" s="16" t="n"/>
      <c r="C56" s="16" t="n"/>
      <c r="D56" s="16" t="n"/>
      <c r="E56" s="16" t="n"/>
      <c r="F56" s="16" t="n"/>
      <c r="G56" s="20" t="n"/>
      <c r="H56" s="15" t="n"/>
      <c r="I56" s="21">
        <f>IF(OR(H56="",H56=0),"",1/H56)</f>
        <v/>
      </c>
      <c r="J56" s="11">
        <f>IF(OR(G56="",H56=""),"",H56*G56-1)</f>
        <v/>
      </c>
      <c r="K56" s="10">
        <f>IF(OR(G56="",H56="",G56&lt;=1),"",IF(J56&lt;IF(D56="Builder",MinEdgeBuilder,IF(D56="Player",MinEdgePlayer,MinEdgeSingle)),0,ROUND(MIN(IF(D56="Single",KellySingle,KellyBuilder)*(StartBank+SUM(P$1:P55))*J56/(G56-1),IF(D56="Builder",CapBuilder,CapSingle)*Unit),2)))</f>
        <v/>
      </c>
      <c r="L56" s="13" t="n"/>
      <c r="M56" s="16" t="n"/>
      <c r="N56" s="13" t="n"/>
      <c r="O56" s="10">
        <f>IF(L56="","",IF(M56="Won",L56*G56,IF(M56="Void",L56,IF(M56="Cash out",N(N56),IF(M56="Lost",0,"")))))</f>
        <v/>
      </c>
      <c r="P56" s="10">
        <f>IF(OR(L56="",M56="",M56="Pending"),"",O56-L56)</f>
        <v/>
      </c>
      <c r="Q56" s="20" t="n"/>
      <c r="R56" s="11">
        <f>IF(OR(G56="",Q56=""),"",G56/Q56-1)</f>
        <v/>
      </c>
      <c r="S56" s="10">
        <f>IF(OR(L56="",J56=""),"",L56*J56)</f>
        <v/>
      </c>
      <c r="T56" s="10">
        <f>IF(P56="","",StartBank+SUM(P$2:P56))</f>
        <v/>
      </c>
      <c r="U56" s="16" t="n"/>
    </row>
    <row r="57">
      <c r="A57" s="19" t="n"/>
      <c r="B57" s="16" t="n"/>
      <c r="C57" s="16" t="n"/>
      <c r="D57" s="16" t="n"/>
      <c r="E57" s="16" t="n"/>
      <c r="F57" s="16" t="n"/>
      <c r="G57" s="20" t="n"/>
      <c r="H57" s="15" t="n"/>
      <c r="I57" s="21">
        <f>IF(OR(H57="",H57=0),"",1/H57)</f>
        <v/>
      </c>
      <c r="J57" s="11">
        <f>IF(OR(G57="",H57=""),"",H57*G57-1)</f>
        <v/>
      </c>
      <c r="K57" s="10">
        <f>IF(OR(G57="",H57="",G57&lt;=1),"",IF(J57&lt;IF(D57="Builder",MinEdgeBuilder,IF(D57="Player",MinEdgePlayer,MinEdgeSingle)),0,ROUND(MIN(IF(D57="Single",KellySingle,KellyBuilder)*(StartBank+SUM(P$1:P56))*J57/(G57-1),IF(D57="Builder",CapBuilder,CapSingle)*Unit),2)))</f>
        <v/>
      </c>
      <c r="L57" s="13" t="n"/>
      <c r="M57" s="16" t="n"/>
      <c r="N57" s="13" t="n"/>
      <c r="O57" s="10">
        <f>IF(L57="","",IF(M57="Won",L57*G57,IF(M57="Void",L57,IF(M57="Cash out",N(N57),IF(M57="Lost",0,"")))))</f>
        <v/>
      </c>
      <c r="P57" s="10">
        <f>IF(OR(L57="",M57="",M57="Pending"),"",O57-L57)</f>
        <v/>
      </c>
      <c r="Q57" s="20" t="n"/>
      <c r="R57" s="11">
        <f>IF(OR(G57="",Q57=""),"",G57/Q57-1)</f>
        <v/>
      </c>
      <c r="S57" s="10">
        <f>IF(OR(L57="",J57=""),"",L57*J57)</f>
        <v/>
      </c>
      <c r="T57" s="10">
        <f>IF(P57="","",StartBank+SUM(P$2:P57))</f>
        <v/>
      </c>
      <c r="U57" s="16" t="n"/>
    </row>
    <row r="58">
      <c r="A58" s="19" t="n"/>
      <c r="B58" s="16" t="n"/>
      <c r="C58" s="16" t="n"/>
      <c r="D58" s="16" t="n"/>
      <c r="E58" s="16" t="n"/>
      <c r="F58" s="16" t="n"/>
      <c r="G58" s="20" t="n"/>
      <c r="H58" s="15" t="n"/>
      <c r="I58" s="21">
        <f>IF(OR(H58="",H58=0),"",1/H58)</f>
        <v/>
      </c>
      <c r="J58" s="11">
        <f>IF(OR(G58="",H58=""),"",H58*G58-1)</f>
        <v/>
      </c>
      <c r="K58" s="10">
        <f>IF(OR(G58="",H58="",G58&lt;=1),"",IF(J58&lt;IF(D58="Builder",MinEdgeBuilder,IF(D58="Player",MinEdgePlayer,MinEdgeSingle)),0,ROUND(MIN(IF(D58="Single",KellySingle,KellyBuilder)*(StartBank+SUM(P$1:P57))*J58/(G58-1),IF(D58="Builder",CapBuilder,CapSingle)*Unit),2)))</f>
        <v/>
      </c>
      <c r="L58" s="13" t="n"/>
      <c r="M58" s="16" t="n"/>
      <c r="N58" s="13" t="n"/>
      <c r="O58" s="10">
        <f>IF(L58="","",IF(M58="Won",L58*G58,IF(M58="Void",L58,IF(M58="Cash out",N(N58),IF(M58="Lost",0,"")))))</f>
        <v/>
      </c>
      <c r="P58" s="10">
        <f>IF(OR(L58="",M58="",M58="Pending"),"",O58-L58)</f>
        <v/>
      </c>
      <c r="Q58" s="20" t="n"/>
      <c r="R58" s="11">
        <f>IF(OR(G58="",Q58=""),"",G58/Q58-1)</f>
        <v/>
      </c>
      <c r="S58" s="10">
        <f>IF(OR(L58="",J58=""),"",L58*J58)</f>
        <v/>
      </c>
      <c r="T58" s="10">
        <f>IF(P58="","",StartBank+SUM(P$2:P58))</f>
        <v/>
      </c>
      <c r="U58" s="16" t="n"/>
    </row>
    <row r="59">
      <c r="A59" s="19" t="n"/>
      <c r="B59" s="16" t="n"/>
      <c r="C59" s="16" t="n"/>
      <c r="D59" s="16" t="n"/>
      <c r="E59" s="16" t="n"/>
      <c r="F59" s="16" t="n"/>
      <c r="G59" s="20" t="n"/>
      <c r="H59" s="15" t="n"/>
      <c r="I59" s="21">
        <f>IF(OR(H59="",H59=0),"",1/H59)</f>
        <v/>
      </c>
      <c r="J59" s="11">
        <f>IF(OR(G59="",H59=""),"",H59*G59-1)</f>
        <v/>
      </c>
      <c r="K59" s="10">
        <f>IF(OR(G59="",H59="",G59&lt;=1),"",IF(J59&lt;IF(D59="Builder",MinEdgeBuilder,IF(D59="Player",MinEdgePlayer,MinEdgeSingle)),0,ROUND(MIN(IF(D59="Single",KellySingle,KellyBuilder)*(StartBank+SUM(P$1:P58))*J59/(G59-1),IF(D59="Builder",CapBuilder,CapSingle)*Unit),2)))</f>
        <v/>
      </c>
      <c r="L59" s="13" t="n"/>
      <c r="M59" s="16" t="n"/>
      <c r="N59" s="13" t="n"/>
      <c r="O59" s="10">
        <f>IF(L59="","",IF(M59="Won",L59*G59,IF(M59="Void",L59,IF(M59="Cash out",N(N59),IF(M59="Lost",0,"")))))</f>
        <v/>
      </c>
      <c r="P59" s="10">
        <f>IF(OR(L59="",M59="",M59="Pending"),"",O59-L59)</f>
        <v/>
      </c>
      <c r="Q59" s="20" t="n"/>
      <c r="R59" s="11">
        <f>IF(OR(G59="",Q59=""),"",G59/Q59-1)</f>
        <v/>
      </c>
      <c r="S59" s="10">
        <f>IF(OR(L59="",J59=""),"",L59*J59)</f>
        <v/>
      </c>
      <c r="T59" s="10">
        <f>IF(P59="","",StartBank+SUM(P$2:P59))</f>
        <v/>
      </c>
      <c r="U59" s="16" t="n"/>
    </row>
    <row r="60">
      <c r="A60" s="22" t="n"/>
      <c r="G60" s="21" t="n"/>
      <c r="H60" s="11" t="n"/>
      <c r="I60" s="21">
        <f>IF(OR(H60="",H60=0),"",1/H60)</f>
        <v/>
      </c>
      <c r="J60" s="11">
        <f>IF(OR(G60="",H60=""),"",H60*G60-1)</f>
        <v/>
      </c>
      <c r="K60" s="10">
        <f>IF(OR(G60="",H60="",G60&lt;=1),"",IF(J60&lt;IF(D60="Builder",MinEdgeBuilder,IF(D60="Player",MinEdgePlayer,MinEdgeSingle)),0,ROUND(MIN(IF(D60="Single",KellySingle,KellyBuilder)*(StartBank+SUM(P$1:P59))*J60/(G60-1),IF(D60="Builder",CapBuilder,CapSingle)*Unit),2)))</f>
        <v/>
      </c>
      <c r="L60" s="10" t="n"/>
      <c r="N60" s="10" t="n"/>
      <c r="O60" s="10">
        <f>IF(L60="","",IF(M60="Won",L60*G60,IF(M60="Void",L60,IF(M60="Cash out",N(N60),IF(M60="Lost",0,"")))))</f>
        <v/>
      </c>
      <c r="P60" s="10">
        <f>IF(OR(L60="",M60="",M60="Pending"),"",O60-L60)</f>
        <v/>
      </c>
      <c r="Q60" s="21" t="n"/>
      <c r="R60" s="11">
        <f>IF(OR(G60="",Q60=""),"",G60/Q60-1)</f>
        <v/>
      </c>
      <c r="S60" s="10">
        <f>IF(OR(L60="",J60=""),"",L60*J60)</f>
        <v/>
      </c>
      <c r="T60" s="10">
        <f>IF(P60="","",StartBank+SUM(P$2:P60))</f>
        <v/>
      </c>
    </row>
    <row r="61">
      <c r="A61" s="22" t="n"/>
      <c r="G61" s="21" t="n"/>
      <c r="H61" s="11" t="n"/>
      <c r="I61" s="21">
        <f>IF(OR(H61="",H61=0),"",1/H61)</f>
        <v/>
      </c>
      <c r="J61" s="11">
        <f>IF(OR(G61="",H61=""),"",H61*G61-1)</f>
        <v/>
      </c>
      <c r="K61" s="10">
        <f>IF(OR(G61="",H61="",G61&lt;=1),"",IF(J61&lt;IF(D61="Builder",MinEdgeBuilder,IF(D61="Player",MinEdgePlayer,MinEdgeSingle)),0,ROUND(MIN(IF(D61="Single",KellySingle,KellyBuilder)*(StartBank+SUM(P$1:P60))*J61/(G61-1),IF(D61="Builder",CapBuilder,CapSingle)*Unit),2)))</f>
        <v/>
      </c>
      <c r="L61" s="10" t="n"/>
      <c r="N61" s="10" t="n"/>
      <c r="O61" s="10">
        <f>IF(L61="","",IF(M61="Won",L61*G61,IF(M61="Void",L61,IF(M61="Cash out",N(N61),IF(M61="Lost",0,"")))))</f>
        <v/>
      </c>
      <c r="P61" s="10">
        <f>IF(OR(L61="",M61="",M61="Pending"),"",O61-L61)</f>
        <v/>
      </c>
      <c r="Q61" s="21" t="n"/>
      <c r="R61" s="11">
        <f>IF(OR(G61="",Q61=""),"",G61/Q61-1)</f>
        <v/>
      </c>
      <c r="S61" s="10">
        <f>IF(OR(L61="",J61=""),"",L61*J61)</f>
        <v/>
      </c>
      <c r="T61" s="10">
        <f>IF(P61="","",StartBank+SUM(P$2:P61))</f>
        <v/>
      </c>
    </row>
    <row r="62">
      <c r="A62" s="22" t="n"/>
      <c r="G62" s="21" t="n"/>
      <c r="H62" s="11" t="n"/>
      <c r="I62" s="21">
        <f>IF(OR(H62="",H62=0),"",1/H62)</f>
        <v/>
      </c>
      <c r="J62" s="11">
        <f>IF(OR(G62="",H62=""),"",H62*G62-1)</f>
        <v/>
      </c>
      <c r="K62" s="10">
        <f>IF(OR(G62="",H62="",G62&lt;=1),"",IF(J62&lt;IF(D62="Builder",MinEdgeBuilder,IF(D62="Player",MinEdgePlayer,MinEdgeSingle)),0,ROUND(MIN(IF(D62="Single",KellySingle,KellyBuilder)*(StartBank+SUM(P$1:P61))*J62/(G62-1),IF(D62="Builder",CapBuilder,CapSingle)*Unit),2)))</f>
        <v/>
      </c>
      <c r="L62" s="10" t="n"/>
      <c r="N62" s="10" t="n"/>
      <c r="O62" s="10">
        <f>IF(L62="","",IF(M62="Won",L62*G62,IF(M62="Void",L62,IF(M62="Cash out",N(N62),IF(M62="Lost",0,"")))))</f>
        <v/>
      </c>
      <c r="P62" s="10">
        <f>IF(OR(L62="",M62="",M62="Pending"),"",O62-L62)</f>
        <v/>
      </c>
      <c r="Q62" s="21" t="n"/>
      <c r="R62" s="11">
        <f>IF(OR(G62="",Q62=""),"",G62/Q62-1)</f>
        <v/>
      </c>
      <c r="S62" s="10">
        <f>IF(OR(L62="",J62=""),"",L62*J62)</f>
        <v/>
      </c>
      <c r="T62" s="10">
        <f>IF(P62="","",StartBank+SUM(P$2:P62))</f>
        <v/>
      </c>
    </row>
    <row r="63">
      <c r="A63" s="22" t="n"/>
      <c r="G63" s="21" t="n"/>
      <c r="H63" s="11" t="n"/>
      <c r="I63" s="21">
        <f>IF(OR(H63="",H63=0),"",1/H63)</f>
        <v/>
      </c>
      <c r="J63" s="11">
        <f>IF(OR(G63="",H63=""),"",H63*G63-1)</f>
        <v/>
      </c>
      <c r="K63" s="10">
        <f>IF(OR(G63="",H63="",G63&lt;=1),"",IF(J63&lt;IF(D63="Builder",MinEdgeBuilder,IF(D63="Player",MinEdgePlayer,MinEdgeSingle)),0,ROUND(MIN(IF(D63="Single",KellySingle,KellyBuilder)*(StartBank+SUM(P$1:P62))*J63/(G63-1),IF(D63="Builder",CapBuilder,CapSingle)*Unit),2)))</f>
        <v/>
      </c>
      <c r="L63" s="10" t="n"/>
      <c r="N63" s="10" t="n"/>
      <c r="O63" s="10">
        <f>IF(L63="","",IF(M63="Won",L63*G63,IF(M63="Void",L63,IF(M63="Cash out",N(N63),IF(M63="Lost",0,"")))))</f>
        <v/>
      </c>
      <c r="P63" s="10">
        <f>IF(OR(L63="",M63="",M63="Pending"),"",O63-L63)</f>
        <v/>
      </c>
      <c r="Q63" s="21" t="n"/>
      <c r="R63" s="11">
        <f>IF(OR(G63="",Q63=""),"",G63/Q63-1)</f>
        <v/>
      </c>
      <c r="S63" s="10">
        <f>IF(OR(L63="",J63=""),"",L63*J63)</f>
        <v/>
      </c>
      <c r="T63" s="10">
        <f>IF(P63="","",StartBank+SUM(P$2:P63))</f>
        <v/>
      </c>
    </row>
    <row r="64">
      <c r="A64" s="22" t="n"/>
      <c r="G64" s="21" t="n"/>
      <c r="H64" s="11" t="n"/>
      <c r="I64" s="21">
        <f>IF(OR(H64="",H64=0),"",1/H64)</f>
        <v/>
      </c>
      <c r="J64" s="11">
        <f>IF(OR(G64="",H64=""),"",H64*G64-1)</f>
        <v/>
      </c>
      <c r="K64" s="10">
        <f>IF(OR(G64="",H64="",G64&lt;=1),"",IF(J64&lt;IF(D64="Builder",MinEdgeBuilder,IF(D64="Player",MinEdgePlayer,MinEdgeSingle)),0,ROUND(MIN(IF(D64="Single",KellySingle,KellyBuilder)*(StartBank+SUM(P$1:P63))*J64/(G64-1),IF(D64="Builder",CapBuilder,CapSingle)*Unit),2)))</f>
        <v/>
      </c>
      <c r="L64" s="10" t="n"/>
      <c r="N64" s="10" t="n"/>
      <c r="O64" s="10">
        <f>IF(L64="","",IF(M64="Won",L64*G64,IF(M64="Void",L64,IF(M64="Cash out",N(N64),IF(M64="Lost",0,"")))))</f>
        <v/>
      </c>
      <c r="P64" s="10">
        <f>IF(OR(L64="",M64="",M64="Pending"),"",O64-L64)</f>
        <v/>
      </c>
      <c r="Q64" s="21" t="n"/>
      <c r="R64" s="11">
        <f>IF(OR(G64="",Q64=""),"",G64/Q64-1)</f>
        <v/>
      </c>
      <c r="S64" s="10">
        <f>IF(OR(L64="",J64=""),"",L64*J64)</f>
        <v/>
      </c>
      <c r="T64" s="10">
        <f>IF(P64="","",StartBank+SUM(P$2:P64))</f>
        <v/>
      </c>
    </row>
    <row r="65">
      <c r="A65" s="22" t="n"/>
      <c r="G65" s="21" t="n"/>
      <c r="H65" s="11" t="n"/>
      <c r="I65" s="21">
        <f>IF(OR(H65="",H65=0),"",1/H65)</f>
        <v/>
      </c>
      <c r="J65" s="11">
        <f>IF(OR(G65="",H65=""),"",H65*G65-1)</f>
        <v/>
      </c>
      <c r="K65" s="10">
        <f>IF(OR(G65="",H65="",G65&lt;=1),"",IF(J65&lt;IF(D65="Builder",MinEdgeBuilder,IF(D65="Player",MinEdgePlayer,MinEdgeSingle)),0,ROUND(MIN(IF(D65="Single",KellySingle,KellyBuilder)*(StartBank+SUM(P$1:P64))*J65/(G65-1),IF(D65="Builder",CapBuilder,CapSingle)*Unit),2)))</f>
        <v/>
      </c>
      <c r="L65" s="10" t="n"/>
      <c r="N65" s="10" t="n"/>
      <c r="O65" s="10">
        <f>IF(L65="","",IF(M65="Won",L65*G65,IF(M65="Void",L65,IF(M65="Cash out",N(N65),IF(M65="Lost",0,"")))))</f>
        <v/>
      </c>
      <c r="P65" s="10">
        <f>IF(OR(L65="",M65="",M65="Pending"),"",O65-L65)</f>
        <v/>
      </c>
      <c r="Q65" s="21" t="n"/>
      <c r="R65" s="11">
        <f>IF(OR(G65="",Q65=""),"",G65/Q65-1)</f>
        <v/>
      </c>
      <c r="S65" s="10">
        <f>IF(OR(L65="",J65=""),"",L65*J65)</f>
        <v/>
      </c>
      <c r="T65" s="10">
        <f>IF(P65="","",StartBank+SUM(P$2:P65))</f>
        <v/>
      </c>
    </row>
    <row r="66">
      <c r="A66" s="22" t="n"/>
      <c r="G66" s="21" t="n"/>
      <c r="H66" s="11" t="n"/>
      <c r="I66" s="21">
        <f>IF(OR(H66="",H66=0),"",1/H66)</f>
        <v/>
      </c>
      <c r="J66" s="11">
        <f>IF(OR(G66="",H66=""),"",H66*G66-1)</f>
        <v/>
      </c>
      <c r="K66" s="10">
        <f>IF(OR(G66="",H66="",G66&lt;=1),"",IF(J66&lt;IF(D66="Builder",MinEdgeBuilder,IF(D66="Player",MinEdgePlayer,MinEdgeSingle)),0,ROUND(MIN(IF(D66="Single",KellySingle,KellyBuilder)*(StartBank+SUM(P$1:P65))*J66/(G66-1),IF(D66="Builder",CapBuilder,CapSingle)*Unit),2)))</f>
        <v/>
      </c>
      <c r="L66" s="10" t="n"/>
      <c r="N66" s="10" t="n"/>
      <c r="O66" s="10">
        <f>IF(L66="","",IF(M66="Won",L66*G66,IF(M66="Void",L66,IF(M66="Cash out",N(N66),IF(M66="Lost",0,"")))))</f>
        <v/>
      </c>
      <c r="P66" s="10">
        <f>IF(OR(L66="",M66="",M66="Pending"),"",O66-L66)</f>
        <v/>
      </c>
      <c r="Q66" s="21" t="n"/>
      <c r="R66" s="11">
        <f>IF(OR(G66="",Q66=""),"",G66/Q66-1)</f>
        <v/>
      </c>
      <c r="S66" s="10">
        <f>IF(OR(L66="",J66=""),"",L66*J66)</f>
        <v/>
      </c>
      <c r="T66" s="10">
        <f>IF(P66="","",StartBank+SUM(P$2:P66))</f>
        <v/>
      </c>
    </row>
    <row r="67">
      <c r="A67" s="22" t="n"/>
      <c r="G67" s="21" t="n"/>
      <c r="H67" s="11" t="n"/>
      <c r="I67" s="21">
        <f>IF(OR(H67="",H67=0),"",1/H67)</f>
        <v/>
      </c>
      <c r="J67" s="11">
        <f>IF(OR(G67="",H67=""),"",H67*G67-1)</f>
        <v/>
      </c>
      <c r="K67" s="10">
        <f>IF(OR(G67="",H67="",G67&lt;=1),"",IF(J67&lt;IF(D67="Builder",MinEdgeBuilder,IF(D67="Player",MinEdgePlayer,MinEdgeSingle)),0,ROUND(MIN(IF(D67="Single",KellySingle,KellyBuilder)*(StartBank+SUM(P$1:P66))*J67/(G67-1),IF(D67="Builder",CapBuilder,CapSingle)*Unit),2)))</f>
        <v/>
      </c>
      <c r="L67" s="10" t="n"/>
      <c r="N67" s="10" t="n"/>
      <c r="O67" s="10">
        <f>IF(L67="","",IF(M67="Won",L67*G67,IF(M67="Void",L67,IF(M67="Cash out",N(N67),IF(M67="Lost",0,"")))))</f>
        <v/>
      </c>
      <c r="P67" s="10">
        <f>IF(OR(L67="",M67="",M67="Pending"),"",O67-L67)</f>
        <v/>
      </c>
      <c r="Q67" s="21" t="n"/>
      <c r="R67" s="11">
        <f>IF(OR(G67="",Q67=""),"",G67/Q67-1)</f>
        <v/>
      </c>
      <c r="S67" s="10">
        <f>IF(OR(L67="",J67=""),"",L67*J67)</f>
        <v/>
      </c>
      <c r="T67" s="10">
        <f>IF(P67="","",StartBank+SUM(P$2:P67))</f>
        <v/>
      </c>
    </row>
    <row r="68">
      <c r="A68" s="22" t="n"/>
      <c r="G68" s="21" t="n"/>
      <c r="H68" s="11" t="n"/>
      <c r="I68" s="21">
        <f>IF(OR(H68="",H68=0),"",1/H68)</f>
        <v/>
      </c>
      <c r="J68" s="11">
        <f>IF(OR(G68="",H68=""),"",H68*G68-1)</f>
        <v/>
      </c>
      <c r="K68" s="10">
        <f>IF(OR(G68="",H68="",G68&lt;=1),"",IF(J68&lt;IF(D68="Builder",MinEdgeBuilder,IF(D68="Player",MinEdgePlayer,MinEdgeSingle)),0,ROUND(MIN(IF(D68="Single",KellySingle,KellyBuilder)*(StartBank+SUM(P$1:P67))*J68/(G68-1),IF(D68="Builder",CapBuilder,CapSingle)*Unit),2)))</f>
        <v/>
      </c>
      <c r="L68" s="10" t="n"/>
      <c r="N68" s="10" t="n"/>
      <c r="O68" s="10">
        <f>IF(L68="","",IF(M68="Won",L68*G68,IF(M68="Void",L68,IF(M68="Cash out",N(N68),IF(M68="Lost",0,"")))))</f>
        <v/>
      </c>
      <c r="P68" s="10">
        <f>IF(OR(L68="",M68="",M68="Pending"),"",O68-L68)</f>
        <v/>
      </c>
      <c r="Q68" s="21" t="n"/>
      <c r="R68" s="11">
        <f>IF(OR(G68="",Q68=""),"",G68/Q68-1)</f>
        <v/>
      </c>
      <c r="S68" s="10">
        <f>IF(OR(L68="",J68=""),"",L68*J68)</f>
        <v/>
      </c>
      <c r="T68" s="10">
        <f>IF(P68="","",StartBank+SUM(P$2:P68))</f>
        <v/>
      </c>
    </row>
    <row r="69">
      <c r="A69" s="22" t="n"/>
      <c r="G69" s="21" t="n"/>
      <c r="H69" s="11" t="n"/>
      <c r="I69" s="21">
        <f>IF(OR(H69="",H69=0),"",1/H69)</f>
        <v/>
      </c>
      <c r="J69" s="11">
        <f>IF(OR(G69="",H69=""),"",H69*G69-1)</f>
        <v/>
      </c>
      <c r="K69" s="10">
        <f>IF(OR(G69="",H69="",G69&lt;=1),"",IF(J69&lt;IF(D69="Builder",MinEdgeBuilder,IF(D69="Player",MinEdgePlayer,MinEdgeSingle)),0,ROUND(MIN(IF(D69="Single",KellySingle,KellyBuilder)*(StartBank+SUM(P$1:P68))*J69/(G69-1),IF(D69="Builder",CapBuilder,CapSingle)*Unit),2)))</f>
        <v/>
      </c>
      <c r="L69" s="10" t="n"/>
      <c r="N69" s="10" t="n"/>
      <c r="O69" s="10">
        <f>IF(L69="","",IF(M69="Won",L69*G69,IF(M69="Void",L69,IF(M69="Cash out",N(N69),IF(M69="Lost",0,"")))))</f>
        <v/>
      </c>
      <c r="P69" s="10">
        <f>IF(OR(L69="",M69="",M69="Pending"),"",O69-L69)</f>
        <v/>
      </c>
      <c r="Q69" s="21" t="n"/>
      <c r="R69" s="11">
        <f>IF(OR(G69="",Q69=""),"",G69/Q69-1)</f>
        <v/>
      </c>
      <c r="S69" s="10">
        <f>IF(OR(L69="",J69=""),"",L69*J69)</f>
        <v/>
      </c>
      <c r="T69" s="10">
        <f>IF(P69="","",StartBank+SUM(P$2:P69))</f>
        <v/>
      </c>
    </row>
    <row r="70">
      <c r="A70" s="22" t="n"/>
      <c r="G70" s="21" t="n"/>
      <c r="H70" s="11" t="n"/>
      <c r="I70" s="21">
        <f>IF(OR(H70="",H70=0),"",1/H70)</f>
        <v/>
      </c>
      <c r="J70" s="11">
        <f>IF(OR(G70="",H70=""),"",H70*G70-1)</f>
        <v/>
      </c>
      <c r="K70" s="10">
        <f>IF(OR(G70="",H70="",G70&lt;=1),"",IF(J70&lt;IF(D70="Builder",MinEdgeBuilder,IF(D70="Player",MinEdgePlayer,MinEdgeSingle)),0,ROUND(MIN(IF(D70="Single",KellySingle,KellyBuilder)*(StartBank+SUM(P$1:P69))*J70/(G70-1),IF(D70="Builder",CapBuilder,CapSingle)*Unit),2)))</f>
        <v/>
      </c>
      <c r="L70" s="10" t="n"/>
      <c r="N70" s="10" t="n"/>
      <c r="O70" s="10">
        <f>IF(L70="","",IF(M70="Won",L70*G70,IF(M70="Void",L70,IF(M70="Cash out",N(N70),IF(M70="Lost",0,"")))))</f>
        <v/>
      </c>
      <c r="P70" s="10">
        <f>IF(OR(L70="",M70="",M70="Pending"),"",O70-L70)</f>
        <v/>
      </c>
      <c r="Q70" s="21" t="n"/>
      <c r="R70" s="11">
        <f>IF(OR(G70="",Q70=""),"",G70/Q70-1)</f>
        <v/>
      </c>
      <c r="S70" s="10">
        <f>IF(OR(L70="",J70=""),"",L70*J70)</f>
        <v/>
      </c>
      <c r="T70" s="10">
        <f>IF(P70="","",StartBank+SUM(P$2:P70))</f>
        <v/>
      </c>
    </row>
    <row r="71">
      <c r="A71" s="22" t="n"/>
      <c r="G71" s="21" t="n"/>
      <c r="H71" s="11" t="n"/>
      <c r="I71" s="21">
        <f>IF(OR(H71="",H71=0),"",1/H71)</f>
        <v/>
      </c>
      <c r="J71" s="11">
        <f>IF(OR(G71="",H71=""),"",H71*G71-1)</f>
        <v/>
      </c>
      <c r="K71" s="10">
        <f>IF(OR(G71="",H71="",G71&lt;=1),"",IF(J71&lt;IF(D71="Builder",MinEdgeBuilder,IF(D71="Player",MinEdgePlayer,MinEdgeSingle)),0,ROUND(MIN(IF(D71="Single",KellySingle,KellyBuilder)*(StartBank+SUM(P$1:P70))*J71/(G71-1),IF(D71="Builder",CapBuilder,CapSingle)*Unit),2)))</f>
        <v/>
      </c>
      <c r="L71" s="10" t="n"/>
      <c r="N71" s="10" t="n"/>
      <c r="O71" s="10">
        <f>IF(L71="","",IF(M71="Won",L71*G71,IF(M71="Void",L71,IF(M71="Cash out",N(N71),IF(M71="Lost",0,"")))))</f>
        <v/>
      </c>
      <c r="P71" s="10">
        <f>IF(OR(L71="",M71="",M71="Pending"),"",O71-L71)</f>
        <v/>
      </c>
      <c r="Q71" s="21" t="n"/>
      <c r="R71" s="11">
        <f>IF(OR(G71="",Q71=""),"",G71/Q71-1)</f>
        <v/>
      </c>
      <c r="S71" s="10">
        <f>IF(OR(L71="",J71=""),"",L71*J71)</f>
        <v/>
      </c>
      <c r="T71" s="10">
        <f>IF(P71="","",StartBank+SUM(P$2:P71))</f>
        <v/>
      </c>
    </row>
    <row r="72">
      <c r="A72" s="22" t="n"/>
      <c r="G72" s="21" t="n"/>
      <c r="H72" s="11" t="n"/>
      <c r="I72" s="21">
        <f>IF(OR(H72="",H72=0),"",1/H72)</f>
        <v/>
      </c>
      <c r="J72" s="11">
        <f>IF(OR(G72="",H72=""),"",H72*G72-1)</f>
        <v/>
      </c>
      <c r="K72" s="10">
        <f>IF(OR(G72="",H72="",G72&lt;=1),"",IF(J72&lt;IF(D72="Builder",MinEdgeBuilder,IF(D72="Player",MinEdgePlayer,MinEdgeSingle)),0,ROUND(MIN(IF(D72="Single",KellySingle,KellyBuilder)*(StartBank+SUM(P$1:P71))*J72/(G72-1),IF(D72="Builder",CapBuilder,CapSingle)*Unit),2)))</f>
        <v/>
      </c>
      <c r="L72" s="10" t="n"/>
      <c r="N72" s="10" t="n"/>
      <c r="O72" s="10">
        <f>IF(L72="","",IF(M72="Won",L72*G72,IF(M72="Void",L72,IF(M72="Cash out",N(N72),IF(M72="Lost",0,"")))))</f>
        <v/>
      </c>
      <c r="P72" s="10">
        <f>IF(OR(L72="",M72="",M72="Pending"),"",O72-L72)</f>
        <v/>
      </c>
      <c r="Q72" s="21" t="n"/>
      <c r="R72" s="11">
        <f>IF(OR(G72="",Q72=""),"",G72/Q72-1)</f>
        <v/>
      </c>
      <c r="S72" s="10">
        <f>IF(OR(L72="",J72=""),"",L72*J72)</f>
        <v/>
      </c>
      <c r="T72" s="10">
        <f>IF(P72="","",StartBank+SUM(P$2:P72))</f>
        <v/>
      </c>
    </row>
    <row r="73">
      <c r="A73" s="22" t="n"/>
      <c r="G73" s="21" t="n"/>
      <c r="H73" s="11" t="n"/>
      <c r="I73" s="21">
        <f>IF(OR(H73="",H73=0),"",1/H73)</f>
        <v/>
      </c>
      <c r="J73" s="11">
        <f>IF(OR(G73="",H73=""),"",H73*G73-1)</f>
        <v/>
      </c>
      <c r="K73" s="10">
        <f>IF(OR(G73="",H73="",G73&lt;=1),"",IF(J73&lt;IF(D73="Builder",MinEdgeBuilder,IF(D73="Player",MinEdgePlayer,MinEdgeSingle)),0,ROUND(MIN(IF(D73="Single",KellySingle,KellyBuilder)*(StartBank+SUM(P$1:P72))*J73/(G73-1),IF(D73="Builder",CapBuilder,CapSingle)*Unit),2)))</f>
        <v/>
      </c>
      <c r="L73" s="10" t="n"/>
      <c r="N73" s="10" t="n"/>
      <c r="O73" s="10">
        <f>IF(L73="","",IF(M73="Won",L73*G73,IF(M73="Void",L73,IF(M73="Cash out",N(N73),IF(M73="Lost",0,"")))))</f>
        <v/>
      </c>
      <c r="P73" s="10">
        <f>IF(OR(L73="",M73="",M73="Pending"),"",O73-L73)</f>
        <v/>
      </c>
      <c r="Q73" s="21" t="n"/>
      <c r="R73" s="11">
        <f>IF(OR(G73="",Q73=""),"",G73/Q73-1)</f>
        <v/>
      </c>
      <c r="S73" s="10">
        <f>IF(OR(L73="",J73=""),"",L73*J73)</f>
        <v/>
      </c>
      <c r="T73" s="10">
        <f>IF(P73="","",StartBank+SUM(P$2:P73))</f>
        <v/>
      </c>
    </row>
    <row r="74">
      <c r="A74" s="22" t="n"/>
      <c r="G74" s="21" t="n"/>
      <c r="H74" s="11" t="n"/>
      <c r="I74" s="21">
        <f>IF(OR(H74="",H74=0),"",1/H74)</f>
        <v/>
      </c>
      <c r="J74" s="11">
        <f>IF(OR(G74="",H74=""),"",H74*G74-1)</f>
        <v/>
      </c>
      <c r="K74" s="10">
        <f>IF(OR(G74="",H74="",G74&lt;=1),"",IF(J74&lt;IF(D74="Builder",MinEdgeBuilder,IF(D74="Player",MinEdgePlayer,MinEdgeSingle)),0,ROUND(MIN(IF(D74="Single",KellySingle,KellyBuilder)*(StartBank+SUM(P$1:P73))*J74/(G74-1),IF(D74="Builder",CapBuilder,CapSingle)*Unit),2)))</f>
        <v/>
      </c>
      <c r="L74" s="10" t="n"/>
      <c r="N74" s="10" t="n"/>
      <c r="O74" s="10">
        <f>IF(L74="","",IF(M74="Won",L74*G74,IF(M74="Void",L74,IF(M74="Cash out",N(N74),IF(M74="Lost",0,"")))))</f>
        <v/>
      </c>
      <c r="P74" s="10">
        <f>IF(OR(L74="",M74="",M74="Pending"),"",O74-L74)</f>
        <v/>
      </c>
      <c r="Q74" s="21" t="n"/>
      <c r="R74" s="11">
        <f>IF(OR(G74="",Q74=""),"",G74/Q74-1)</f>
        <v/>
      </c>
      <c r="S74" s="10">
        <f>IF(OR(L74="",J74=""),"",L74*J74)</f>
        <v/>
      </c>
      <c r="T74" s="10">
        <f>IF(P74="","",StartBank+SUM(P$2:P74))</f>
        <v/>
      </c>
    </row>
    <row r="75">
      <c r="A75" s="22" t="n"/>
      <c r="G75" s="21" t="n"/>
      <c r="H75" s="11" t="n"/>
      <c r="I75" s="21">
        <f>IF(OR(H75="",H75=0),"",1/H75)</f>
        <v/>
      </c>
      <c r="J75" s="11">
        <f>IF(OR(G75="",H75=""),"",H75*G75-1)</f>
        <v/>
      </c>
      <c r="K75" s="10">
        <f>IF(OR(G75="",H75="",G75&lt;=1),"",IF(J75&lt;IF(D75="Builder",MinEdgeBuilder,IF(D75="Player",MinEdgePlayer,MinEdgeSingle)),0,ROUND(MIN(IF(D75="Single",KellySingle,KellyBuilder)*(StartBank+SUM(P$1:P74))*J75/(G75-1),IF(D75="Builder",CapBuilder,CapSingle)*Unit),2)))</f>
        <v/>
      </c>
      <c r="L75" s="10" t="n"/>
      <c r="N75" s="10" t="n"/>
      <c r="O75" s="10">
        <f>IF(L75="","",IF(M75="Won",L75*G75,IF(M75="Void",L75,IF(M75="Cash out",N(N75),IF(M75="Lost",0,"")))))</f>
        <v/>
      </c>
      <c r="P75" s="10">
        <f>IF(OR(L75="",M75="",M75="Pending"),"",O75-L75)</f>
        <v/>
      </c>
      <c r="Q75" s="21" t="n"/>
      <c r="R75" s="11">
        <f>IF(OR(G75="",Q75=""),"",G75/Q75-1)</f>
        <v/>
      </c>
      <c r="S75" s="10">
        <f>IF(OR(L75="",J75=""),"",L75*J75)</f>
        <v/>
      </c>
      <c r="T75" s="10">
        <f>IF(P75="","",StartBank+SUM(P$2:P75))</f>
        <v/>
      </c>
    </row>
    <row r="76">
      <c r="A76" s="22" t="n"/>
      <c r="G76" s="21" t="n"/>
      <c r="H76" s="11" t="n"/>
      <c r="I76" s="21">
        <f>IF(OR(H76="",H76=0),"",1/H76)</f>
        <v/>
      </c>
      <c r="J76" s="11">
        <f>IF(OR(G76="",H76=""),"",H76*G76-1)</f>
        <v/>
      </c>
      <c r="K76" s="10">
        <f>IF(OR(G76="",H76="",G76&lt;=1),"",IF(J76&lt;IF(D76="Builder",MinEdgeBuilder,IF(D76="Player",MinEdgePlayer,MinEdgeSingle)),0,ROUND(MIN(IF(D76="Single",KellySingle,KellyBuilder)*(StartBank+SUM(P$1:P75))*J76/(G76-1),IF(D76="Builder",CapBuilder,CapSingle)*Unit),2)))</f>
        <v/>
      </c>
      <c r="L76" s="10" t="n"/>
      <c r="N76" s="10" t="n"/>
      <c r="O76" s="10">
        <f>IF(L76="","",IF(M76="Won",L76*G76,IF(M76="Void",L76,IF(M76="Cash out",N(N76),IF(M76="Lost",0,"")))))</f>
        <v/>
      </c>
      <c r="P76" s="10">
        <f>IF(OR(L76="",M76="",M76="Pending"),"",O76-L76)</f>
        <v/>
      </c>
      <c r="Q76" s="21" t="n"/>
      <c r="R76" s="11">
        <f>IF(OR(G76="",Q76=""),"",G76/Q76-1)</f>
        <v/>
      </c>
      <c r="S76" s="10">
        <f>IF(OR(L76="",J76=""),"",L76*J76)</f>
        <v/>
      </c>
      <c r="T76" s="10">
        <f>IF(P76="","",StartBank+SUM(P$2:P76))</f>
        <v/>
      </c>
    </row>
    <row r="77">
      <c r="A77" s="22" t="n"/>
      <c r="G77" s="21" t="n"/>
      <c r="H77" s="11" t="n"/>
      <c r="I77" s="21">
        <f>IF(OR(H77="",H77=0),"",1/H77)</f>
        <v/>
      </c>
      <c r="J77" s="11">
        <f>IF(OR(G77="",H77=""),"",H77*G77-1)</f>
        <v/>
      </c>
      <c r="K77" s="10">
        <f>IF(OR(G77="",H77="",G77&lt;=1),"",IF(J77&lt;IF(D77="Builder",MinEdgeBuilder,IF(D77="Player",MinEdgePlayer,MinEdgeSingle)),0,ROUND(MIN(IF(D77="Single",KellySingle,KellyBuilder)*(StartBank+SUM(P$1:P76))*J77/(G77-1),IF(D77="Builder",CapBuilder,CapSingle)*Unit),2)))</f>
        <v/>
      </c>
      <c r="L77" s="10" t="n"/>
      <c r="N77" s="10" t="n"/>
      <c r="O77" s="10">
        <f>IF(L77="","",IF(M77="Won",L77*G77,IF(M77="Void",L77,IF(M77="Cash out",N(N77),IF(M77="Lost",0,"")))))</f>
        <v/>
      </c>
      <c r="P77" s="10">
        <f>IF(OR(L77="",M77="",M77="Pending"),"",O77-L77)</f>
        <v/>
      </c>
      <c r="Q77" s="21" t="n"/>
      <c r="R77" s="11">
        <f>IF(OR(G77="",Q77=""),"",G77/Q77-1)</f>
        <v/>
      </c>
      <c r="S77" s="10">
        <f>IF(OR(L77="",J77=""),"",L77*J77)</f>
        <v/>
      </c>
      <c r="T77" s="10">
        <f>IF(P77="","",StartBank+SUM(P$2:P77))</f>
        <v/>
      </c>
    </row>
    <row r="78">
      <c r="A78" s="22" t="n"/>
      <c r="G78" s="21" t="n"/>
      <c r="H78" s="11" t="n"/>
      <c r="I78" s="21">
        <f>IF(OR(H78="",H78=0),"",1/H78)</f>
        <v/>
      </c>
      <c r="J78" s="11">
        <f>IF(OR(G78="",H78=""),"",H78*G78-1)</f>
        <v/>
      </c>
      <c r="K78" s="10">
        <f>IF(OR(G78="",H78="",G78&lt;=1),"",IF(J78&lt;IF(D78="Builder",MinEdgeBuilder,IF(D78="Player",MinEdgePlayer,MinEdgeSingle)),0,ROUND(MIN(IF(D78="Single",KellySingle,KellyBuilder)*(StartBank+SUM(P$1:P77))*J78/(G78-1),IF(D78="Builder",CapBuilder,CapSingle)*Unit),2)))</f>
        <v/>
      </c>
      <c r="L78" s="10" t="n"/>
      <c r="N78" s="10" t="n"/>
      <c r="O78" s="10">
        <f>IF(L78="","",IF(M78="Won",L78*G78,IF(M78="Void",L78,IF(M78="Cash out",N(N78),IF(M78="Lost",0,"")))))</f>
        <v/>
      </c>
      <c r="P78" s="10">
        <f>IF(OR(L78="",M78="",M78="Pending"),"",O78-L78)</f>
        <v/>
      </c>
      <c r="Q78" s="21" t="n"/>
      <c r="R78" s="11">
        <f>IF(OR(G78="",Q78=""),"",G78/Q78-1)</f>
        <v/>
      </c>
      <c r="S78" s="10">
        <f>IF(OR(L78="",J78=""),"",L78*J78)</f>
        <v/>
      </c>
      <c r="T78" s="10">
        <f>IF(P78="","",StartBank+SUM(P$2:P78))</f>
        <v/>
      </c>
    </row>
    <row r="79">
      <c r="A79" s="22" t="n"/>
      <c r="G79" s="21" t="n"/>
      <c r="H79" s="11" t="n"/>
      <c r="I79" s="21">
        <f>IF(OR(H79="",H79=0),"",1/H79)</f>
        <v/>
      </c>
      <c r="J79" s="11">
        <f>IF(OR(G79="",H79=""),"",H79*G79-1)</f>
        <v/>
      </c>
      <c r="K79" s="10">
        <f>IF(OR(G79="",H79="",G79&lt;=1),"",IF(J79&lt;IF(D79="Builder",MinEdgeBuilder,IF(D79="Player",MinEdgePlayer,MinEdgeSingle)),0,ROUND(MIN(IF(D79="Single",KellySingle,KellyBuilder)*(StartBank+SUM(P$1:P78))*J79/(G79-1),IF(D79="Builder",CapBuilder,CapSingle)*Unit),2)))</f>
        <v/>
      </c>
      <c r="L79" s="10" t="n"/>
      <c r="N79" s="10" t="n"/>
      <c r="O79" s="10">
        <f>IF(L79="","",IF(M79="Won",L79*G79,IF(M79="Void",L79,IF(M79="Cash out",N(N79),IF(M79="Lost",0,"")))))</f>
        <v/>
      </c>
      <c r="P79" s="10">
        <f>IF(OR(L79="",M79="",M79="Pending"),"",O79-L79)</f>
        <v/>
      </c>
      <c r="Q79" s="21" t="n"/>
      <c r="R79" s="11">
        <f>IF(OR(G79="",Q79=""),"",G79/Q79-1)</f>
        <v/>
      </c>
      <c r="S79" s="10">
        <f>IF(OR(L79="",J79=""),"",L79*J79)</f>
        <v/>
      </c>
      <c r="T79" s="10">
        <f>IF(P79="","",StartBank+SUM(P$2:P79))</f>
        <v/>
      </c>
    </row>
    <row r="80">
      <c r="A80" s="22" t="n"/>
      <c r="G80" s="21" t="n"/>
      <c r="H80" s="11" t="n"/>
      <c r="I80" s="21">
        <f>IF(OR(H80="",H80=0),"",1/H80)</f>
        <v/>
      </c>
      <c r="J80" s="11">
        <f>IF(OR(G80="",H80=""),"",H80*G80-1)</f>
        <v/>
      </c>
      <c r="K80" s="10">
        <f>IF(OR(G80="",H80="",G80&lt;=1),"",IF(J80&lt;IF(D80="Builder",MinEdgeBuilder,IF(D80="Player",MinEdgePlayer,MinEdgeSingle)),0,ROUND(MIN(IF(D80="Single",KellySingle,KellyBuilder)*(StartBank+SUM(P$1:P79))*J80/(G80-1),IF(D80="Builder",CapBuilder,CapSingle)*Unit),2)))</f>
        <v/>
      </c>
      <c r="L80" s="10" t="n"/>
      <c r="N80" s="10" t="n"/>
      <c r="O80" s="10">
        <f>IF(L80="","",IF(M80="Won",L80*G80,IF(M80="Void",L80,IF(M80="Cash out",N(N80),IF(M80="Lost",0,"")))))</f>
        <v/>
      </c>
      <c r="P80" s="10">
        <f>IF(OR(L80="",M80="",M80="Pending"),"",O80-L80)</f>
        <v/>
      </c>
      <c r="Q80" s="21" t="n"/>
      <c r="R80" s="11">
        <f>IF(OR(G80="",Q80=""),"",G80/Q80-1)</f>
        <v/>
      </c>
      <c r="S80" s="10">
        <f>IF(OR(L80="",J80=""),"",L80*J80)</f>
        <v/>
      </c>
      <c r="T80" s="10">
        <f>IF(P80="","",StartBank+SUM(P$2:P80))</f>
        <v/>
      </c>
    </row>
    <row r="81">
      <c r="A81" s="22" t="n"/>
      <c r="G81" s="21" t="n"/>
      <c r="H81" s="11" t="n"/>
      <c r="I81" s="21">
        <f>IF(OR(H81="",H81=0),"",1/H81)</f>
        <v/>
      </c>
      <c r="J81" s="11">
        <f>IF(OR(G81="",H81=""),"",H81*G81-1)</f>
        <v/>
      </c>
      <c r="K81" s="10">
        <f>IF(OR(G81="",H81="",G81&lt;=1),"",IF(J81&lt;IF(D81="Builder",MinEdgeBuilder,IF(D81="Player",MinEdgePlayer,MinEdgeSingle)),0,ROUND(MIN(IF(D81="Single",KellySingle,KellyBuilder)*(StartBank+SUM(P$1:P80))*J81/(G81-1),IF(D81="Builder",CapBuilder,CapSingle)*Unit),2)))</f>
        <v/>
      </c>
      <c r="L81" s="10" t="n"/>
      <c r="N81" s="10" t="n"/>
      <c r="O81" s="10">
        <f>IF(L81="","",IF(M81="Won",L81*G81,IF(M81="Void",L81,IF(M81="Cash out",N(N81),IF(M81="Lost",0,"")))))</f>
        <v/>
      </c>
      <c r="P81" s="10">
        <f>IF(OR(L81="",M81="",M81="Pending"),"",O81-L81)</f>
        <v/>
      </c>
      <c r="Q81" s="21" t="n"/>
      <c r="R81" s="11">
        <f>IF(OR(G81="",Q81=""),"",G81/Q81-1)</f>
        <v/>
      </c>
      <c r="S81" s="10">
        <f>IF(OR(L81="",J81=""),"",L81*J81)</f>
        <v/>
      </c>
      <c r="T81" s="10">
        <f>IF(P81="","",StartBank+SUM(P$2:P81))</f>
        <v/>
      </c>
    </row>
    <row r="82">
      <c r="A82" s="22" t="n"/>
      <c r="G82" s="21" t="n"/>
      <c r="H82" s="11" t="n"/>
      <c r="I82" s="21">
        <f>IF(OR(H82="",H82=0),"",1/H82)</f>
        <v/>
      </c>
      <c r="J82" s="11">
        <f>IF(OR(G82="",H82=""),"",H82*G82-1)</f>
        <v/>
      </c>
      <c r="K82" s="10">
        <f>IF(OR(G82="",H82="",G82&lt;=1),"",IF(J82&lt;IF(D82="Builder",MinEdgeBuilder,IF(D82="Player",MinEdgePlayer,MinEdgeSingle)),0,ROUND(MIN(IF(D82="Single",KellySingle,KellyBuilder)*(StartBank+SUM(P$1:P81))*J82/(G82-1),IF(D82="Builder",CapBuilder,CapSingle)*Unit),2)))</f>
        <v/>
      </c>
      <c r="L82" s="10" t="n"/>
      <c r="N82" s="10" t="n"/>
      <c r="O82" s="10">
        <f>IF(L82="","",IF(M82="Won",L82*G82,IF(M82="Void",L82,IF(M82="Cash out",N(N82),IF(M82="Lost",0,"")))))</f>
        <v/>
      </c>
      <c r="P82" s="10">
        <f>IF(OR(L82="",M82="",M82="Pending"),"",O82-L82)</f>
        <v/>
      </c>
      <c r="Q82" s="21" t="n"/>
      <c r="R82" s="11">
        <f>IF(OR(G82="",Q82=""),"",G82/Q82-1)</f>
        <v/>
      </c>
      <c r="S82" s="10">
        <f>IF(OR(L82="",J82=""),"",L82*J82)</f>
        <v/>
      </c>
      <c r="T82" s="10">
        <f>IF(P82="","",StartBank+SUM(P$2:P82))</f>
        <v/>
      </c>
    </row>
    <row r="83">
      <c r="A83" s="22" t="n"/>
      <c r="G83" s="21" t="n"/>
      <c r="H83" s="11" t="n"/>
      <c r="I83" s="21">
        <f>IF(OR(H83="",H83=0),"",1/H83)</f>
        <v/>
      </c>
      <c r="J83" s="11">
        <f>IF(OR(G83="",H83=""),"",H83*G83-1)</f>
        <v/>
      </c>
      <c r="K83" s="10">
        <f>IF(OR(G83="",H83="",G83&lt;=1),"",IF(J83&lt;IF(D83="Builder",MinEdgeBuilder,IF(D83="Player",MinEdgePlayer,MinEdgeSingle)),0,ROUND(MIN(IF(D83="Single",KellySingle,KellyBuilder)*(StartBank+SUM(P$1:P82))*J83/(G83-1),IF(D83="Builder",CapBuilder,CapSingle)*Unit),2)))</f>
        <v/>
      </c>
      <c r="L83" s="10" t="n"/>
      <c r="N83" s="10" t="n"/>
      <c r="O83" s="10">
        <f>IF(L83="","",IF(M83="Won",L83*G83,IF(M83="Void",L83,IF(M83="Cash out",N(N83),IF(M83="Lost",0,"")))))</f>
        <v/>
      </c>
      <c r="P83" s="10">
        <f>IF(OR(L83="",M83="",M83="Pending"),"",O83-L83)</f>
        <v/>
      </c>
      <c r="Q83" s="21" t="n"/>
      <c r="R83" s="11">
        <f>IF(OR(G83="",Q83=""),"",G83/Q83-1)</f>
        <v/>
      </c>
      <c r="S83" s="10">
        <f>IF(OR(L83="",J83=""),"",L83*J83)</f>
        <v/>
      </c>
      <c r="T83" s="10">
        <f>IF(P83="","",StartBank+SUM(P$2:P83))</f>
        <v/>
      </c>
    </row>
    <row r="84">
      <c r="A84" s="22" t="n"/>
      <c r="G84" s="21" t="n"/>
      <c r="H84" s="11" t="n"/>
      <c r="I84" s="21">
        <f>IF(OR(H84="",H84=0),"",1/H84)</f>
        <v/>
      </c>
      <c r="J84" s="11">
        <f>IF(OR(G84="",H84=""),"",H84*G84-1)</f>
        <v/>
      </c>
      <c r="K84" s="10">
        <f>IF(OR(G84="",H84="",G84&lt;=1),"",IF(J84&lt;IF(D84="Builder",MinEdgeBuilder,IF(D84="Player",MinEdgePlayer,MinEdgeSingle)),0,ROUND(MIN(IF(D84="Single",KellySingle,KellyBuilder)*(StartBank+SUM(P$1:P83))*J84/(G84-1),IF(D84="Builder",CapBuilder,CapSingle)*Unit),2)))</f>
        <v/>
      </c>
      <c r="L84" s="10" t="n"/>
      <c r="N84" s="10" t="n"/>
      <c r="O84" s="10">
        <f>IF(L84="","",IF(M84="Won",L84*G84,IF(M84="Void",L84,IF(M84="Cash out",N(N84),IF(M84="Lost",0,"")))))</f>
        <v/>
      </c>
      <c r="P84" s="10">
        <f>IF(OR(L84="",M84="",M84="Pending"),"",O84-L84)</f>
        <v/>
      </c>
      <c r="Q84" s="21" t="n"/>
      <c r="R84" s="11">
        <f>IF(OR(G84="",Q84=""),"",G84/Q84-1)</f>
        <v/>
      </c>
      <c r="S84" s="10">
        <f>IF(OR(L84="",J84=""),"",L84*J84)</f>
        <v/>
      </c>
      <c r="T84" s="10">
        <f>IF(P84="","",StartBank+SUM(P$2:P84))</f>
        <v/>
      </c>
    </row>
    <row r="85">
      <c r="A85" s="22" t="n"/>
      <c r="G85" s="21" t="n"/>
      <c r="H85" s="11" t="n"/>
      <c r="I85" s="21">
        <f>IF(OR(H85="",H85=0),"",1/H85)</f>
        <v/>
      </c>
      <c r="J85" s="11">
        <f>IF(OR(G85="",H85=""),"",H85*G85-1)</f>
        <v/>
      </c>
      <c r="K85" s="10">
        <f>IF(OR(G85="",H85="",G85&lt;=1),"",IF(J85&lt;IF(D85="Builder",MinEdgeBuilder,IF(D85="Player",MinEdgePlayer,MinEdgeSingle)),0,ROUND(MIN(IF(D85="Single",KellySingle,KellyBuilder)*(StartBank+SUM(P$1:P84))*J85/(G85-1),IF(D85="Builder",CapBuilder,CapSingle)*Unit),2)))</f>
        <v/>
      </c>
      <c r="L85" s="10" t="n"/>
      <c r="N85" s="10" t="n"/>
      <c r="O85" s="10">
        <f>IF(L85="","",IF(M85="Won",L85*G85,IF(M85="Void",L85,IF(M85="Cash out",N(N85),IF(M85="Lost",0,"")))))</f>
        <v/>
      </c>
      <c r="P85" s="10">
        <f>IF(OR(L85="",M85="",M85="Pending"),"",O85-L85)</f>
        <v/>
      </c>
      <c r="Q85" s="21" t="n"/>
      <c r="R85" s="11">
        <f>IF(OR(G85="",Q85=""),"",G85/Q85-1)</f>
        <v/>
      </c>
      <c r="S85" s="10">
        <f>IF(OR(L85="",J85=""),"",L85*J85)</f>
        <v/>
      </c>
      <c r="T85" s="10">
        <f>IF(P85="","",StartBank+SUM(P$2:P85))</f>
        <v/>
      </c>
    </row>
    <row r="86">
      <c r="A86" s="22" t="n"/>
      <c r="G86" s="21" t="n"/>
      <c r="H86" s="11" t="n"/>
      <c r="I86" s="21">
        <f>IF(OR(H86="",H86=0),"",1/H86)</f>
        <v/>
      </c>
      <c r="J86" s="11">
        <f>IF(OR(G86="",H86=""),"",H86*G86-1)</f>
        <v/>
      </c>
      <c r="K86" s="10">
        <f>IF(OR(G86="",H86="",G86&lt;=1),"",IF(J86&lt;IF(D86="Builder",MinEdgeBuilder,IF(D86="Player",MinEdgePlayer,MinEdgeSingle)),0,ROUND(MIN(IF(D86="Single",KellySingle,KellyBuilder)*(StartBank+SUM(P$1:P85))*J86/(G86-1),IF(D86="Builder",CapBuilder,CapSingle)*Unit),2)))</f>
        <v/>
      </c>
      <c r="L86" s="10" t="n"/>
      <c r="N86" s="10" t="n"/>
      <c r="O86" s="10">
        <f>IF(L86="","",IF(M86="Won",L86*G86,IF(M86="Void",L86,IF(M86="Cash out",N(N86),IF(M86="Lost",0,"")))))</f>
        <v/>
      </c>
      <c r="P86" s="10">
        <f>IF(OR(L86="",M86="",M86="Pending"),"",O86-L86)</f>
        <v/>
      </c>
      <c r="Q86" s="21" t="n"/>
      <c r="R86" s="11">
        <f>IF(OR(G86="",Q86=""),"",G86/Q86-1)</f>
        <v/>
      </c>
      <c r="S86" s="10">
        <f>IF(OR(L86="",J86=""),"",L86*J86)</f>
        <v/>
      </c>
      <c r="T86" s="10">
        <f>IF(P86="","",StartBank+SUM(P$2:P86))</f>
        <v/>
      </c>
    </row>
    <row r="87">
      <c r="A87" s="22" t="n"/>
      <c r="G87" s="21" t="n"/>
      <c r="H87" s="11" t="n"/>
      <c r="I87" s="21">
        <f>IF(OR(H87="",H87=0),"",1/H87)</f>
        <v/>
      </c>
      <c r="J87" s="11">
        <f>IF(OR(G87="",H87=""),"",H87*G87-1)</f>
        <v/>
      </c>
      <c r="K87" s="10">
        <f>IF(OR(G87="",H87="",G87&lt;=1),"",IF(J87&lt;IF(D87="Builder",MinEdgeBuilder,IF(D87="Player",MinEdgePlayer,MinEdgeSingle)),0,ROUND(MIN(IF(D87="Single",KellySingle,KellyBuilder)*(StartBank+SUM(P$1:P86))*J87/(G87-1),IF(D87="Builder",CapBuilder,CapSingle)*Unit),2)))</f>
        <v/>
      </c>
      <c r="L87" s="10" t="n"/>
      <c r="N87" s="10" t="n"/>
      <c r="O87" s="10">
        <f>IF(L87="","",IF(M87="Won",L87*G87,IF(M87="Void",L87,IF(M87="Cash out",N(N87),IF(M87="Lost",0,"")))))</f>
        <v/>
      </c>
      <c r="P87" s="10">
        <f>IF(OR(L87="",M87="",M87="Pending"),"",O87-L87)</f>
        <v/>
      </c>
      <c r="Q87" s="21" t="n"/>
      <c r="R87" s="11">
        <f>IF(OR(G87="",Q87=""),"",G87/Q87-1)</f>
        <v/>
      </c>
      <c r="S87" s="10">
        <f>IF(OR(L87="",J87=""),"",L87*J87)</f>
        <v/>
      </c>
      <c r="T87" s="10">
        <f>IF(P87="","",StartBank+SUM(P$2:P87))</f>
        <v/>
      </c>
    </row>
    <row r="88">
      <c r="A88" s="22" t="n"/>
      <c r="G88" s="21" t="n"/>
      <c r="H88" s="11" t="n"/>
      <c r="I88" s="21">
        <f>IF(OR(H88="",H88=0),"",1/H88)</f>
        <v/>
      </c>
      <c r="J88" s="11">
        <f>IF(OR(G88="",H88=""),"",H88*G88-1)</f>
        <v/>
      </c>
      <c r="K88" s="10">
        <f>IF(OR(G88="",H88="",G88&lt;=1),"",IF(J88&lt;IF(D88="Builder",MinEdgeBuilder,IF(D88="Player",MinEdgePlayer,MinEdgeSingle)),0,ROUND(MIN(IF(D88="Single",KellySingle,KellyBuilder)*(StartBank+SUM(P$1:P87))*J88/(G88-1),IF(D88="Builder",CapBuilder,CapSingle)*Unit),2)))</f>
        <v/>
      </c>
      <c r="L88" s="10" t="n"/>
      <c r="N88" s="10" t="n"/>
      <c r="O88" s="10">
        <f>IF(L88="","",IF(M88="Won",L88*G88,IF(M88="Void",L88,IF(M88="Cash out",N(N88),IF(M88="Lost",0,"")))))</f>
        <v/>
      </c>
      <c r="P88" s="10">
        <f>IF(OR(L88="",M88="",M88="Pending"),"",O88-L88)</f>
        <v/>
      </c>
      <c r="Q88" s="21" t="n"/>
      <c r="R88" s="11">
        <f>IF(OR(G88="",Q88=""),"",G88/Q88-1)</f>
        <v/>
      </c>
      <c r="S88" s="10">
        <f>IF(OR(L88="",J88=""),"",L88*J88)</f>
        <v/>
      </c>
      <c r="T88" s="10">
        <f>IF(P88="","",StartBank+SUM(P$2:P88))</f>
        <v/>
      </c>
    </row>
    <row r="89">
      <c r="A89" s="22" t="n"/>
      <c r="G89" s="21" t="n"/>
      <c r="H89" s="11" t="n"/>
      <c r="I89" s="21">
        <f>IF(OR(H89="",H89=0),"",1/H89)</f>
        <v/>
      </c>
      <c r="J89" s="11">
        <f>IF(OR(G89="",H89=""),"",H89*G89-1)</f>
        <v/>
      </c>
      <c r="K89" s="10">
        <f>IF(OR(G89="",H89="",G89&lt;=1),"",IF(J89&lt;IF(D89="Builder",MinEdgeBuilder,IF(D89="Player",MinEdgePlayer,MinEdgeSingle)),0,ROUND(MIN(IF(D89="Single",KellySingle,KellyBuilder)*(StartBank+SUM(P$1:P88))*J89/(G89-1),IF(D89="Builder",CapBuilder,CapSingle)*Unit),2)))</f>
        <v/>
      </c>
      <c r="L89" s="10" t="n"/>
      <c r="N89" s="10" t="n"/>
      <c r="O89" s="10">
        <f>IF(L89="","",IF(M89="Won",L89*G89,IF(M89="Void",L89,IF(M89="Cash out",N(N89),IF(M89="Lost",0,"")))))</f>
        <v/>
      </c>
      <c r="P89" s="10">
        <f>IF(OR(L89="",M89="",M89="Pending"),"",O89-L89)</f>
        <v/>
      </c>
      <c r="Q89" s="21" t="n"/>
      <c r="R89" s="11">
        <f>IF(OR(G89="",Q89=""),"",G89/Q89-1)</f>
        <v/>
      </c>
      <c r="S89" s="10">
        <f>IF(OR(L89="",J89=""),"",L89*J89)</f>
        <v/>
      </c>
      <c r="T89" s="10">
        <f>IF(P89="","",StartBank+SUM(P$2:P89))</f>
        <v/>
      </c>
    </row>
    <row r="90">
      <c r="A90" s="22" t="n"/>
      <c r="G90" s="21" t="n"/>
      <c r="H90" s="11" t="n"/>
      <c r="I90" s="21">
        <f>IF(OR(H90="",H90=0),"",1/H90)</f>
        <v/>
      </c>
      <c r="J90" s="11">
        <f>IF(OR(G90="",H90=""),"",H90*G90-1)</f>
        <v/>
      </c>
      <c r="K90" s="10">
        <f>IF(OR(G90="",H90="",G90&lt;=1),"",IF(J90&lt;IF(D90="Builder",MinEdgeBuilder,IF(D90="Player",MinEdgePlayer,MinEdgeSingle)),0,ROUND(MIN(IF(D90="Single",KellySingle,KellyBuilder)*(StartBank+SUM(P$1:P89))*J90/(G90-1),IF(D90="Builder",CapBuilder,CapSingle)*Unit),2)))</f>
        <v/>
      </c>
      <c r="L90" s="10" t="n"/>
      <c r="N90" s="10" t="n"/>
      <c r="O90" s="10">
        <f>IF(L90="","",IF(M90="Won",L90*G90,IF(M90="Void",L90,IF(M90="Cash out",N(N90),IF(M90="Lost",0,"")))))</f>
        <v/>
      </c>
      <c r="P90" s="10">
        <f>IF(OR(L90="",M90="",M90="Pending"),"",O90-L90)</f>
        <v/>
      </c>
      <c r="Q90" s="21" t="n"/>
      <c r="R90" s="11">
        <f>IF(OR(G90="",Q90=""),"",G90/Q90-1)</f>
        <v/>
      </c>
      <c r="S90" s="10">
        <f>IF(OR(L90="",J90=""),"",L90*J90)</f>
        <v/>
      </c>
      <c r="T90" s="10">
        <f>IF(P90="","",StartBank+SUM(P$2:P90))</f>
        <v/>
      </c>
    </row>
    <row r="91">
      <c r="A91" s="22" t="n"/>
      <c r="G91" s="21" t="n"/>
      <c r="H91" s="11" t="n"/>
      <c r="I91" s="21">
        <f>IF(OR(H91="",H91=0),"",1/H91)</f>
        <v/>
      </c>
      <c r="J91" s="11">
        <f>IF(OR(G91="",H91=""),"",H91*G91-1)</f>
        <v/>
      </c>
      <c r="K91" s="10">
        <f>IF(OR(G91="",H91="",G91&lt;=1),"",IF(J91&lt;IF(D91="Builder",MinEdgeBuilder,IF(D91="Player",MinEdgePlayer,MinEdgeSingle)),0,ROUND(MIN(IF(D91="Single",KellySingle,KellyBuilder)*(StartBank+SUM(P$1:P90))*J91/(G91-1),IF(D91="Builder",CapBuilder,CapSingle)*Unit),2)))</f>
        <v/>
      </c>
      <c r="L91" s="10" t="n"/>
      <c r="N91" s="10" t="n"/>
      <c r="O91" s="10">
        <f>IF(L91="","",IF(M91="Won",L91*G91,IF(M91="Void",L91,IF(M91="Cash out",N(N91),IF(M91="Lost",0,"")))))</f>
        <v/>
      </c>
      <c r="P91" s="10">
        <f>IF(OR(L91="",M91="",M91="Pending"),"",O91-L91)</f>
        <v/>
      </c>
      <c r="Q91" s="21" t="n"/>
      <c r="R91" s="11">
        <f>IF(OR(G91="",Q91=""),"",G91/Q91-1)</f>
        <v/>
      </c>
      <c r="S91" s="10">
        <f>IF(OR(L91="",J91=""),"",L91*J91)</f>
        <v/>
      </c>
      <c r="T91" s="10">
        <f>IF(P91="","",StartBank+SUM(P$2:P91))</f>
        <v/>
      </c>
    </row>
    <row r="92">
      <c r="A92" s="22" t="n"/>
      <c r="G92" s="21" t="n"/>
      <c r="H92" s="11" t="n"/>
      <c r="I92" s="21">
        <f>IF(OR(H92="",H92=0),"",1/H92)</f>
        <v/>
      </c>
      <c r="J92" s="11">
        <f>IF(OR(G92="",H92=""),"",H92*G92-1)</f>
        <v/>
      </c>
      <c r="K92" s="10">
        <f>IF(OR(G92="",H92="",G92&lt;=1),"",IF(J92&lt;IF(D92="Builder",MinEdgeBuilder,IF(D92="Player",MinEdgePlayer,MinEdgeSingle)),0,ROUND(MIN(IF(D92="Single",KellySingle,KellyBuilder)*(StartBank+SUM(P$1:P91))*J92/(G92-1),IF(D92="Builder",CapBuilder,CapSingle)*Unit),2)))</f>
        <v/>
      </c>
      <c r="L92" s="10" t="n"/>
      <c r="N92" s="10" t="n"/>
      <c r="O92" s="10">
        <f>IF(L92="","",IF(M92="Won",L92*G92,IF(M92="Void",L92,IF(M92="Cash out",N(N92),IF(M92="Lost",0,"")))))</f>
        <v/>
      </c>
      <c r="P92" s="10">
        <f>IF(OR(L92="",M92="",M92="Pending"),"",O92-L92)</f>
        <v/>
      </c>
      <c r="Q92" s="21" t="n"/>
      <c r="R92" s="11">
        <f>IF(OR(G92="",Q92=""),"",G92/Q92-1)</f>
        <v/>
      </c>
      <c r="S92" s="10">
        <f>IF(OR(L92="",J92=""),"",L92*J92)</f>
        <v/>
      </c>
      <c r="T92" s="10">
        <f>IF(P92="","",StartBank+SUM(P$2:P92))</f>
        <v/>
      </c>
    </row>
    <row r="93">
      <c r="A93" s="22" t="n"/>
      <c r="G93" s="21" t="n"/>
      <c r="H93" s="11" t="n"/>
      <c r="I93" s="21">
        <f>IF(OR(H93="",H93=0),"",1/H93)</f>
        <v/>
      </c>
      <c r="J93" s="11">
        <f>IF(OR(G93="",H93=""),"",H93*G93-1)</f>
        <v/>
      </c>
      <c r="K93" s="10">
        <f>IF(OR(G93="",H93="",G93&lt;=1),"",IF(J93&lt;IF(D93="Builder",MinEdgeBuilder,IF(D93="Player",MinEdgePlayer,MinEdgeSingle)),0,ROUND(MIN(IF(D93="Single",KellySingle,KellyBuilder)*(StartBank+SUM(P$1:P92))*J93/(G93-1),IF(D93="Builder",CapBuilder,CapSingle)*Unit),2)))</f>
        <v/>
      </c>
      <c r="L93" s="10" t="n"/>
      <c r="N93" s="10" t="n"/>
      <c r="O93" s="10">
        <f>IF(L93="","",IF(M93="Won",L93*G93,IF(M93="Void",L93,IF(M93="Cash out",N(N93),IF(M93="Lost",0,"")))))</f>
        <v/>
      </c>
      <c r="P93" s="10">
        <f>IF(OR(L93="",M93="",M93="Pending"),"",O93-L93)</f>
        <v/>
      </c>
      <c r="Q93" s="21" t="n"/>
      <c r="R93" s="11">
        <f>IF(OR(G93="",Q93=""),"",G93/Q93-1)</f>
        <v/>
      </c>
      <c r="S93" s="10">
        <f>IF(OR(L93="",J93=""),"",L93*J93)</f>
        <v/>
      </c>
      <c r="T93" s="10">
        <f>IF(P93="","",StartBank+SUM(P$2:P93))</f>
        <v/>
      </c>
    </row>
    <row r="94">
      <c r="A94" s="22" t="n"/>
      <c r="G94" s="21" t="n"/>
      <c r="H94" s="11" t="n"/>
      <c r="I94" s="21">
        <f>IF(OR(H94="",H94=0),"",1/H94)</f>
        <v/>
      </c>
      <c r="J94" s="11">
        <f>IF(OR(G94="",H94=""),"",H94*G94-1)</f>
        <v/>
      </c>
      <c r="K94" s="10">
        <f>IF(OR(G94="",H94="",G94&lt;=1),"",IF(J94&lt;IF(D94="Builder",MinEdgeBuilder,IF(D94="Player",MinEdgePlayer,MinEdgeSingle)),0,ROUND(MIN(IF(D94="Single",KellySingle,KellyBuilder)*(StartBank+SUM(P$1:P93))*J94/(G94-1),IF(D94="Builder",CapBuilder,CapSingle)*Unit),2)))</f>
        <v/>
      </c>
      <c r="L94" s="10" t="n"/>
      <c r="N94" s="10" t="n"/>
      <c r="O94" s="10">
        <f>IF(L94="","",IF(M94="Won",L94*G94,IF(M94="Void",L94,IF(M94="Cash out",N(N94),IF(M94="Lost",0,"")))))</f>
        <v/>
      </c>
      <c r="P94" s="10">
        <f>IF(OR(L94="",M94="",M94="Pending"),"",O94-L94)</f>
        <v/>
      </c>
      <c r="Q94" s="21" t="n"/>
      <c r="R94" s="11">
        <f>IF(OR(G94="",Q94=""),"",G94/Q94-1)</f>
        <v/>
      </c>
      <c r="S94" s="10">
        <f>IF(OR(L94="",J94=""),"",L94*J94)</f>
        <v/>
      </c>
      <c r="T94" s="10">
        <f>IF(P94="","",StartBank+SUM(P$2:P94))</f>
        <v/>
      </c>
    </row>
    <row r="95">
      <c r="A95" s="22" t="n"/>
      <c r="G95" s="21" t="n"/>
      <c r="H95" s="11" t="n"/>
      <c r="I95" s="21">
        <f>IF(OR(H95="",H95=0),"",1/H95)</f>
        <v/>
      </c>
      <c r="J95" s="11">
        <f>IF(OR(G95="",H95=""),"",H95*G95-1)</f>
        <v/>
      </c>
      <c r="K95" s="10">
        <f>IF(OR(G95="",H95="",G95&lt;=1),"",IF(J95&lt;IF(D95="Builder",MinEdgeBuilder,IF(D95="Player",MinEdgePlayer,MinEdgeSingle)),0,ROUND(MIN(IF(D95="Single",KellySingle,KellyBuilder)*(StartBank+SUM(P$1:P94))*J95/(G95-1),IF(D95="Builder",CapBuilder,CapSingle)*Unit),2)))</f>
        <v/>
      </c>
      <c r="L95" s="10" t="n"/>
      <c r="N95" s="10" t="n"/>
      <c r="O95" s="10">
        <f>IF(L95="","",IF(M95="Won",L95*G95,IF(M95="Void",L95,IF(M95="Cash out",N(N95),IF(M95="Lost",0,"")))))</f>
        <v/>
      </c>
      <c r="P95" s="10">
        <f>IF(OR(L95="",M95="",M95="Pending"),"",O95-L95)</f>
        <v/>
      </c>
      <c r="Q95" s="21" t="n"/>
      <c r="R95" s="11">
        <f>IF(OR(G95="",Q95=""),"",G95/Q95-1)</f>
        <v/>
      </c>
      <c r="S95" s="10">
        <f>IF(OR(L95="",J95=""),"",L95*J95)</f>
        <v/>
      </c>
      <c r="T95" s="10">
        <f>IF(P95="","",StartBank+SUM(P$2:P95))</f>
        <v/>
      </c>
    </row>
    <row r="96">
      <c r="A96" s="22" t="n"/>
      <c r="G96" s="21" t="n"/>
      <c r="H96" s="11" t="n"/>
      <c r="I96" s="21">
        <f>IF(OR(H96="",H96=0),"",1/H96)</f>
        <v/>
      </c>
      <c r="J96" s="11">
        <f>IF(OR(G96="",H96=""),"",H96*G96-1)</f>
        <v/>
      </c>
      <c r="K96" s="10">
        <f>IF(OR(G96="",H96="",G96&lt;=1),"",IF(J96&lt;IF(D96="Builder",MinEdgeBuilder,IF(D96="Player",MinEdgePlayer,MinEdgeSingle)),0,ROUND(MIN(IF(D96="Single",KellySingle,KellyBuilder)*(StartBank+SUM(P$1:P95))*J96/(G96-1),IF(D96="Builder",CapBuilder,CapSingle)*Unit),2)))</f>
        <v/>
      </c>
      <c r="L96" s="10" t="n"/>
      <c r="N96" s="10" t="n"/>
      <c r="O96" s="10">
        <f>IF(L96="","",IF(M96="Won",L96*G96,IF(M96="Void",L96,IF(M96="Cash out",N(N96),IF(M96="Lost",0,"")))))</f>
        <v/>
      </c>
      <c r="P96" s="10">
        <f>IF(OR(L96="",M96="",M96="Pending"),"",O96-L96)</f>
        <v/>
      </c>
      <c r="Q96" s="21" t="n"/>
      <c r="R96" s="11">
        <f>IF(OR(G96="",Q96=""),"",G96/Q96-1)</f>
        <v/>
      </c>
      <c r="S96" s="10">
        <f>IF(OR(L96="",J96=""),"",L96*J96)</f>
        <v/>
      </c>
      <c r="T96" s="10">
        <f>IF(P96="","",StartBank+SUM(P$2:P96))</f>
        <v/>
      </c>
    </row>
    <row r="97">
      <c r="A97" s="22" t="n"/>
      <c r="G97" s="21" t="n"/>
      <c r="H97" s="11" t="n"/>
      <c r="I97" s="21">
        <f>IF(OR(H97="",H97=0),"",1/H97)</f>
        <v/>
      </c>
      <c r="J97" s="11">
        <f>IF(OR(G97="",H97=""),"",H97*G97-1)</f>
        <v/>
      </c>
      <c r="K97" s="10">
        <f>IF(OR(G97="",H97="",G97&lt;=1),"",IF(J97&lt;IF(D97="Builder",MinEdgeBuilder,IF(D97="Player",MinEdgePlayer,MinEdgeSingle)),0,ROUND(MIN(IF(D97="Single",KellySingle,KellyBuilder)*(StartBank+SUM(P$1:P96))*J97/(G97-1),IF(D97="Builder",CapBuilder,CapSingle)*Unit),2)))</f>
        <v/>
      </c>
      <c r="L97" s="10" t="n"/>
      <c r="N97" s="10" t="n"/>
      <c r="O97" s="10">
        <f>IF(L97="","",IF(M97="Won",L97*G97,IF(M97="Void",L97,IF(M97="Cash out",N(N97),IF(M97="Lost",0,"")))))</f>
        <v/>
      </c>
      <c r="P97" s="10">
        <f>IF(OR(L97="",M97="",M97="Pending"),"",O97-L97)</f>
        <v/>
      </c>
      <c r="Q97" s="21" t="n"/>
      <c r="R97" s="11">
        <f>IF(OR(G97="",Q97=""),"",G97/Q97-1)</f>
        <v/>
      </c>
      <c r="S97" s="10">
        <f>IF(OR(L97="",J97=""),"",L97*J97)</f>
        <v/>
      </c>
      <c r="T97" s="10">
        <f>IF(P97="","",StartBank+SUM(P$2:P97))</f>
        <v/>
      </c>
    </row>
    <row r="98">
      <c r="A98" s="22" t="n"/>
      <c r="G98" s="21" t="n"/>
      <c r="H98" s="11" t="n"/>
      <c r="I98" s="21">
        <f>IF(OR(H98="",H98=0),"",1/H98)</f>
        <v/>
      </c>
      <c r="J98" s="11">
        <f>IF(OR(G98="",H98=""),"",H98*G98-1)</f>
        <v/>
      </c>
      <c r="K98" s="10">
        <f>IF(OR(G98="",H98="",G98&lt;=1),"",IF(J98&lt;IF(D98="Builder",MinEdgeBuilder,IF(D98="Player",MinEdgePlayer,MinEdgeSingle)),0,ROUND(MIN(IF(D98="Single",KellySingle,KellyBuilder)*(StartBank+SUM(P$1:P97))*J98/(G98-1),IF(D98="Builder",CapBuilder,CapSingle)*Unit),2)))</f>
        <v/>
      </c>
      <c r="L98" s="10" t="n"/>
      <c r="N98" s="10" t="n"/>
      <c r="O98" s="10">
        <f>IF(L98="","",IF(M98="Won",L98*G98,IF(M98="Void",L98,IF(M98="Cash out",N(N98),IF(M98="Lost",0,"")))))</f>
        <v/>
      </c>
      <c r="P98" s="10">
        <f>IF(OR(L98="",M98="",M98="Pending"),"",O98-L98)</f>
        <v/>
      </c>
      <c r="Q98" s="21" t="n"/>
      <c r="R98" s="11">
        <f>IF(OR(G98="",Q98=""),"",G98/Q98-1)</f>
        <v/>
      </c>
      <c r="S98" s="10">
        <f>IF(OR(L98="",J98=""),"",L98*J98)</f>
        <v/>
      </c>
      <c r="T98" s="10">
        <f>IF(P98="","",StartBank+SUM(P$2:P98))</f>
        <v/>
      </c>
    </row>
    <row r="99">
      <c r="A99" s="22" t="n"/>
      <c r="G99" s="21" t="n"/>
      <c r="H99" s="11" t="n"/>
      <c r="I99" s="21">
        <f>IF(OR(H99="",H99=0),"",1/H99)</f>
        <v/>
      </c>
      <c r="J99" s="11">
        <f>IF(OR(G99="",H99=""),"",H99*G99-1)</f>
        <v/>
      </c>
      <c r="K99" s="10">
        <f>IF(OR(G99="",H99="",G99&lt;=1),"",IF(J99&lt;IF(D99="Builder",MinEdgeBuilder,IF(D99="Player",MinEdgePlayer,MinEdgeSingle)),0,ROUND(MIN(IF(D99="Single",KellySingle,KellyBuilder)*(StartBank+SUM(P$1:P98))*J99/(G99-1),IF(D99="Builder",CapBuilder,CapSingle)*Unit),2)))</f>
        <v/>
      </c>
      <c r="L99" s="10" t="n"/>
      <c r="N99" s="10" t="n"/>
      <c r="O99" s="10">
        <f>IF(L99="","",IF(M99="Won",L99*G99,IF(M99="Void",L99,IF(M99="Cash out",N(N99),IF(M99="Lost",0,"")))))</f>
        <v/>
      </c>
      <c r="P99" s="10">
        <f>IF(OR(L99="",M99="",M99="Pending"),"",O99-L99)</f>
        <v/>
      </c>
      <c r="Q99" s="21" t="n"/>
      <c r="R99" s="11">
        <f>IF(OR(G99="",Q99=""),"",G99/Q99-1)</f>
        <v/>
      </c>
      <c r="S99" s="10">
        <f>IF(OR(L99="",J99=""),"",L99*J99)</f>
        <v/>
      </c>
      <c r="T99" s="10">
        <f>IF(P99="","",StartBank+SUM(P$2:P99))</f>
        <v/>
      </c>
    </row>
    <row r="100">
      <c r="A100" s="22" t="n"/>
      <c r="G100" s="21" t="n"/>
      <c r="H100" s="11" t="n"/>
      <c r="I100" s="21">
        <f>IF(OR(H100="",H100=0),"",1/H100)</f>
        <v/>
      </c>
      <c r="J100" s="11">
        <f>IF(OR(G100="",H100=""),"",H100*G100-1)</f>
        <v/>
      </c>
      <c r="K100" s="10">
        <f>IF(OR(G100="",H100="",G100&lt;=1),"",IF(J100&lt;IF(D100="Builder",MinEdgeBuilder,IF(D100="Player",MinEdgePlayer,MinEdgeSingle)),0,ROUND(MIN(IF(D100="Single",KellySingle,KellyBuilder)*(StartBank+SUM(P$1:P99))*J100/(G100-1),IF(D100="Builder",CapBuilder,CapSingle)*Unit),2)))</f>
        <v/>
      </c>
      <c r="L100" s="10" t="n"/>
      <c r="N100" s="10" t="n"/>
      <c r="O100" s="10">
        <f>IF(L100="","",IF(M100="Won",L100*G100,IF(M100="Void",L100,IF(M100="Cash out",N(N100),IF(M100="Lost",0,"")))))</f>
        <v/>
      </c>
      <c r="P100" s="10">
        <f>IF(OR(L100="",M100="",M100="Pending"),"",O100-L100)</f>
        <v/>
      </c>
      <c r="Q100" s="21" t="n"/>
      <c r="R100" s="11">
        <f>IF(OR(G100="",Q100=""),"",G100/Q100-1)</f>
        <v/>
      </c>
      <c r="S100" s="10">
        <f>IF(OR(L100="",J100=""),"",L100*J100)</f>
        <v/>
      </c>
      <c r="T100" s="10">
        <f>IF(P100="","",StartBank+SUM(P$2:P100))</f>
        <v/>
      </c>
    </row>
    <row r="101">
      <c r="A101" s="22" t="n"/>
      <c r="G101" s="21" t="n"/>
      <c r="H101" s="11" t="n"/>
      <c r="I101" s="21">
        <f>IF(OR(H101="",H101=0),"",1/H101)</f>
        <v/>
      </c>
      <c r="J101" s="11">
        <f>IF(OR(G101="",H101=""),"",H101*G101-1)</f>
        <v/>
      </c>
      <c r="K101" s="10">
        <f>IF(OR(G101="",H101="",G101&lt;=1),"",IF(J101&lt;IF(D101="Builder",MinEdgeBuilder,IF(D101="Player",MinEdgePlayer,MinEdgeSingle)),0,ROUND(MIN(IF(D101="Single",KellySingle,KellyBuilder)*(StartBank+SUM(P$1:P100))*J101/(G101-1),IF(D101="Builder",CapBuilder,CapSingle)*Unit),2)))</f>
        <v/>
      </c>
      <c r="L101" s="10" t="n"/>
      <c r="N101" s="10" t="n"/>
      <c r="O101" s="10">
        <f>IF(L101="","",IF(M101="Won",L101*G101,IF(M101="Void",L101,IF(M101="Cash out",N(N101),IF(M101="Lost",0,"")))))</f>
        <v/>
      </c>
      <c r="P101" s="10">
        <f>IF(OR(L101="",M101="",M101="Pending"),"",O101-L101)</f>
        <v/>
      </c>
      <c r="Q101" s="21" t="n"/>
      <c r="R101" s="11">
        <f>IF(OR(G101="",Q101=""),"",G101/Q101-1)</f>
        <v/>
      </c>
      <c r="S101" s="10">
        <f>IF(OR(L101="",J101=""),"",L101*J101)</f>
        <v/>
      </c>
      <c r="T101" s="10">
        <f>IF(P101="","",StartBank+SUM(P$2:P101))</f>
        <v/>
      </c>
    </row>
    <row r="102">
      <c r="A102" s="22" t="n"/>
      <c r="G102" s="21" t="n"/>
      <c r="H102" s="11" t="n"/>
      <c r="I102" s="21">
        <f>IF(OR(H102="",H102=0),"",1/H102)</f>
        <v/>
      </c>
      <c r="J102" s="11">
        <f>IF(OR(G102="",H102=""),"",H102*G102-1)</f>
        <v/>
      </c>
      <c r="K102" s="10">
        <f>IF(OR(G102="",H102="",G102&lt;=1),"",IF(J102&lt;IF(D102="Builder",MinEdgeBuilder,IF(D102="Player",MinEdgePlayer,MinEdgeSingle)),0,ROUND(MIN(IF(D102="Single",KellySingle,KellyBuilder)*(StartBank+SUM(P$1:P101))*J102/(G102-1),IF(D102="Builder",CapBuilder,CapSingle)*Unit),2)))</f>
        <v/>
      </c>
      <c r="L102" s="10" t="n"/>
      <c r="N102" s="10" t="n"/>
      <c r="O102" s="10">
        <f>IF(L102="","",IF(M102="Won",L102*G102,IF(M102="Void",L102,IF(M102="Cash out",N(N102),IF(M102="Lost",0,"")))))</f>
        <v/>
      </c>
      <c r="P102" s="10">
        <f>IF(OR(L102="",M102="",M102="Pending"),"",O102-L102)</f>
        <v/>
      </c>
      <c r="Q102" s="21" t="n"/>
      <c r="R102" s="11">
        <f>IF(OR(G102="",Q102=""),"",G102/Q102-1)</f>
        <v/>
      </c>
      <c r="S102" s="10">
        <f>IF(OR(L102="",J102=""),"",L102*J102)</f>
        <v/>
      </c>
      <c r="T102" s="10">
        <f>IF(P102="","",StartBank+SUM(P$2:P102))</f>
        <v/>
      </c>
    </row>
    <row r="103">
      <c r="A103" s="22" t="n"/>
      <c r="G103" s="21" t="n"/>
      <c r="H103" s="11" t="n"/>
      <c r="I103" s="21">
        <f>IF(OR(H103="",H103=0),"",1/H103)</f>
        <v/>
      </c>
      <c r="J103" s="11">
        <f>IF(OR(G103="",H103=""),"",H103*G103-1)</f>
        <v/>
      </c>
      <c r="K103" s="10">
        <f>IF(OR(G103="",H103="",G103&lt;=1),"",IF(J103&lt;IF(D103="Builder",MinEdgeBuilder,IF(D103="Player",MinEdgePlayer,MinEdgeSingle)),0,ROUND(MIN(IF(D103="Single",KellySingle,KellyBuilder)*(StartBank+SUM(P$1:P102))*J103/(G103-1),IF(D103="Builder",CapBuilder,CapSingle)*Unit),2)))</f>
        <v/>
      </c>
      <c r="L103" s="10" t="n"/>
      <c r="N103" s="10" t="n"/>
      <c r="O103" s="10">
        <f>IF(L103="","",IF(M103="Won",L103*G103,IF(M103="Void",L103,IF(M103="Cash out",N(N103),IF(M103="Lost",0,"")))))</f>
        <v/>
      </c>
      <c r="P103" s="10">
        <f>IF(OR(L103="",M103="",M103="Pending"),"",O103-L103)</f>
        <v/>
      </c>
      <c r="Q103" s="21" t="n"/>
      <c r="R103" s="11">
        <f>IF(OR(G103="",Q103=""),"",G103/Q103-1)</f>
        <v/>
      </c>
      <c r="S103" s="10">
        <f>IF(OR(L103="",J103=""),"",L103*J103)</f>
        <v/>
      </c>
      <c r="T103" s="10">
        <f>IF(P103="","",StartBank+SUM(P$2:P103))</f>
        <v/>
      </c>
    </row>
    <row r="104">
      <c r="A104" s="22" t="n"/>
      <c r="G104" s="21" t="n"/>
      <c r="H104" s="11" t="n"/>
      <c r="I104" s="21">
        <f>IF(OR(H104="",H104=0),"",1/H104)</f>
        <v/>
      </c>
      <c r="J104" s="11">
        <f>IF(OR(G104="",H104=""),"",H104*G104-1)</f>
        <v/>
      </c>
      <c r="K104" s="10">
        <f>IF(OR(G104="",H104="",G104&lt;=1),"",IF(J104&lt;IF(D104="Builder",MinEdgeBuilder,IF(D104="Player",MinEdgePlayer,MinEdgeSingle)),0,ROUND(MIN(IF(D104="Single",KellySingle,KellyBuilder)*(StartBank+SUM(P$1:P103))*J104/(G104-1),IF(D104="Builder",CapBuilder,CapSingle)*Unit),2)))</f>
        <v/>
      </c>
      <c r="L104" s="10" t="n"/>
      <c r="N104" s="10" t="n"/>
      <c r="O104" s="10">
        <f>IF(L104="","",IF(M104="Won",L104*G104,IF(M104="Void",L104,IF(M104="Cash out",N(N104),IF(M104="Lost",0,"")))))</f>
        <v/>
      </c>
      <c r="P104" s="10">
        <f>IF(OR(L104="",M104="",M104="Pending"),"",O104-L104)</f>
        <v/>
      </c>
      <c r="Q104" s="21" t="n"/>
      <c r="R104" s="11">
        <f>IF(OR(G104="",Q104=""),"",G104/Q104-1)</f>
        <v/>
      </c>
      <c r="S104" s="10">
        <f>IF(OR(L104="",J104=""),"",L104*J104)</f>
        <v/>
      </c>
      <c r="T104" s="10">
        <f>IF(P104="","",StartBank+SUM(P$2:P104))</f>
        <v/>
      </c>
    </row>
    <row r="105">
      <c r="A105" s="22" t="n"/>
      <c r="G105" s="21" t="n"/>
      <c r="H105" s="11" t="n"/>
      <c r="I105" s="21">
        <f>IF(OR(H105="",H105=0),"",1/H105)</f>
        <v/>
      </c>
      <c r="J105" s="11">
        <f>IF(OR(G105="",H105=""),"",H105*G105-1)</f>
        <v/>
      </c>
      <c r="K105" s="10">
        <f>IF(OR(G105="",H105="",G105&lt;=1),"",IF(J105&lt;IF(D105="Builder",MinEdgeBuilder,IF(D105="Player",MinEdgePlayer,MinEdgeSingle)),0,ROUND(MIN(IF(D105="Single",KellySingle,KellyBuilder)*(StartBank+SUM(P$1:P104))*J105/(G105-1),IF(D105="Builder",CapBuilder,CapSingle)*Unit),2)))</f>
        <v/>
      </c>
      <c r="L105" s="10" t="n"/>
      <c r="N105" s="10" t="n"/>
      <c r="O105" s="10">
        <f>IF(L105="","",IF(M105="Won",L105*G105,IF(M105="Void",L105,IF(M105="Cash out",N(N105),IF(M105="Lost",0,"")))))</f>
        <v/>
      </c>
      <c r="P105" s="10">
        <f>IF(OR(L105="",M105="",M105="Pending"),"",O105-L105)</f>
        <v/>
      </c>
      <c r="Q105" s="21" t="n"/>
      <c r="R105" s="11">
        <f>IF(OR(G105="",Q105=""),"",G105/Q105-1)</f>
        <v/>
      </c>
      <c r="S105" s="10">
        <f>IF(OR(L105="",J105=""),"",L105*J105)</f>
        <v/>
      </c>
      <c r="T105" s="10">
        <f>IF(P105="","",StartBank+SUM(P$2:P105))</f>
        <v/>
      </c>
    </row>
    <row r="106">
      <c r="A106" s="22" t="n"/>
      <c r="G106" s="21" t="n"/>
      <c r="H106" s="11" t="n"/>
      <c r="I106" s="21">
        <f>IF(OR(H106="",H106=0),"",1/H106)</f>
        <v/>
      </c>
      <c r="J106" s="11">
        <f>IF(OR(G106="",H106=""),"",H106*G106-1)</f>
        <v/>
      </c>
      <c r="K106" s="10">
        <f>IF(OR(G106="",H106="",G106&lt;=1),"",IF(J106&lt;IF(D106="Builder",MinEdgeBuilder,IF(D106="Player",MinEdgePlayer,MinEdgeSingle)),0,ROUND(MIN(IF(D106="Single",KellySingle,KellyBuilder)*(StartBank+SUM(P$1:P105))*J106/(G106-1),IF(D106="Builder",CapBuilder,CapSingle)*Unit),2)))</f>
        <v/>
      </c>
      <c r="L106" s="10" t="n"/>
      <c r="N106" s="10" t="n"/>
      <c r="O106" s="10">
        <f>IF(L106="","",IF(M106="Won",L106*G106,IF(M106="Void",L106,IF(M106="Cash out",N(N106),IF(M106="Lost",0,"")))))</f>
        <v/>
      </c>
      <c r="P106" s="10">
        <f>IF(OR(L106="",M106="",M106="Pending"),"",O106-L106)</f>
        <v/>
      </c>
      <c r="Q106" s="21" t="n"/>
      <c r="R106" s="11">
        <f>IF(OR(G106="",Q106=""),"",G106/Q106-1)</f>
        <v/>
      </c>
      <c r="S106" s="10">
        <f>IF(OR(L106="",J106=""),"",L106*J106)</f>
        <v/>
      </c>
      <c r="T106" s="10">
        <f>IF(P106="","",StartBank+SUM(P$2:P106))</f>
        <v/>
      </c>
    </row>
    <row r="107">
      <c r="A107" s="22" t="n"/>
      <c r="G107" s="21" t="n"/>
      <c r="H107" s="11" t="n"/>
      <c r="I107" s="21">
        <f>IF(OR(H107="",H107=0),"",1/H107)</f>
        <v/>
      </c>
      <c r="J107" s="11">
        <f>IF(OR(G107="",H107=""),"",H107*G107-1)</f>
        <v/>
      </c>
      <c r="K107" s="10">
        <f>IF(OR(G107="",H107="",G107&lt;=1),"",IF(J107&lt;IF(D107="Builder",MinEdgeBuilder,IF(D107="Player",MinEdgePlayer,MinEdgeSingle)),0,ROUND(MIN(IF(D107="Single",KellySingle,KellyBuilder)*(StartBank+SUM(P$1:P106))*J107/(G107-1),IF(D107="Builder",CapBuilder,CapSingle)*Unit),2)))</f>
        <v/>
      </c>
      <c r="L107" s="10" t="n"/>
      <c r="N107" s="10" t="n"/>
      <c r="O107" s="10">
        <f>IF(L107="","",IF(M107="Won",L107*G107,IF(M107="Void",L107,IF(M107="Cash out",N(N107),IF(M107="Lost",0,"")))))</f>
        <v/>
      </c>
      <c r="P107" s="10">
        <f>IF(OR(L107="",M107="",M107="Pending"),"",O107-L107)</f>
        <v/>
      </c>
      <c r="Q107" s="21" t="n"/>
      <c r="R107" s="11">
        <f>IF(OR(G107="",Q107=""),"",G107/Q107-1)</f>
        <v/>
      </c>
      <c r="S107" s="10">
        <f>IF(OR(L107="",J107=""),"",L107*J107)</f>
        <v/>
      </c>
      <c r="T107" s="10">
        <f>IF(P107="","",StartBank+SUM(P$2:P107))</f>
        <v/>
      </c>
    </row>
    <row r="108">
      <c r="A108" s="22" t="n"/>
      <c r="G108" s="21" t="n"/>
      <c r="H108" s="11" t="n"/>
      <c r="I108" s="21">
        <f>IF(OR(H108="",H108=0),"",1/H108)</f>
        <v/>
      </c>
      <c r="J108" s="11">
        <f>IF(OR(G108="",H108=""),"",H108*G108-1)</f>
        <v/>
      </c>
      <c r="K108" s="10">
        <f>IF(OR(G108="",H108="",G108&lt;=1),"",IF(J108&lt;IF(D108="Builder",MinEdgeBuilder,IF(D108="Player",MinEdgePlayer,MinEdgeSingle)),0,ROUND(MIN(IF(D108="Single",KellySingle,KellyBuilder)*(StartBank+SUM(P$1:P107))*J108/(G108-1),IF(D108="Builder",CapBuilder,CapSingle)*Unit),2)))</f>
        <v/>
      </c>
      <c r="L108" s="10" t="n"/>
      <c r="N108" s="10" t="n"/>
      <c r="O108" s="10">
        <f>IF(L108="","",IF(M108="Won",L108*G108,IF(M108="Void",L108,IF(M108="Cash out",N(N108),IF(M108="Lost",0,"")))))</f>
        <v/>
      </c>
      <c r="P108" s="10">
        <f>IF(OR(L108="",M108="",M108="Pending"),"",O108-L108)</f>
        <v/>
      </c>
      <c r="Q108" s="21" t="n"/>
      <c r="R108" s="11">
        <f>IF(OR(G108="",Q108=""),"",G108/Q108-1)</f>
        <v/>
      </c>
      <c r="S108" s="10">
        <f>IF(OR(L108="",J108=""),"",L108*J108)</f>
        <v/>
      </c>
      <c r="T108" s="10">
        <f>IF(P108="","",StartBank+SUM(P$2:P108))</f>
        <v/>
      </c>
    </row>
    <row r="109">
      <c r="A109" s="22" t="n"/>
      <c r="G109" s="21" t="n"/>
      <c r="H109" s="11" t="n"/>
      <c r="I109" s="21">
        <f>IF(OR(H109="",H109=0),"",1/H109)</f>
        <v/>
      </c>
      <c r="J109" s="11">
        <f>IF(OR(G109="",H109=""),"",H109*G109-1)</f>
        <v/>
      </c>
      <c r="K109" s="10">
        <f>IF(OR(G109="",H109="",G109&lt;=1),"",IF(J109&lt;IF(D109="Builder",MinEdgeBuilder,IF(D109="Player",MinEdgePlayer,MinEdgeSingle)),0,ROUND(MIN(IF(D109="Single",KellySingle,KellyBuilder)*(StartBank+SUM(P$1:P108))*J109/(G109-1),IF(D109="Builder",CapBuilder,CapSingle)*Unit),2)))</f>
        <v/>
      </c>
      <c r="L109" s="10" t="n"/>
      <c r="N109" s="10" t="n"/>
      <c r="O109" s="10">
        <f>IF(L109="","",IF(M109="Won",L109*G109,IF(M109="Void",L109,IF(M109="Cash out",N(N109),IF(M109="Lost",0,"")))))</f>
        <v/>
      </c>
      <c r="P109" s="10">
        <f>IF(OR(L109="",M109="",M109="Pending"),"",O109-L109)</f>
        <v/>
      </c>
      <c r="Q109" s="21" t="n"/>
      <c r="R109" s="11">
        <f>IF(OR(G109="",Q109=""),"",G109/Q109-1)</f>
        <v/>
      </c>
      <c r="S109" s="10">
        <f>IF(OR(L109="",J109=""),"",L109*J109)</f>
        <v/>
      </c>
      <c r="T109" s="10">
        <f>IF(P109="","",StartBank+SUM(P$2:P109))</f>
        <v/>
      </c>
    </row>
    <row r="110">
      <c r="A110" s="22" t="n"/>
      <c r="G110" s="21" t="n"/>
      <c r="H110" s="11" t="n"/>
      <c r="I110" s="21">
        <f>IF(OR(H110="",H110=0),"",1/H110)</f>
        <v/>
      </c>
      <c r="J110" s="11">
        <f>IF(OR(G110="",H110=""),"",H110*G110-1)</f>
        <v/>
      </c>
      <c r="K110" s="10">
        <f>IF(OR(G110="",H110="",G110&lt;=1),"",IF(J110&lt;IF(D110="Builder",MinEdgeBuilder,IF(D110="Player",MinEdgePlayer,MinEdgeSingle)),0,ROUND(MIN(IF(D110="Single",KellySingle,KellyBuilder)*(StartBank+SUM(P$1:P109))*J110/(G110-1),IF(D110="Builder",CapBuilder,CapSingle)*Unit),2)))</f>
        <v/>
      </c>
      <c r="L110" s="10" t="n"/>
      <c r="N110" s="10" t="n"/>
      <c r="O110" s="10">
        <f>IF(L110="","",IF(M110="Won",L110*G110,IF(M110="Void",L110,IF(M110="Cash out",N(N110),IF(M110="Lost",0,"")))))</f>
        <v/>
      </c>
      <c r="P110" s="10">
        <f>IF(OR(L110="",M110="",M110="Pending"),"",O110-L110)</f>
        <v/>
      </c>
      <c r="Q110" s="21" t="n"/>
      <c r="R110" s="11">
        <f>IF(OR(G110="",Q110=""),"",G110/Q110-1)</f>
        <v/>
      </c>
      <c r="S110" s="10">
        <f>IF(OR(L110="",J110=""),"",L110*J110)</f>
        <v/>
      </c>
      <c r="T110" s="10">
        <f>IF(P110="","",StartBank+SUM(P$2:P110))</f>
        <v/>
      </c>
    </row>
    <row r="111">
      <c r="A111" s="22" t="n"/>
      <c r="G111" s="21" t="n"/>
      <c r="H111" s="11" t="n"/>
      <c r="I111" s="21">
        <f>IF(OR(H111="",H111=0),"",1/H111)</f>
        <v/>
      </c>
      <c r="J111" s="11">
        <f>IF(OR(G111="",H111=""),"",H111*G111-1)</f>
        <v/>
      </c>
      <c r="K111" s="10">
        <f>IF(OR(G111="",H111="",G111&lt;=1),"",IF(J111&lt;IF(D111="Builder",MinEdgeBuilder,IF(D111="Player",MinEdgePlayer,MinEdgeSingle)),0,ROUND(MIN(IF(D111="Single",KellySingle,KellyBuilder)*(StartBank+SUM(P$1:P110))*J111/(G111-1),IF(D111="Builder",CapBuilder,CapSingle)*Unit),2)))</f>
        <v/>
      </c>
      <c r="L111" s="10" t="n"/>
      <c r="N111" s="10" t="n"/>
      <c r="O111" s="10">
        <f>IF(L111="","",IF(M111="Won",L111*G111,IF(M111="Void",L111,IF(M111="Cash out",N(N111),IF(M111="Lost",0,"")))))</f>
        <v/>
      </c>
      <c r="P111" s="10">
        <f>IF(OR(L111="",M111="",M111="Pending"),"",O111-L111)</f>
        <v/>
      </c>
      <c r="Q111" s="21" t="n"/>
      <c r="R111" s="11">
        <f>IF(OR(G111="",Q111=""),"",G111/Q111-1)</f>
        <v/>
      </c>
      <c r="S111" s="10">
        <f>IF(OR(L111="",J111=""),"",L111*J111)</f>
        <v/>
      </c>
      <c r="T111" s="10">
        <f>IF(P111="","",StartBank+SUM(P$2:P111))</f>
        <v/>
      </c>
    </row>
    <row r="112">
      <c r="A112" s="22" t="n"/>
      <c r="G112" s="21" t="n"/>
      <c r="H112" s="11" t="n"/>
      <c r="I112" s="21">
        <f>IF(OR(H112="",H112=0),"",1/H112)</f>
        <v/>
      </c>
      <c r="J112" s="11">
        <f>IF(OR(G112="",H112=""),"",H112*G112-1)</f>
        <v/>
      </c>
      <c r="K112" s="10">
        <f>IF(OR(G112="",H112="",G112&lt;=1),"",IF(J112&lt;IF(D112="Builder",MinEdgeBuilder,IF(D112="Player",MinEdgePlayer,MinEdgeSingle)),0,ROUND(MIN(IF(D112="Single",KellySingle,KellyBuilder)*(StartBank+SUM(P$1:P111))*J112/(G112-1),IF(D112="Builder",CapBuilder,CapSingle)*Unit),2)))</f>
        <v/>
      </c>
      <c r="L112" s="10" t="n"/>
      <c r="N112" s="10" t="n"/>
      <c r="O112" s="10">
        <f>IF(L112="","",IF(M112="Won",L112*G112,IF(M112="Void",L112,IF(M112="Cash out",N(N112),IF(M112="Lost",0,"")))))</f>
        <v/>
      </c>
      <c r="P112" s="10">
        <f>IF(OR(L112="",M112="",M112="Pending"),"",O112-L112)</f>
        <v/>
      </c>
      <c r="Q112" s="21" t="n"/>
      <c r="R112" s="11">
        <f>IF(OR(G112="",Q112=""),"",G112/Q112-1)</f>
        <v/>
      </c>
      <c r="S112" s="10">
        <f>IF(OR(L112="",J112=""),"",L112*J112)</f>
        <v/>
      </c>
      <c r="T112" s="10">
        <f>IF(P112="","",StartBank+SUM(P$2:P112))</f>
        <v/>
      </c>
    </row>
    <row r="113">
      <c r="A113" s="22" t="n"/>
      <c r="G113" s="21" t="n"/>
      <c r="H113" s="11" t="n"/>
      <c r="I113" s="21">
        <f>IF(OR(H113="",H113=0),"",1/H113)</f>
        <v/>
      </c>
      <c r="J113" s="11">
        <f>IF(OR(G113="",H113=""),"",H113*G113-1)</f>
        <v/>
      </c>
      <c r="K113" s="10">
        <f>IF(OR(G113="",H113="",G113&lt;=1),"",IF(J113&lt;IF(D113="Builder",MinEdgeBuilder,IF(D113="Player",MinEdgePlayer,MinEdgeSingle)),0,ROUND(MIN(IF(D113="Single",KellySingle,KellyBuilder)*(StartBank+SUM(P$1:P112))*J113/(G113-1),IF(D113="Builder",CapBuilder,CapSingle)*Unit),2)))</f>
        <v/>
      </c>
      <c r="L113" s="10" t="n"/>
      <c r="N113" s="10" t="n"/>
      <c r="O113" s="10">
        <f>IF(L113="","",IF(M113="Won",L113*G113,IF(M113="Void",L113,IF(M113="Cash out",N(N113),IF(M113="Lost",0,"")))))</f>
        <v/>
      </c>
      <c r="P113" s="10">
        <f>IF(OR(L113="",M113="",M113="Pending"),"",O113-L113)</f>
        <v/>
      </c>
      <c r="Q113" s="21" t="n"/>
      <c r="R113" s="11">
        <f>IF(OR(G113="",Q113=""),"",G113/Q113-1)</f>
        <v/>
      </c>
      <c r="S113" s="10">
        <f>IF(OR(L113="",J113=""),"",L113*J113)</f>
        <v/>
      </c>
      <c r="T113" s="10">
        <f>IF(P113="","",StartBank+SUM(P$2:P113))</f>
        <v/>
      </c>
    </row>
    <row r="114">
      <c r="A114" s="22" t="n"/>
      <c r="G114" s="21" t="n"/>
      <c r="H114" s="11" t="n"/>
      <c r="I114" s="21">
        <f>IF(OR(H114="",H114=0),"",1/H114)</f>
        <v/>
      </c>
      <c r="J114" s="11">
        <f>IF(OR(G114="",H114=""),"",H114*G114-1)</f>
        <v/>
      </c>
      <c r="K114" s="10">
        <f>IF(OR(G114="",H114="",G114&lt;=1),"",IF(J114&lt;IF(D114="Builder",MinEdgeBuilder,IF(D114="Player",MinEdgePlayer,MinEdgeSingle)),0,ROUND(MIN(IF(D114="Single",KellySingle,KellyBuilder)*(StartBank+SUM(P$1:P113))*J114/(G114-1),IF(D114="Builder",CapBuilder,CapSingle)*Unit),2)))</f>
        <v/>
      </c>
      <c r="L114" s="10" t="n"/>
      <c r="N114" s="10" t="n"/>
      <c r="O114" s="10">
        <f>IF(L114="","",IF(M114="Won",L114*G114,IF(M114="Void",L114,IF(M114="Cash out",N(N114),IF(M114="Lost",0,"")))))</f>
        <v/>
      </c>
      <c r="P114" s="10">
        <f>IF(OR(L114="",M114="",M114="Pending"),"",O114-L114)</f>
        <v/>
      </c>
      <c r="Q114" s="21" t="n"/>
      <c r="R114" s="11">
        <f>IF(OR(G114="",Q114=""),"",G114/Q114-1)</f>
        <v/>
      </c>
      <c r="S114" s="10">
        <f>IF(OR(L114="",J114=""),"",L114*J114)</f>
        <v/>
      </c>
      <c r="T114" s="10">
        <f>IF(P114="","",StartBank+SUM(P$2:P114))</f>
        <v/>
      </c>
    </row>
    <row r="115">
      <c r="A115" s="22" t="n"/>
      <c r="G115" s="21" t="n"/>
      <c r="H115" s="11" t="n"/>
      <c r="I115" s="21">
        <f>IF(OR(H115="",H115=0),"",1/H115)</f>
        <v/>
      </c>
      <c r="J115" s="11">
        <f>IF(OR(G115="",H115=""),"",H115*G115-1)</f>
        <v/>
      </c>
      <c r="K115" s="10">
        <f>IF(OR(G115="",H115="",G115&lt;=1),"",IF(J115&lt;IF(D115="Builder",MinEdgeBuilder,IF(D115="Player",MinEdgePlayer,MinEdgeSingle)),0,ROUND(MIN(IF(D115="Single",KellySingle,KellyBuilder)*(StartBank+SUM(P$1:P114))*J115/(G115-1),IF(D115="Builder",CapBuilder,CapSingle)*Unit),2)))</f>
        <v/>
      </c>
      <c r="L115" s="10" t="n"/>
      <c r="N115" s="10" t="n"/>
      <c r="O115" s="10">
        <f>IF(L115="","",IF(M115="Won",L115*G115,IF(M115="Void",L115,IF(M115="Cash out",N(N115),IF(M115="Lost",0,"")))))</f>
        <v/>
      </c>
      <c r="P115" s="10">
        <f>IF(OR(L115="",M115="",M115="Pending"),"",O115-L115)</f>
        <v/>
      </c>
      <c r="Q115" s="21" t="n"/>
      <c r="R115" s="11">
        <f>IF(OR(G115="",Q115=""),"",G115/Q115-1)</f>
        <v/>
      </c>
      <c r="S115" s="10">
        <f>IF(OR(L115="",J115=""),"",L115*J115)</f>
        <v/>
      </c>
      <c r="T115" s="10">
        <f>IF(P115="","",StartBank+SUM(P$2:P115))</f>
        <v/>
      </c>
    </row>
    <row r="116">
      <c r="A116" s="22" t="n"/>
      <c r="G116" s="21" t="n"/>
      <c r="H116" s="11" t="n"/>
      <c r="I116" s="21">
        <f>IF(OR(H116="",H116=0),"",1/H116)</f>
        <v/>
      </c>
      <c r="J116" s="11">
        <f>IF(OR(G116="",H116=""),"",H116*G116-1)</f>
        <v/>
      </c>
      <c r="K116" s="10">
        <f>IF(OR(G116="",H116="",G116&lt;=1),"",IF(J116&lt;IF(D116="Builder",MinEdgeBuilder,IF(D116="Player",MinEdgePlayer,MinEdgeSingle)),0,ROUND(MIN(IF(D116="Single",KellySingle,KellyBuilder)*(StartBank+SUM(P$1:P115))*J116/(G116-1),IF(D116="Builder",CapBuilder,CapSingle)*Unit),2)))</f>
        <v/>
      </c>
      <c r="L116" s="10" t="n"/>
      <c r="N116" s="10" t="n"/>
      <c r="O116" s="10">
        <f>IF(L116="","",IF(M116="Won",L116*G116,IF(M116="Void",L116,IF(M116="Cash out",N(N116),IF(M116="Lost",0,"")))))</f>
        <v/>
      </c>
      <c r="P116" s="10">
        <f>IF(OR(L116="",M116="",M116="Pending"),"",O116-L116)</f>
        <v/>
      </c>
      <c r="Q116" s="21" t="n"/>
      <c r="R116" s="11">
        <f>IF(OR(G116="",Q116=""),"",G116/Q116-1)</f>
        <v/>
      </c>
      <c r="S116" s="10">
        <f>IF(OR(L116="",J116=""),"",L116*J116)</f>
        <v/>
      </c>
      <c r="T116" s="10">
        <f>IF(P116="","",StartBank+SUM(P$2:P116))</f>
        <v/>
      </c>
    </row>
    <row r="117">
      <c r="A117" s="22" t="n"/>
      <c r="G117" s="21" t="n"/>
      <c r="H117" s="11" t="n"/>
      <c r="I117" s="21">
        <f>IF(OR(H117="",H117=0),"",1/H117)</f>
        <v/>
      </c>
      <c r="J117" s="11">
        <f>IF(OR(G117="",H117=""),"",H117*G117-1)</f>
        <v/>
      </c>
      <c r="K117" s="10">
        <f>IF(OR(G117="",H117="",G117&lt;=1),"",IF(J117&lt;IF(D117="Builder",MinEdgeBuilder,IF(D117="Player",MinEdgePlayer,MinEdgeSingle)),0,ROUND(MIN(IF(D117="Single",KellySingle,KellyBuilder)*(StartBank+SUM(P$1:P116))*J117/(G117-1),IF(D117="Builder",CapBuilder,CapSingle)*Unit),2)))</f>
        <v/>
      </c>
      <c r="L117" s="10" t="n"/>
      <c r="N117" s="10" t="n"/>
      <c r="O117" s="10">
        <f>IF(L117="","",IF(M117="Won",L117*G117,IF(M117="Void",L117,IF(M117="Cash out",N(N117),IF(M117="Lost",0,"")))))</f>
        <v/>
      </c>
      <c r="P117" s="10">
        <f>IF(OR(L117="",M117="",M117="Pending"),"",O117-L117)</f>
        <v/>
      </c>
      <c r="Q117" s="21" t="n"/>
      <c r="R117" s="11">
        <f>IF(OR(G117="",Q117=""),"",G117/Q117-1)</f>
        <v/>
      </c>
      <c r="S117" s="10">
        <f>IF(OR(L117="",J117=""),"",L117*J117)</f>
        <v/>
      </c>
      <c r="T117" s="10">
        <f>IF(P117="","",StartBank+SUM(P$2:P117))</f>
        <v/>
      </c>
    </row>
    <row r="118">
      <c r="A118" s="22" t="n"/>
      <c r="G118" s="21" t="n"/>
      <c r="H118" s="11" t="n"/>
      <c r="I118" s="21">
        <f>IF(OR(H118="",H118=0),"",1/H118)</f>
        <v/>
      </c>
      <c r="J118" s="11">
        <f>IF(OR(G118="",H118=""),"",H118*G118-1)</f>
        <v/>
      </c>
      <c r="K118" s="10">
        <f>IF(OR(G118="",H118="",G118&lt;=1),"",IF(J118&lt;IF(D118="Builder",MinEdgeBuilder,IF(D118="Player",MinEdgePlayer,MinEdgeSingle)),0,ROUND(MIN(IF(D118="Single",KellySingle,KellyBuilder)*(StartBank+SUM(P$1:P117))*J118/(G118-1),IF(D118="Builder",CapBuilder,CapSingle)*Unit),2)))</f>
        <v/>
      </c>
      <c r="L118" s="10" t="n"/>
      <c r="N118" s="10" t="n"/>
      <c r="O118" s="10">
        <f>IF(L118="","",IF(M118="Won",L118*G118,IF(M118="Void",L118,IF(M118="Cash out",N(N118),IF(M118="Lost",0,"")))))</f>
        <v/>
      </c>
      <c r="P118" s="10">
        <f>IF(OR(L118="",M118="",M118="Pending"),"",O118-L118)</f>
        <v/>
      </c>
      <c r="Q118" s="21" t="n"/>
      <c r="R118" s="11">
        <f>IF(OR(G118="",Q118=""),"",G118/Q118-1)</f>
        <v/>
      </c>
      <c r="S118" s="10">
        <f>IF(OR(L118="",J118=""),"",L118*J118)</f>
        <v/>
      </c>
      <c r="T118" s="10">
        <f>IF(P118="","",StartBank+SUM(P$2:P118))</f>
        <v/>
      </c>
    </row>
    <row r="119">
      <c r="A119" s="22" t="n"/>
      <c r="G119" s="21" t="n"/>
      <c r="H119" s="11" t="n"/>
      <c r="I119" s="21">
        <f>IF(OR(H119="",H119=0),"",1/H119)</f>
        <v/>
      </c>
      <c r="J119" s="11">
        <f>IF(OR(G119="",H119=""),"",H119*G119-1)</f>
        <v/>
      </c>
      <c r="K119" s="10">
        <f>IF(OR(G119="",H119="",G119&lt;=1),"",IF(J119&lt;IF(D119="Builder",MinEdgeBuilder,IF(D119="Player",MinEdgePlayer,MinEdgeSingle)),0,ROUND(MIN(IF(D119="Single",KellySingle,KellyBuilder)*(StartBank+SUM(P$1:P118))*J119/(G119-1),IF(D119="Builder",CapBuilder,CapSingle)*Unit),2)))</f>
        <v/>
      </c>
      <c r="L119" s="10" t="n"/>
      <c r="N119" s="10" t="n"/>
      <c r="O119" s="10">
        <f>IF(L119="","",IF(M119="Won",L119*G119,IF(M119="Void",L119,IF(M119="Cash out",N(N119),IF(M119="Lost",0,"")))))</f>
        <v/>
      </c>
      <c r="P119" s="10">
        <f>IF(OR(L119="",M119="",M119="Pending"),"",O119-L119)</f>
        <v/>
      </c>
      <c r="Q119" s="21" t="n"/>
      <c r="R119" s="11">
        <f>IF(OR(G119="",Q119=""),"",G119/Q119-1)</f>
        <v/>
      </c>
      <c r="S119" s="10">
        <f>IF(OR(L119="",J119=""),"",L119*J119)</f>
        <v/>
      </c>
      <c r="T119" s="10">
        <f>IF(P119="","",StartBank+SUM(P$2:P119))</f>
        <v/>
      </c>
    </row>
    <row r="120">
      <c r="A120" s="22" t="n"/>
      <c r="G120" s="21" t="n"/>
      <c r="H120" s="11" t="n"/>
      <c r="I120" s="21">
        <f>IF(OR(H120="",H120=0),"",1/H120)</f>
        <v/>
      </c>
      <c r="J120" s="11">
        <f>IF(OR(G120="",H120=""),"",H120*G120-1)</f>
        <v/>
      </c>
      <c r="K120" s="10">
        <f>IF(OR(G120="",H120="",G120&lt;=1),"",IF(J120&lt;IF(D120="Builder",MinEdgeBuilder,IF(D120="Player",MinEdgePlayer,MinEdgeSingle)),0,ROUND(MIN(IF(D120="Single",KellySingle,KellyBuilder)*(StartBank+SUM(P$1:P119))*J120/(G120-1),IF(D120="Builder",CapBuilder,CapSingle)*Unit),2)))</f>
        <v/>
      </c>
      <c r="L120" s="10" t="n"/>
      <c r="N120" s="10" t="n"/>
      <c r="O120" s="10">
        <f>IF(L120="","",IF(M120="Won",L120*G120,IF(M120="Void",L120,IF(M120="Cash out",N(N120),IF(M120="Lost",0,"")))))</f>
        <v/>
      </c>
      <c r="P120" s="10">
        <f>IF(OR(L120="",M120="",M120="Pending"),"",O120-L120)</f>
        <v/>
      </c>
      <c r="Q120" s="21" t="n"/>
      <c r="R120" s="11">
        <f>IF(OR(G120="",Q120=""),"",G120/Q120-1)</f>
        <v/>
      </c>
      <c r="S120" s="10">
        <f>IF(OR(L120="",J120=""),"",L120*J120)</f>
        <v/>
      </c>
      <c r="T120" s="10">
        <f>IF(P120="","",StartBank+SUM(P$2:P120))</f>
        <v/>
      </c>
    </row>
    <row r="121">
      <c r="A121" s="22" t="n"/>
      <c r="G121" s="21" t="n"/>
      <c r="H121" s="11" t="n"/>
      <c r="I121" s="21">
        <f>IF(OR(H121="",H121=0),"",1/H121)</f>
        <v/>
      </c>
      <c r="J121" s="11">
        <f>IF(OR(G121="",H121=""),"",H121*G121-1)</f>
        <v/>
      </c>
      <c r="K121" s="10">
        <f>IF(OR(G121="",H121="",G121&lt;=1),"",IF(J121&lt;IF(D121="Builder",MinEdgeBuilder,IF(D121="Player",MinEdgePlayer,MinEdgeSingle)),0,ROUND(MIN(IF(D121="Single",KellySingle,KellyBuilder)*(StartBank+SUM(P$1:P120))*J121/(G121-1),IF(D121="Builder",CapBuilder,CapSingle)*Unit),2)))</f>
        <v/>
      </c>
      <c r="L121" s="10" t="n"/>
      <c r="N121" s="10" t="n"/>
      <c r="O121" s="10">
        <f>IF(L121="","",IF(M121="Won",L121*G121,IF(M121="Void",L121,IF(M121="Cash out",N(N121),IF(M121="Lost",0,"")))))</f>
        <v/>
      </c>
      <c r="P121" s="10">
        <f>IF(OR(L121="",M121="",M121="Pending"),"",O121-L121)</f>
        <v/>
      </c>
      <c r="Q121" s="21" t="n"/>
      <c r="R121" s="11">
        <f>IF(OR(G121="",Q121=""),"",G121/Q121-1)</f>
        <v/>
      </c>
      <c r="S121" s="10">
        <f>IF(OR(L121="",J121=""),"",L121*J121)</f>
        <v/>
      </c>
      <c r="T121" s="10">
        <f>IF(P121="","",StartBank+SUM(P$2:P121))</f>
        <v/>
      </c>
    </row>
    <row r="122">
      <c r="A122" s="22" t="n"/>
      <c r="G122" s="21" t="n"/>
      <c r="H122" s="11" t="n"/>
      <c r="I122" s="21">
        <f>IF(OR(H122="",H122=0),"",1/H122)</f>
        <v/>
      </c>
      <c r="J122" s="11">
        <f>IF(OR(G122="",H122=""),"",H122*G122-1)</f>
        <v/>
      </c>
      <c r="K122" s="10">
        <f>IF(OR(G122="",H122="",G122&lt;=1),"",IF(J122&lt;IF(D122="Builder",MinEdgeBuilder,IF(D122="Player",MinEdgePlayer,MinEdgeSingle)),0,ROUND(MIN(IF(D122="Single",KellySingle,KellyBuilder)*(StartBank+SUM(P$1:P121))*J122/(G122-1),IF(D122="Builder",CapBuilder,CapSingle)*Unit),2)))</f>
        <v/>
      </c>
      <c r="L122" s="10" t="n"/>
      <c r="N122" s="10" t="n"/>
      <c r="O122" s="10">
        <f>IF(L122="","",IF(M122="Won",L122*G122,IF(M122="Void",L122,IF(M122="Cash out",N(N122),IF(M122="Lost",0,"")))))</f>
        <v/>
      </c>
      <c r="P122" s="10">
        <f>IF(OR(L122="",M122="",M122="Pending"),"",O122-L122)</f>
        <v/>
      </c>
      <c r="Q122" s="21" t="n"/>
      <c r="R122" s="11">
        <f>IF(OR(G122="",Q122=""),"",G122/Q122-1)</f>
        <v/>
      </c>
      <c r="S122" s="10">
        <f>IF(OR(L122="",J122=""),"",L122*J122)</f>
        <v/>
      </c>
      <c r="T122" s="10">
        <f>IF(P122="","",StartBank+SUM(P$2:P122))</f>
        <v/>
      </c>
    </row>
    <row r="123">
      <c r="A123" s="22" t="n"/>
      <c r="G123" s="21" t="n"/>
      <c r="H123" s="11" t="n"/>
      <c r="I123" s="21">
        <f>IF(OR(H123="",H123=0),"",1/H123)</f>
        <v/>
      </c>
      <c r="J123" s="11">
        <f>IF(OR(G123="",H123=""),"",H123*G123-1)</f>
        <v/>
      </c>
      <c r="K123" s="10">
        <f>IF(OR(G123="",H123="",G123&lt;=1),"",IF(J123&lt;IF(D123="Builder",MinEdgeBuilder,IF(D123="Player",MinEdgePlayer,MinEdgeSingle)),0,ROUND(MIN(IF(D123="Single",KellySingle,KellyBuilder)*(StartBank+SUM(P$1:P122))*J123/(G123-1),IF(D123="Builder",CapBuilder,CapSingle)*Unit),2)))</f>
        <v/>
      </c>
      <c r="L123" s="10" t="n"/>
      <c r="N123" s="10" t="n"/>
      <c r="O123" s="10">
        <f>IF(L123="","",IF(M123="Won",L123*G123,IF(M123="Void",L123,IF(M123="Cash out",N(N123),IF(M123="Lost",0,"")))))</f>
        <v/>
      </c>
      <c r="P123" s="10">
        <f>IF(OR(L123="",M123="",M123="Pending"),"",O123-L123)</f>
        <v/>
      </c>
      <c r="Q123" s="21" t="n"/>
      <c r="R123" s="11">
        <f>IF(OR(G123="",Q123=""),"",G123/Q123-1)</f>
        <v/>
      </c>
      <c r="S123" s="10">
        <f>IF(OR(L123="",J123=""),"",L123*J123)</f>
        <v/>
      </c>
      <c r="T123" s="10">
        <f>IF(P123="","",StartBank+SUM(P$2:P123))</f>
        <v/>
      </c>
    </row>
    <row r="124">
      <c r="A124" s="22" t="n"/>
      <c r="G124" s="21" t="n"/>
      <c r="H124" s="11" t="n"/>
      <c r="I124" s="21">
        <f>IF(OR(H124="",H124=0),"",1/H124)</f>
        <v/>
      </c>
      <c r="J124" s="11">
        <f>IF(OR(G124="",H124=""),"",H124*G124-1)</f>
        <v/>
      </c>
      <c r="K124" s="10">
        <f>IF(OR(G124="",H124="",G124&lt;=1),"",IF(J124&lt;IF(D124="Builder",MinEdgeBuilder,IF(D124="Player",MinEdgePlayer,MinEdgeSingle)),0,ROUND(MIN(IF(D124="Single",KellySingle,KellyBuilder)*(StartBank+SUM(P$1:P123))*J124/(G124-1),IF(D124="Builder",CapBuilder,CapSingle)*Unit),2)))</f>
        <v/>
      </c>
      <c r="L124" s="10" t="n"/>
      <c r="N124" s="10" t="n"/>
      <c r="O124" s="10">
        <f>IF(L124="","",IF(M124="Won",L124*G124,IF(M124="Void",L124,IF(M124="Cash out",N(N124),IF(M124="Lost",0,"")))))</f>
        <v/>
      </c>
      <c r="P124" s="10">
        <f>IF(OR(L124="",M124="",M124="Pending"),"",O124-L124)</f>
        <v/>
      </c>
      <c r="Q124" s="21" t="n"/>
      <c r="R124" s="11">
        <f>IF(OR(G124="",Q124=""),"",G124/Q124-1)</f>
        <v/>
      </c>
      <c r="S124" s="10">
        <f>IF(OR(L124="",J124=""),"",L124*J124)</f>
        <v/>
      </c>
      <c r="T124" s="10">
        <f>IF(P124="","",StartBank+SUM(P$2:P124))</f>
        <v/>
      </c>
    </row>
    <row r="125">
      <c r="A125" s="22" t="n"/>
      <c r="G125" s="21" t="n"/>
      <c r="H125" s="11" t="n"/>
      <c r="I125" s="21">
        <f>IF(OR(H125="",H125=0),"",1/H125)</f>
        <v/>
      </c>
      <c r="J125" s="11">
        <f>IF(OR(G125="",H125=""),"",H125*G125-1)</f>
        <v/>
      </c>
      <c r="K125" s="10">
        <f>IF(OR(G125="",H125="",G125&lt;=1),"",IF(J125&lt;IF(D125="Builder",MinEdgeBuilder,IF(D125="Player",MinEdgePlayer,MinEdgeSingle)),0,ROUND(MIN(IF(D125="Single",KellySingle,KellyBuilder)*(StartBank+SUM(P$1:P124))*J125/(G125-1),IF(D125="Builder",CapBuilder,CapSingle)*Unit),2)))</f>
        <v/>
      </c>
      <c r="L125" s="10" t="n"/>
      <c r="N125" s="10" t="n"/>
      <c r="O125" s="10">
        <f>IF(L125="","",IF(M125="Won",L125*G125,IF(M125="Void",L125,IF(M125="Cash out",N(N125),IF(M125="Lost",0,"")))))</f>
        <v/>
      </c>
      <c r="P125" s="10">
        <f>IF(OR(L125="",M125="",M125="Pending"),"",O125-L125)</f>
        <v/>
      </c>
      <c r="Q125" s="21" t="n"/>
      <c r="R125" s="11">
        <f>IF(OR(G125="",Q125=""),"",G125/Q125-1)</f>
        <v/>
      </c>
      <c r="S125" s="10">
        <f>IF(OR(L125="",J125=""),"",L125*J125)</f>
        <v/>
      </c>
      <c r="T125" s="10">
        <f>IF(P125="","",StartBank+SUM(P$2:P125))</f>
        <v/>
      </c>
    </row>
    <row r="126">
      <c r="A126" s="22" t="n"/>
      <c r="G126" s="21" t="n"/>
      <c r="H126" s="11" t="n"/>
      <c r="I126" s="21">
        <f>IF(OR(H126="",H126=0),"",1/H126)</f>
        <v/>
      </c>
      <c r="J126" s="11">
        <f>IF(OR(G126="",H126=""),"",H126*G126-1)</f>
        <v/>
      </c>
      <c r="K126" s="10">
        <f>IF(OR(G126="",H126="",G126&lt;=1),"",IF(J126&lt;IF(D126="Builder",MinEdgeBuilder,IF(D126="Player",MinEdgePlayer,MinEdgeSingle)),0,ROUND(MIN(IF(D126="Single",KellySingle,KellyBuilder)*(StartBank+SUM(P$1:P125))*J126/(G126-1),IF(D126="Builder",CapBuilder,CapSingle)*Unit),2)))</f>
        <v/>
      </c>
      <c r="L126" s="10" t="n"/>
      <c r="N126" s="10" t="n"/>
      <c r="O126" s="10">
        <f>IF(L126="","",IF(M126="Won",L126*G126,IF(M126="Void",L126,IF(M126="Cash out",N(N126),IF(M126="Lost",0,"")))))</f>
        <v/>
      </c>
      <c r="P126" s="10">
        <f>IF(OR(L126="",M126="",M126="Pending"),"",O126-L126)</f>
        <v/>
      </c>
      <c r="Q126" s="21" t="n"/>
      <c r="R126" s="11">
        <f>IF(OR(G126="",Q126=""),"",G126/Q126-1)</f>
        <v/>
      </c>
      <c r="S126" s="10">
        <f>IF(OR(L126="",J126=""),"",L126*J126)</f>
        <v/>
      </c>
      <c r="T126" s="10">
        <f>IF(P126="","",StartBank+SUM(P$2:P126))</f>
        <v/>
      </c>
    </row>
    <row r="127">
      <c r="A127" s="22" t="n"/>
      <c r="G127" s="21" t="n"/>
      <c r="H127" s="11" t="n"/>
      <c r="I127" s="21">
        <f>IF(OR(H127="",H127=0),"",1/H127)</f>
        <v/>
      </c>
      <c r="J127" s="11">
        <f>IF(OR(G127="",H127=""),"",H127*G127-1)</f>
        <v/>
      </c>
      <c r="K127" s="10">
        <f>IF(OR(G127="",H127="",G127&lt;=1),"",IF(J127&lt;IF(D127="Builder",MinEdgeBuilder,IF(D127="Player",MinEdgePlayer,MinEdgeSingle)),0,ROUND(MIN(IF(D127="Single",KellySingle,KellyBuilder)*(StartBank+SUM(P$1:P126))*J127/(G127-1),IF(D127="Builder",CapBuilder,CapSingle)*Unit),2)))</f>
        <v/>
      </c>
      <c r="L127" s="10" t="n"/>
      <c r="N127" s="10" t="n"/>
      <c r="O127" s="10">
        <f>IF(L127="","",IF(M127="Won",L127*G127,IF(M127="Void",L127,IF(M127="Cash out",N(N127),IF(M127="Lost",0,"")))))</f>
        <v/>
      </c>
      <c r="P127" s="10">
        <f>IF(OR(L127="",M127="",M127="Pending"),"",O127-L127)</f>
        <v/>
      </c>
      <c r="Q127" s="21" t="n"/>
      <c r="R127" s="11">
        <f>IF(OR(G127="",Q127=""),"",G127/Q127-1)</f>
        <v/>
      </c>
      <c r="S127" s="10">
        <f>IF(OR(L127="",J127=""),"",L127*J127)</f>
        <v/>
      </c>
      <c r="T127" s="10">
        <f>IF(P127="","",StartBank+SUM(P$2:P127))</f>
        <v/>
      </c>
    </row>
    <row r="128">
      <c r="A128" s="22" t="n"/>
      <c r="G128" s="21" t="n"/>
      <c r="H128" s="11" t="n"/>
      <c r="I128" s="21">
        <f>IF(OR(H128="",H128=0),"",1/H128)</f>
        <v/>
      </c>
      <c r="J128" s="11">
        <f>IF(OR(G128="",H128=""),"",H128*G128-1)</f>
        <v/>
      </c>
      <c r="K128" s="10">
        <f>IF(OR(G128="",H128="",G128&lt;=1),"",IF(J128&lt;IF(D128="Builder",MinEdgeBuilder,IF(D128="Player",MinEdgePlayer,MinEdgeSingle)),0,ROUND(MIN(IF(D128="Single",KellySingle,KellyBuilder)*(StartBank+SUM(P$1:P127))*J128/(G128-1),IF(D128="Builder",CapBuilder,CapSingle)*Unit),2)))</f>
        <v/>
      </c>
      <c r="L128" s="10" t="n"/>
      <c r="N128" s="10" t="n"/>
      <c r="O128" s="10">
        <f>IF(L128="","",IF(M128="Won",L128*G128,IF(M128="Void",L128,IF(M128="Cash out",N(N128),IF(M128="Lost",0,"")))))</f>
        <v/>
      </c>
      <c r="P128" s="10">
        <f>IF(OR(L128="",M128="",M128="Pending"),"",O128-L128)</f>
        <v/>
      </c>
      <c r="Q128" s="21" t="n"/>
      <c r="R128" s="11">
        <f>IF(OR(G128="",Q128=""),"",G128/Q128-1)</f>
        <v/>
      </c>
      <c r="S128" s="10">
        <f>IF(OR(L128="",J128=""),"",L128*J128)</f>
        <v/>
      </c>
      <c r="T128" s="10">
        <f>IF(P128="","",StartBank+SUM(P$2:P128))</f>
        <v/>
      </c>
    </row>
    <row r="129">
      <c r="A129" s="22" t="n"/>
      <c r="G129" s="21" t="n"/>
      <c r="H129" s="11" t="n"/>
      <c r="I129" s="21">
        <f>IF(OR(H129="",H129=0),"",1/H129)</f>
        <v/>
      </c>
      <c r="J129" s="11">
        <f>IF(OR(G129="",H129=""),"",H129*G129-1)</f>
        <v/>
      </c>
      <c r="K129" s="10">
        <f>IF(OR(G129="",H129="",G129&lt;=1),"",IF(J129&lt;IF(D129="Builder",MinEdgeBuilder,IF(D129="Player",MinEdgePlayer,MinEdgeSingle)),0,ROUND(MIN(IF(D129="Single",KellySingle,KellyBuilder)*(StartBank+SUM(P$1:P128))*J129/(G129-1),IF(D129="Builder",CapBuilder,CapSingle)*Unit),2)))</f>
        <v/>
      </c>
      <c r="L129" s="10" t="n"/>
      <c r="N129" s="10" t="n"/>
      <c r="O129" s="10">
        <f>IF(L129="","",IF(M129="Won",L129*G129,IF(M129="Void",L129,IF(M129="Cash out",N(N129),IF(M129="Lost",0,"")))))</f>
        <v/>
      </c>
      <c r="P129" s="10">
        <f>IF(OR(L129="",M129="",M129="Pending"),"",O129-L129)</f>
        <v/>
      </c>
      <c r="Q129" s="21" t="n"/>
      <c r="R129" s="11">
        <f>IF(OR(G129="",Q129=""),"",G129/Q129-1)</f>
        <v/>
      </c>
      <c r="S129" s="10">
        <f>IF(OR(L129="",J129=""),"",L129*J129)</f>
        <v/>
      </c>
      <c r="T129" s="10">
        <f>IF(P129="","",StartBank+SUM(P$2:P129))</f>
        <v/>
      </c>
    </row>
    <row r="130">
      <c r="A130" s="22" t="n"/>
      <c r="G130" s="21" t="n"/>
      <c r="H130" s="11" t="n"/>
      <c r="I130" s="21">
        <f>IF(OR(H130="",H130=0),"",1/H130)</f>
        <v/>
      </c>
      <c r="J130" s="11">
        <f>IF(OR(G130="",H130=""),"",H130*G130-1)</f>
        <v/>
      </c>
      <c r="K130" s="10">
        <f>IF(OR(G130="",H130="",G130&lt;=1),"",IF(J130&lt;IF(D130="Builder",MinEdgeBuilder,IF(D130="Player",MinEdgePlayer,MinEdgeSingle)),0,ROUND(MIN(IF(D130="Single",KellySingle,KellyBuilder)*(StartBank+SUM(P$1:P129))*J130/(G130-1),IF(D130="Builder",CapBuilder,CapSingle)*Unit),2)))</f>
        <v/>
      </c>
      <c r="L130" s="10" t="n"/>
      <c r="N130" s="10" t="n"/>
      <c r="O130" s="10">
        <f>IF(L130="","",IF(M130="Won",L130*G130,IF(M130="Void",L130,IF(M130="Cash out",N(N130),IF(M130="Lost",0,"")))))</f>
        <v/>
      </c>
      <c r="P130" s="10">
        <f>IF(OR(L130="",M130="",M130="Pending"),"",O130-L130)</f>
        <v/>
      </c>
      <c r="Q130" s="21" t="n"/>
      <c r="R130" s="11">
        <f>IF(OR(G130="",Q130=""),"",G130/Q130-1)</f>
        <v/>
      </c>
      <c r="S130" s="10">
        <f>IF(OR(L130="",J130=""),"",L130*J130)</f>
        <v/>
      </c>
      <c r="T130" s="10">
        <f>IF(P130="","",StartBank+SUM(P$2:P130))</f>
        <v/>
      </c>
    </row>
    <row r="131">
      <c r="A131" s="22" t="n"/>
      <c r="G131" s="21" t="n"/>
      <c r="H131" s="11" t="n"/>
      <c r="I131" s="21">
        <f>IF(OR(H131="",H131=0),"",1/H131)</f>
        <v/>
      </c>
      <c r="J131" s="11">
        <f>IF(OR(G131="",H131=""),"",H131*G131-1)</f>
        <v/>
      </c>
      <c r="K131" s="10">
        <f>IF(OR(G131="",H131="",G131&lt;=1),"",IF(J131&lt;IF(D131="Builder",MinEdgeBuilder,IF(D131="Player",MinEdgePlayer,MinEdgeSingle)),0,ROUND(MIN(IF(D131="Single",KellySingle,KellyBuilder)*(StartBank+SUM(P$1:P130))*J131/(G131-1),IF(D131="Builder",CapBuilder,CapSingle)*Unit),2)))</f>
        <v/>
      </c>
      <c r="L131" s="10" t="n"/>
      <c r="N131" s="10" t="n"/>
      <c r="O131" s="10">
        <f>IF(L131="","",IF(M131="Won",L131*G131,IF(M131="Void",L131,IF(M131="Cash out",N(N131),IF(M131="Lost",0,"")))))</f>
        <v/>
      </c>
      <c r="P131" s="10">
        <f>IF(OR(L131="",M131="",M131="Pending"),"",O131-L131)</f>
        <v/>
      </c>
      <c r="Q131" s="21" t="n"/>
      <c r="R131" s="11">
        <f>IF(OR(G131="",Q131=""),"",G131/Q131-1)</f>
        <v/>
      </c>
      <c r="S131" s="10">
        <f>IF(OR(L131="",J131=""),"",L131*J131)</f>
        <v/>
      </c>
      <c r="T131" s="10">
        <f>IF(P131="","",StartBank+SUM(P$2:P131))</f>
        <v/>
      </c>
    </row>
    <row r="132">
      <c r="A132" s="22" t="n"/>
      <c r="G132" s="21" t="n"/>
      <c r="H132" s="11" t="n"/>
      <c r="I132" s="21">
        <f>IF(OR(H132="",H132=0),"",1/H132)</f>
        <v/>
      </c>
      <c r="J132" s="11">
        <f>IF(OR(G132="",H132=""),"",H132*G132-1)</f>
        <v/>
      </c>
      <c r="K132" s="10">
        <f>IF(OR(G132="",H132="",G132&lt;=1),"",IF(J132&lt;IF(D132="Builder",MinEdgeBuilder,IF(D132="Player",MinEdgePlayer,MinEdgeSingle)),0,ROUND(MIN(IF(D132="Single",KellySingle,KellyBuilder)*(StartBank+SUM(P$1:P131))*J132/(G132-1),IF(D132="Builder",CapBuilder,CapSingle)*Unit),2)))</f>
        <v/>
      </c>
      <c r="L132" s="10" t="n"/>
      <c r="N132" s="10" t="n"/>
      <c r="O132" s="10">
        <f>IF(L132="","",IF(M132="Won",L132*G132,IF(M132="Void",L132,IF(M132="Cash out",N(N132),IF(M132="Lost",0,"")))))</f>
        <v/>
      </c>
      <c r="P132" s="10">
        <f>IF(OR(L132="",M132="",M132="Pending"),"",O132-L132)</f>
        <v/>
      </c>
      <c r="Q132" s="21" t="n"/>
      <c r="R132" s="11">
        <f>IF(OR(G132="",Q132=""),"",G132/Q132-1)</f>
        <v/>
      </c>
      <c r="S132" s="10">
        <f>IF(OR(L132="",J132=""),"",L132*J132)</f>
        <v/>
      </c>
      <c r="T132" s="10">
        <f>IF(P132="","",StartBank+SUM(P$2:P132))</f>
        <v/>
      </c>
    </row>
    <row r="133">
      <c r="A133" s="22" t="n"/>
      <c r="G133" s="21" t="n"/>
      <c r="H133" s="11" t="n"/>
      <c r="I133" s="21">
        <f>IF(OR(H133="",H133=0),"",1/H133)</f>
        <v/>
      </c>
      <c r="J133" s="11">
        <f>IF(OR(G133="",H133=""),"",H133*G133-1)</f>
        <v/>
      </c>
      <c r="K133" s="10">
        <f>IF(OR(G133="",H133="",G133&lt;=1),"",IF(J133&lt;IF(D133="Builder",MinEdgeBuilder,IF(D133="Player",MinEdgePlayer,MinEdgeSingle)),0,ROUND(MIN(IF(D133="Single",KellySingle,KellyBuilder)*(StartBank+SUM(P$1:P132))*J133/(G133-1),IF(D133="Builder",CapBuilder,CapSingle)*Unit),2)))</f>
        <v/>
      </c>
      <c r="L133" s="10" t="n"/>
      <c r="N133" s="10" t="n"/>
      <c r="O133" s="10">
        <f>IF(L133="","",IF(M133="Won",L133*G133,IF(M133="Void",L133,IF(M133="Cash out",N(N133),IF(M133="Lost",0,"")))))</f>
        <v/>
      </c>
      <c r="P133" s="10">
        <f>IF(OR(L133="",M133="",M133="Pending"),"",O133-L133)</f>
        <v/>
      </c>
      <c r="Q133" s="21" t="n"/>
      <c r="R133" s="11">
        <f>IF(OR(G133="",Q133=""),"",G133/Q133-1)</f>
        <v/>
      </c>
      <c r="S133" s="10">
        <f>IF(OR(L133="",J133=""),"",L133*J133)</f>
        <v/>
      </c>
      <c r="T133" s="10">
        <f>IF(P133="","",StartBank+SUM(P$2:P133))</f>
        <v/>
      </c>
    </row>
    <row r="134">
      <c r="A134" s="22" t="n"/>
      <c r="G134" s="21" t="n"/>
      <c r="H134" s="11" t="n"/>
      <c r="I134" s="21">
        <f>IF(OR(H134="",H134=0),"",1/H134)</f>
        <v/>
      </c>
      <c r="J134" s="11">
        <f>IF(OR(G134="",H134=""),"",H134*G134-1)</f>
        <v/>
      </c>
      <c r="K134" s="10">
        <f>IF(OR(G134="",H134="",G134&lt;=1),"",IF(J134&lt;IF(D134="Builder",MinEdgeBuilder,IF(D134="Player",MinEdgePlayer,MinEdgeSingle)),0,ROUND(MIN(IF(D134="Single",KellySingle,KellyBuilder)*(StartBank+SUM(P$1:P133))*J134/(G134-1),IF(D134="Builder",CapBuilder,CapSingle)*Unit),2)))</f>
        <v/>
      </c>
      <c r="L134" s="10" t="n"/>
      <c r="N134" s="10" t="n"/>
      <c r="O134" s="10">
        <f>IF(L134="","",IF(M134="Won",L134*G134,IF(M134="Void",L134,IF(M134="Cash out",N(N134),IF(M134="Lost",0,"")))))</f>
        <v/>
      </c>
      <c r="P134" s="10">
        <f>IF(OR(L134="",M134="",M134="Pending"),"",O134-L134)</f>
        <v/>
      </c>
      <c r="Q134" s="21" t="n"/>
      <c r="R134" s="11">
        <f>IF(OR(G134="",Q134=""),"",G134/Q134-1)</f>
        <v/>
      </c>
      <c r="S134" s="10">
        <f>IF(OR(L134="",J134=""),"",L134*J134)</f>
        <v/>
      </c>
      <c r="T134" s="10">
        <f>IF(P134="","",StartBank+SUM(P$2:P134))</f>
        <v/>
      </c>
    </row>
    <row r="135">
      <c r="A135" s="22" t="n"/>
      <c r="G135" s="21" t="n"/>
      <c r="H135" s="11" t="n"/>
      <c r="I135" s="21">
        <f>IF(OR(H135="",H135=0),"",1/H135)</f>
        <v/>
      </c>
      <c r="J135" s="11">
        <f>IF(OR(G135="",H135=""),"",H135*G135-1)</f>
        <v/>
      </c>
      <c r="K135" s="10">
        <f>IF(OR(G135="",H135="",G135&lt;=1),"",IF(J135&lt;IF(D135="Builder",MinEdgeBuilder,IF(D135="Player",MinEdgePlayer,MinEdgeSingle)),0,ROUND(MIN(IF(D135="Single",KellySingle,KellyBuilder)*(StartBank+SUM(P$1:P134))*J135/(G135-1),IF(D135="Builder",CapBuilder,CapSingle)*Unit),2)))</f>
        <v/>
      </c>
      <c r="L135" s="10" t="n"/>
      <c r="N135" s="10" t="n"/>
      <c r="O135" s="10">
        <f>IF(L135="","",IF(M135="Won",L135*G135,IF(M135="Void",L135,IF(M135="Cash out",N(N135),IF(M135="Lost",0,"")))))</f>
        <v/>
      </c>
      <c r="P135" s="10">
        <f>IF(OR(L135="",M135="",M135="Pending"),"",O135-L135)</f>
        <v/>
      </c>
      <c r="Q135" s="21" t="n"/>
      <c r="R135" s="11">
        <f>IF(OR(G135="",Q135=""),"",G135/Q135-1)</f>
        <v/>
      </c>
      <c r="S135" s="10">
        <f>IF(OR(L135="",J135=""),"",L135*J135)</f>
        <v/>
      </c>
      <c r="T135" s="10">
        <f>IF(P135="","",StartBank+SUM(P$2:P135))</f>
        <v/>
      </c>
    </row>
    <row r="136">
      <c r="A136" s="22" t="n"/>
      <c r="G136" s="21" t="n"/>
      <c r="H136" s="11" t="n"/>
      <c r="I136" s="21">
        <f>IF(OR(H136="",H136=0),"",1/H136)</f>
        <v/>
      </c>
      <c r="J136" s="11">
        <f>IF(OR(G136="",H136=""),"",H136*G136-1)</f>
        <v/>
      </c>
      <c r="K136" s="10">
        <f>IF(OR(G136="",H136="",G136&lt;=1),"",IF(J136&lt;IF(D136="Builder",MinEdgeBuilder,IF(D136="Player",MinEdgePlayer,MinEdgeSingle)),0,ROUND(MIN(IF(D136="Single",KellySingle,KellyBuilder)*(StartBank+SUM(P$1:P135))*J136/(G136-1),IF(D136="Builder",CapBuilder,CapSingle)*Unit),2)))</f>
        <v/>
      </c>
      <c r="L136" s="10" t="n"/>
      <c r="N136" s="10" t="n"/>
      <c r="O136" s="10">
        <f>IF(L136="","",IF(M136="Won",L136*G136,IF(M136="Void",L136,IF(M136="Cash out",N(N136),IF(M136="Lost",0,"")))))</f>
        <v/>
      </c>
      <c r="P136" s="10">
        <f>IF(OR(L136="",M136="",M136="Pending"),"",O136-L136)</f>
        <v/>
      </c>
      <c r="Q136" s="21" t="n"/>
      <c r="R136" s="11">
        <f>IF(OR(G136="",Q136=""),"",G136/Q136-1)</f>
        <v/>
      </c>
      <c r="S136" s="10">
        <f>IF(OR(L136="",J136=""),"",L136*J136)</f>
        <v/>
      </c>
      <c r="T136" s="10">
        <f>IF(P136="","",StartBank+SUM(P$2:P136))</f>
        <v/>
      </c>
    </row>
    <row r="137">
      <c r="A137" s="22" t="n"/>
      <c r="G137" s="21" t="n"/>
      <c r="H137" s="11" t="n"/>
      <c r="I137" s="21">
        <f>IF(OR(H137="",H137=0),"",1/H137)</f>
        <v/>
      </c>
      <c r="J137" s="11">
        <f>IF(OR(G137="",H137=""),"",H137*G137-1)</f>
        <v/>
      </c>
      <c r="K137" s="10">
        <f>IF(OR(G137="",H137="",G137&lt;=1),"",IF(J137&lt;IF(D137="Builder",MinEdgeBuilder,IF(D137="Player",MinEdgePlayer,MinEdgeSingle)),0,ROUND(MIN(IF(D137="Single",KellySingle,KellyBuilder)*(StartBank+SUM(P$1:P136))*J137/(G137-1),IF(D137="Builder",CapBuilder,CapSingle)*Unit),2)))</f>
        <v/>
      </c>
      <c r="L137" s="10" t="n"/>
      <c r="N137" s="10" t="n"/>
      <c r="O137" s="10">
        <f>IF(L137="","",IF(M137="Won",L137*G137,IF(M137="Void",L137,IF(M137="Cash out",N(N137),IF(M137="Lost",0,"")))))</f>
        <v/>
      </c>
      <c r="P137" s="10">
        <f>IF(OR(L137="",M137="",M137="Pending"),"",O137-L137)</f>
        <v/>
      </c>
      <c r="Q137" s="21" t="n"/>
      <c r="R137" s="11">
        <f>IF(OR(G137="",Q137=""),"",G137/Q137-1)</f>
        <v/>
      </c>
      <c r="S137" s="10">
        <f>IF(OR(L137="",J137=""),"",L137*J137)</f>
        <v/>
      </c>
      <c r="T137" s="10">
        <f>IF(P137="","",StartBank+SUM(P$2:P137))</f>
        <v/>
      </c>
    </row>
    <row r="138">
      <c r="A138" s="22" t="n"/>
      <c r="G138" s="21" t="n"/>
      <c r="H138" s="11" t="n"/>
      <c r="I138" s="21">
        <f>IF(OR(H138="",H138=0),"",1/H138)</f>
        <v/>
      </c>
      <c r="J138" s="11">
        <f>IF(OR(G138="",H138=""),"",H138*G138-1)</f>
        <v/>
      </c>
      <c r="K138" s="10">
        <f>IF(OR(G138="",H138="",G138&lt;=1),"",IF(J138&lt;IF(D138="Builder",MinEdgeBuilder,IF(D138="Player",MinEdgePlayer,MinEdgeSingle)),0,ROUND(MIN(IF(D138="Single",KellySingle,KellyBuilder)*(StartBank+SUM(P$1:P137))*J138/(G138-1),IF(D138="Builder",CapBuilder,CapSingle)*Unit),2)))</f>
        <v/>
      </c>
      <c r="L138" s="10" t="n"/>
      <c r="N138" s="10" t="n"/>
      <c r="O138" s="10">
        <f>IF(L138="","",IF(M138="Won",L138*G138,IF(M138="Void",L138,IF(M138="Cash out",N(N138),IF(M138="Lost",0,"")))))</f>
        <v/>
      </c>
      <c r="P138" s="10">
        <f>IF(OR(L138="",M138="",M138="Pending"),"",O138-L138)</f>
        <v/>
      </c>
      <c r="Q138" s="21" t="n"/>
      <c r="R138" s="11">
        <f>IF(OR(G138="",Q138=""),"",G138/Q138-1)</f>
        <v/>
      </c>
      <c r="S138" s="10">
        <f>IF(OR(L138="",J138=""),"",L138*J138)</f>
        <v/>
      </c>
      <c r="T138" s="10">
        <f>IF(P138="","",StartBank+SUM(P$2:P138))</f>
        <v/>
      </c>
    </row>
    <row r="139">
      <c r="A139" s="22" t="n"/>
      <c r="G139" s="21" t="n"/>
      <c r="H139" s="11" t="n"/>
      <c r="I139" s="21">
        <f>IF(OR(H139="",H139=0),"",1/H139)</f>
        <v/>
      </c>
      <c r="J139" s="11">
        <f>IF(OR(G139="",H139=""),"",H139*G139-1)</f>
        <v/>
      </c>
      <c r="K139" s="10">
        <f>IF(OR(G139="",H139="",G139&lt;=1),"",IF(J139&lt;IF(D139="Builder",MinEdgeBuilder,IF(D139="Player",MinEdgePlayer,MinEdgeSingle)),0,ROUND(MIN(IF(D139="Single",KellySingle,KellyBuilder)*(StartBank+SUM(P$1:P138))*J139/(G139-1),IF(D139="Builder",CapBuilder,CapSingle)*Unit),2)))</f>
        <v/>
      </c>
      <c r="L139" s="10" t="n"/>
      <c r="N139" s="10" t="n"/>
      <c r="O139" s="10">
        <f>IF(L139="","",IF(M139="Won",L139*G139,IF(M139="Void",L139,IF(M139="Cash out",N(N139),IF(M139="Lost",0,"")))))</f>
        <v/>
      </c>
      <c r="P139" s="10">
        <f>IF(OR(L139="",M139="",M139="Pending"),"",O139-L139)</f>
        <v/>
      </c>
      <c r="Q139" s="21" t="n"/>
      <c r="R139" s="11">
        <f>IF(OR(G139="",Q139=""),"",G139/Q139-1)</f>
        <v/>
      </c>
      <c r="S139" s="10">
        <f>IF(OR(L139="",J139=""),"",L139*J139)</f>
        <v/>
      </c>
      <c r="T139" s="10">
        <f>IF(P139="","",StartBank+SUM(P$2:P139))</f>
        <v/>
      </c>
    </row>
    <row r="140">
      <c r="A140" s="22" t="n"/>
      <c r="G140" s="21" t="n"/>
      <c r="H140" s="11" t="n"/>
      <c r="I140" s="21">
        <f>IF(OR(H140="",H140=0),"",1/H140)</f>
        <v/>
      </c>
      <c r="J140" s="11">
        <f>IF(OR(G140="",H140=""),"",H140*G140-1)</f>
        <v/>
      </c>
      <c r="K140" s="10">
        <f>IF(OR(G140="",H140="",G140&lt;=1),"",IF(J140&lt;IF(D140="Builder",MinEdgeBuilder,IF(D140="Player",MinEdgePlayer,MinEdgeSingle)),0,ROUND(MIN(IF(D140="Single",KellySingle,KellyBuilder)*(StartBank+SUM(P$1:P139))*J140/(G140-1),IF(D140="Builder",CapBuilder,CapSingle)*Unit),2)))</f>
        <v/>
      </c>
      <c r="L140" s="10" t="n"/>
      <c r="N140" s="10" t="n"/>
      <c r="O140" s="10">
        <f>IF(L140="","",IF(M140="Won",L140*G140,IF(M140="Void",L140,IF(M140="Cash out",N(N140),IF(M140="Lost",0,"")))))</f>
        <v/>
      </c>
      <c r="P140" s="10">
        <f>IF(OR(L140="",M140="",M140="Pending"),"",O140-L140)</f>
        <v/>
      </c>
      <c r="Q140" s="21" t="n"/>
      <c r="R140" s="11">
        <f>IF(OR(G140="",Q140=""),"",G140/Q140-1)</f>
        <v/>
      </c>
      <c r="S140" s="10">
        <f>IF(OR(L140="",J140=""),"",L140*J140)</f>
        <v/>
      </c>
      <c r="T140" s="10">
        <f>IF(P140="","",StartBank+SUM(P$2:P140))</f>
        <v/>
      </c>
    </row>
    <row r="141">
      <c r="A141" s="22" t="n"/>
      <c r="G141" s="21" t="n"/>
      <c r="H141" s="11" t="n"/>
      <c r="I141" s="21">
        <f>IF(OR(H141="",H141=0),"",1/H141)</f>
        <v/>
      </c>
      <c r="J141" s="11">
        <f>IF(OR(G141="",H141=""),"",H141*G141-1)</f>
        <v/>
      </c>
      <c r="K141" s="10">
        <f>IF(OR(G141="",H141="",G141&lt;=1),"",IF(J141&lt;IF(D141="Builder",MinEdgeBuilder,IF(D141="Player",MinEdgePlayer,MinEdgeSingle)),0,ROUND(MIN(IF(D141="Single",KellySingle,KellyBuilder)*(StartBank+SUM(P$1:P140))*J141/(G141-1),IF(D141="Builder",CapBuilder,CapSingle)*Unit),2)))</f>
        <v/>
      </c>
      <c r="L141" s="10" t="n"/>
      <c r="N141" s="10" t="n"/>
      <c r="O141" s="10">
        <f>IF(L141="","",IF(M141="Won",L141*G141,IF(M141="Void",L141,IF(M141="Cash out",N(N141),IF(M141="Lost",0,"")))))</f>
        <v/>
      </c>
      <c r="P141" s="10">
        <f>IF(OR(L141="",M141="",M141="Pending"),"",O141-L141)</f>
        <v/>
      </c>
      <c r="Q141" s="21" t="n"/>
      <c r="R141" s="11">
        <f>IF(OR(G141="",Q141=""),"",G141/Q141-1)</f>
        <v/>
      </c>
      <c r="S141" s="10">
        <f>IF(OR(L141="",J141=""),"",L141*J141)</f>
        <v/>
      </c>
      <c r="T141" s="10">
        <f>IF(P141="","",StartBank+SUM(P$2:P141))</f>
        <v/>
      </c>
    </row>
    <row r="142">
      <c r="A142" s="22" t="n"/>
      <c r="G142" s="21" t="n"/>
      <c r="H142" s="11" t="n"/>
      <c r="I142" s="21">
        <f>IF(OR(H142="",H142=0),"",1/H142)</f>
        <v/>
      </c>
      <c r="J142" s="11">
        <f>IF(OR(G142="",H142=""),"",H142*G142-1)</f>
        <v/>
      </c>
      <c r="K142" s="10">
        <f>IF(OR(G142="",H142="",G142&lt;=1),"",IF(J142&lt;IF(D142="Builder",MinEdgeBuilder,IF(D142="Player",MinEdgePlayer,MinEdgeSingle)),0,ROUND(MIN(IF(D142="Single",KellySingle,KellyBuilder)*(StartBank+SUM(P$1:P141))*J142/(G142-1),IF(D142="Builder",CapBuilder,CapSingle)*Unit),2)))</f>
        <v/>
      </c>
      <c r="L142" s="10" t="n"/>
      <c r="N142" s="10" t="n"/>
      <c r="O142" s="10">
        <f>IF(L142="","",IF(M142="Won",L142*G142,IF(M142="Void",L142,IF(M142="Cash out",N(N142),IF(M142="Lost",0,"")))))</f>
        <v/>
      </c>
      <c r="P142" s="10">
        <f>IF(OR(L142="",M142="",M142="Pending"),"",O142-L142)</f>
        <v/>
      </c>
      <c r="Q142" s="21" t="n"/>
      <c r="R142" s="11">
        <f>IF(OR(G142="",Q142=""),"",G142/Q142-1)</f>
        <v/>
      </c>
      <c r="S142" s="10">
        <f>IF(OR(L142="",J142=""),"",L142*J142)</f>
        <v/>
      </c>
      <c r="T142" s="10">
        <f>IF(P142="","",StartBank+SUM(P$2:P142))</f>
        <v/>
      </c>
    </row>
    <row r="143">
      <c r="A143" s="22" t="n"/>
      <c r="G143" s="21" t="n"/>
      <c r="H143" s="11" t="n"/>
      <c r="I143" s="21">
        <f>IF(OR(H143="",H143=0),"",1/H143)</f>
        <v/>
      </c>
      <c r="J143" s="11">
        <f>IF(OR(G143="",H143=""),"",H143*G143-1)</f>
        <v/>
      </c>
      <c r="K143" s="10">
        <f>IF(OR(G143="",H143="",G143&lt;=1),"",IF(J143&lt;IF(D143="Builder",MinEdgeBuilder,IF(D143="Player",MinEdgePlayer,MinEdgeSingle)),0,ROUND(MIN(IF(D143="Single",KellySingle,KellyBuilder)*(StartBank+SUM(P$1:P142))*J143/(G143-1),IF(D143="Builder",CapBuilder,CapSingle)*Unit),2)))</f>
        <v/>
      </c>
      <c r="L143" s="10" t="n"/>
      <c r="N143" s="10" t="n"/>
      <c r="O143" s="10">
        <f>IF(L143="","",IF(M143="Won",L143*G143,IF(M143="Void",L143,IF(M143="Cash out",N(N143),IF(M143="Lost",0,"")))))</f>
        <v/>
      </c>
      <c r="P143" s="10">
        <f>IF(OR(L143="",M143="",M143="Pending"),"",O143-L143)</f>
        <v/>
      </c>
      <c r="Q143" s="21" t="n"/>
      <c r="R143" s="11">
        <f>IF(OR(G143="",Q143=""),"",G143/Q143-1)</f>
        <v/>
      </c>
      <c r="S143" s="10">
        <f>IF(OR(L143="",J143=""),"",L143*J143)</f>
        <v/>
      </c>
      <c r="T143" s="10">
        <f>IF(P143="","",StartBank+SUM(P$2:P143))</f>
        <v/>
      </c>
    </row>
    <row r="144">
      <c r="A144" s="22" t="n"/>
      <c r="G144" s="21" t="n"/>
      <c r="H144" s="11" t="n"/>
      <c r="I144" s="21">
        <f>IF(OR(H144="",H144=0),"",1/H144)</f>
        <v/>
      </c>
      <c r="J144" s="11">
        <f>IF(OR(G144="",H144=""),"",H144*G144-1)</f>
        <v/>
      </c>
      <c r="K144" s="10">
        <f>IF(OR(G144="",H144="",G144&lt;=1),"",IF(J144&lt;IF(D144="Builder",MinEdgeBuilder,IF(D144="Player",MinEdgePlayer,MinEdgeSingle)),0,ROUND(MIN(IF(D144="Single",KellySingle,KellyBuilder)*(StartBank+SUM(P$1:P143))*J144/(G144-1),IF(D144="Builder",CapBuilder,CapSingle)*Unit),2)))</f>
        <v/>
      </c>
      <c r="L144" s="10" t="n"/>
      <c r="N144" s="10" t="n"/>
      <c r="O144" s="10">
        <f>IF(L144="","",IF(M144="Won",L144*G144,IF(M144="Void",L144,IF(M144="Cash out",N(N144),IF(M144="Lost",0,"")))))</f>
        <v/>
      </c>
      <c r="P144" s="10">
        <f>IF(OR(L144="",M144="",M144="Pending"),"",O144-L144)</f>
        <v/>
      </c>
      <c r="Q144" s="21" t="n"/>
      <c r="R144" s="11">
        <f>IF(OR(G144="",Q144=""),"",G144/Q144-1)</f>
        <v/>
      </c>
      <c r="S144" s="10">
        <f>IF(OR(L144="",J144=""),"",L144*J144)</f>
        <v/>
      </c>
      <c r="T144" s="10">
        <f>IF(P144="","",StartBank+SUM(P$2:P144))</f>
        <v/>
      </c>
    </row>
    <row r="145">
      <c r="A145" s="22" t="n"/>
      <c r="G145" s="21" t="n"/>
      <c r="H145" s="11" t="n"/>
      <c r="I145" s="21">
        <f>IF(OR(H145="",H145=0),"",1/H145)</f>
        <v/>
      </c>
      <c r="J145" s="11">
        <f>IF(OR(G145="",H145=""),"",H145*G145-1)</f>
        <v/>
      </c>
      <c r="K145" s="10">
        <f>IF(OR(G145="",H145="",G145&lt;=1),"",IF(J145&lt;IF(D145="Builder",MinEdgeBuilder,IF(D145="Player",MinEdgePlayer,MinEdgeSingle)),0,ROUND(MIN(IF(D145="Single",KellySingle,KellyBuilder)*(StartBank+SUM(P$1:P144))*J145/(G145-1),IF(D145="Builder",CapBuilder,CapSingle)*Unit),2)))</f>
        <v/>
      </c>
      <c r="L145" s="10" t="n"/>
      <c r="N145" s="10" t="n"/>
      <c r="O145" s="10">
        <f>IF(L145="","",IF(M145="Won",L145*G145,IF(M145="Void",L145,IF(M145="Cash out",N(N145),IF(M145="Lost",0,"")))))</f>
        <v/>
      </c>
      <c r="P145" s="10">
        <f>IF(OR(L145="",M145="",M145="Pending"),"",O145-L145)</f>
        <v/>
      </c>
      <c r="Q145" s="21" t="n"/>
      <c r="R145" s="11">
        <f>IF(OR(G145="",Q145=""),"",G145/Q145-1)</f>
        <v/>
      </c>
      <c r="S145" s="10">
        <f>IF(OR(L145="",J145=""),"",L145*J145)</f>
        <v/>
      </c>
      <c r="T145" s="10">
        <f>IF(P145="","",StartBank+SUM(P$2:P145))</f>
        <v/>
      </c>
    </row>
    <row r="146">
      <c r="A146" s="22" t="n"/>
      <c r="G146" s="21" t="n"/>
      <c r="H146" s="11" t="n"/>
      <c r="I146" s="21">
        <f>IF(OR(H146="",H146=0),"",1/H146)</f>
        <v/>
      </c>
      <c r="J146" s="11">
        <f>IF(OR(G146="",H146=""),"",H146*G146-1)</f>
        <v/>
      </c>
      <c r="K146" s="10">
        <f>IF(OR(G146="",H146="",G146&lt;=1),"",IF(J146&lt;IF(D146="Builder",MinEdgeBuilder,IF(D146="Player",MinEdgePlayer,MinEdgeSingle)),0,ROUND(MIN(IF(D146="Single",KellySingle,KellyBuilder)*(StartBank+SUM(P$1:P145))*J146/(G146-1),IF(D146="Builder",CapBuilder,CapSingle)*Unit),2)))</f>
        <v/>
      </c>
      <c r="L146" s="10" t="n"/>
      <c r="N146" s="10" t="n"/>
      <c r="O146" s="10">
        <f>IF(L146="","",IF(M146="Won",L146*G146,IF(M146="Void",L146,IF(M146="Cash out",N(N146),IF(M146="Lost",0,"")))))</f>
        <v/>
      </c>
      <c r="P146" s="10">
        <f>IF(OR(L146="",M146="",M146="Pending"),"",O146-L146)</f>
        <v/>
      </c>
      <c r="Q146" s="21" t="n"/>
      <c r="R146" s="11">
        <f>IF(OR(G146="",Q146=""),"",G146/Q146-1)</f>
        <v/>
      </c>
      <c r="S146" s="10">
        <f>IF(OR(L146="",J146=""),"",L146*J146)</f>
        <v/>
      </c>
      <c r="T146" s="10">
        <f>IF(P146="","",StartBank+SUM(P$2:P146))</f>
        <v/>
      </c>
    </row>
    <row r="147">
      <c r="A147" s="22" t="n"/>
      <c r="G147" s="21" t="n"/>
      <c r="H147" s="11" t="n"/>
      <c r="I147" s="21">
        <f>IF(OR(H147="",H147=0),"",1/H147)</f>
        <v/>
      </c>
      <c r="J147" s="11">
        <f>IF(OR(G147="",H147=""),"",H147*G147-1)</f>
        <v/>
      </c>
      <c r="K147" s="10">
        <f>IF(OR(G147="",H147="",G147&lt;=1),"",IF(J147&lt;IF(D147="Builder",MinEdgeBuilder,IF(D147="Player",MinEdgePlayer,MinEdgeSingle)),0,ROUND(MIN(IF(D147="Single",KellySingle,KellyBuilder)*(StartBank+SUM(P$1:P146))*J147/(G147-1),IF(D147="Builder",CapBuilder,CapSingle)*Unit),2)))</f>
        <v/>
      </c>
      <c r="L147" s="10" t="n"/>
      <c r="N147" s="10" t="n"/>
      <c r="O147" s="10">
        <f>IF(L147="","",IF(M147="Won",L147*G147,IF(M147="Void",L147,IF(M147="Cash out",N(N147),IF(M147="Lost",0,"")))))</f>
        <v/>
      </c>
      <c r="P147" s="10">
        <f>IF(OR(L147="",M147="",M147="Pending"),"",O147-L147)</f>
        <v/>
      </c>
      <c r="Q147" s="21" t="n"/>
      <c r="R147" s="11">
        <f>IF(OR(G147="",Q147=""),"",G147/Q147-1)</f>
        <v/>
      </c>
      <c r="S147" s="10">
        <f>IF(OR(L147="",J147=""),"",L147*J147)</f>
        <v/>
      </c>
      <c r="T147" s="10">
        <f>IF(P147="","",StartBank+SUM(P$2:P147))</f>
        <v/>
      </c>
    </row>
    <row r="148">
      <c r="A148" s="22" t="n"/>
      <c r="G148" s="21" t="n"/>
      <c r="H148" s="11" t="n"/>
      <c r="I148" s="21">
        <f>IF(OR(H148="",H148=0),"",1/H148)</f>
        <v/>
      </c>
      <c r="J148" s="11">
        <f>IF(OR(G148="",H148=""),"",H148*G148-1)</f>
        <v/>
      </c>
      <c r="K148" s="10">
        <f>IF(OR(G148="",H148="",G148&lt;=1),"",IF(J148&lt;IF(D148="Builder",MinEdgeBuilder,IF(D148="Player",MinEdgePlayer,MinEdgeSingle)),0,ROUND(MIN(IF(D148="Single",KellySingle,KellyBuilder)*(StartBank+SUM(P$1:P147))*J148/(G148-1),IF(D148="Builder",CapBuilder,CapSingle)*Unit),2)))</f>
        <v/>
      </c>
      <c r="L148" s="10" t="n"/>
      <c r="N148" s="10" t="n"/>
      <c r="O148" s="10">
        <f>IF(L148="","",IF(M148="Won",L148*G148,IF(M148="Void",L148,IF(M148="Cash out",N(N148),IF(M148="Lost",0,"")))))</f>
        <v/>
      </c>
      <c r="P148" s="10">
        <f>IF(OR(L148="",M148="",M148="Pending"),"",O148-L148)</f>
        <v/>
      </c>
      <c r="Q148" s="21" t="n"/>
      <c r="R148" s="11">
        <f>IF(OR(G148="",Q148=""),"",G148/Q148-1)</f>
        <v/>
      </c>
      <c r="S148" s="10">
        <f>IF(OR(L148="",J148=""),"",L148*J148)</f>
        <v/>
      </c>
      <c r="T148" s="10">
        <f>IF(P148="","",StartBank+SUM(P$2:P148))</f>
        <v/>
      </c>
    </row>
    <row r="149">
      <c r="A149" s="22" t="n"/>
      <c r="G149" s="21" t="n"/>
      <c r="H149" s="11" t="n"/>
      <c r="I149" s="21">
        <f>IF(OR(H149="",H149=0),"",1/H149)</f>
        <v/>
      </c>
      <c r="J149" s="11">
        <f>IF(OR(G149="",H149=""),"",H149*G149-1)</f>
        <v/>
      </c>
      <c r="K149" s="10">
        <f>IF(OR(G149="",H149="",G149&lt;=1),"",IF(J149&lt;IF(D149="Builder",MinEdgeBuilder,IF(D149="Player",MinEdgePlayer,MinEdgeSingle)),0,ROUND(MIN(IF(D149="Single",KellySingle,KellyBuilder)*(StartBank+SUM(P$1:P148))*J149/(G149-1),IF(D149="Builder",CapBuilder,CapSingle)*Unit),2)))</f>
        <v/>
      </c>
      <c r="L149" s="10" t="n"/>
      <c r="N149" s="10" t="n"/>
      <c r="O149" s="10">
        <f>IF(L149="","",IF(M149="Won",L149*G149,IF(M149="Void",L149,IF(M149="Cash out",N(N149),IF(M149="Lost",0,"")))))</f>
        <v/>
      </c>
      <c r="P149" s="10">
        <f>IF(OR(L149="",M149="",M149="Pending"),"",O149-L149)</f>
        <v/>
      </c>
      <c r="Q149" s="21" t="n"/>
      <c r="R149" s="11">
        <f>IF(OR(G149="",Q149=""),"",G149/Q149-1)</f>
        <v/>
      </c>
      <c r="S149" s="10">
        <f>IF(OR(L149="",J149=""),"",L149*J149)</f>
        <v/>
      </c>
      <c r="T149" s="10">
        <f>IF(P149="","",StartBank+SUM(P$2:P149))</f>
        <v/>
      </c>
    </row>
    <row r="150">
      <c r="A150" s="22" t="n"/>
      <c r="G150" s="21" t="n"/>
      <c r="H150" s="11" t="n"/>
      <c r="I150" s="21">
        <f>IF(OR(H150="",H150=0),"",1/H150)</f>
        <v/>
      </c>
      <c r="J150" s="11">
        <f>IF(OR(G150="",H150=""),"",H150*G150-1)</f>
        <v/>
      </c>
      <c r="K150" s="10">
        <f>IF(OR(G150="",H150="",G150&lt;=1),"",IF(J150&lt;IF(D150="Builder",MinEdgeBuilder,IF(D150="Player",MinEdgePlayer,MinEdgeSingle)),0,ROUND(MIN(IF(D150="Single",KellySingle,KellyBuilder)*(StartBank+SUM(P$1:P149))*J150/(G150-1),IF(D150="Builder",CapBuilder,CapSingle)*Unit),2)))</f>
        <v/>
      </c>
      <c r="L150" s="10" t="n"/>
      <c r="N150" s="10" t="n"/>
      <c r="O150" s="10">
        <f>IF(L150="","",IF(M150="Won",L150*G150,IF(M150="Void",L150,IF(M150="Cash out",N(N150),IF(M150="Lost",0,"")))))</f>
        <v/>
      </c>
      <c r="P150" s="10">
        <f>IF(OR(L150="",M150="",M150="Pending"),"",O150-L150)</f>
        <v/>
      </c>
      <c r="Q150" s="21" t="n"/>
      <c r="R150" s="11">
        <f>IF(OR(G150="",Q150=""),"",G150/Q150-1)</f>
        <v/>
      </c>
      <c r="S150" s="10">
        <f>IF(OR(L150="",J150=""),"",L150*J150)</f>
        <v/>
      </c>
      <c r="T150" s="10">
        <f>IF(P150="","",StartBank+SUM(P$2:P150))</f>
        <v/>
      </c>
    </row>
    <row r="151">
      <c r="A151" s="22" t="n"/>
      <c r="G151" s="21" t="n"/>
      <c r="H151" s="11" t="n"/>
      <c r="I151" s="21">
        <f>IF(OR(H151="",H151=0),"",1/H151)</f>
        <v/>
      </c>
      <c r="J151" s="11">
        <f>IF(OR(G151="",H151=""),"",H151*G151-1)</f>
        <v/>
      </c>
      <c r="K151" s="10">
        <f>IF(OR(G151="",H151="",G151&lt;=1),"",IF(J151&lt;IF(D151="Builder",MinEdgeBuilder,IF(D151="Player",MinEdgePlayer,MinEdgeSingle)),0,ROUND(MIN(IF(D151="Single",KellySingle,KellyBuilder)*(StartBank+SUM(P$1:P150))*J151/(G151-1),IF(D151="Builder",CapBuilder,CapSingle)*Unit),2)))</f>
        <v/>
      </c>
      <c r="L151" s="10" t="n"/>
      <c r="N151" s="10" t="n"/>
      <c r="O151" s="10">
        <f>IF(L151="","",IF(M151="Won",L151*G151,IF(M151="Void",L151,IF(M151="Cash out",N(N151),IF(M151="Lost",0,"")))))</f>
        <v/>
      </c>
      <c r="P151" s="10">
        <f>IF(OR(L151="",M151="",M151="Pending"),"",O151-L151)</f>
        <v/>
      </c>
      <c r="Q151" s="21" t="n"/>
      <c r="R151" s="11">
        <f>IF(OR(G151="",Q151=""),"",G151/Q151-1)</f>
        <v/>
      </c>
      <c r="S151" s="10">
        <f>IF(OR(L151="",J151=""),"",L151*J151)</f>
        <v/>
      </c>
      <c r="T151" s="10">
        <f>IF(P151="","",StartBank+SUM(P$2:P151))</f>
        <v/>
      </c>
    </row>
    <row r="152">
      <c r="A152" s="22" t="n"/>
      <c r="G152" s="21" t="n"/>
      <c r="H152" s="11" t="n"/>
      <c r="I152" s="21">
        <f>IF(OR(H152="",H152=0),"",1/H152)</f>
        <v/>
      </c>
      <c r="J152" s="11">
        <f>IF(OR(G152="",H152=""),"",H152*G152-1)</f>
        <v/>
      </c>
      <c r="K152" s="10">
        <f>IF(OR(G152="",H152="",G152&lt;=1),"",IF(J152&lt;IF(D152="Builder",MinEdgeBuilder,IF(D152="Player",MinEdgePlayer,MinEdgeSingle)),0,ROUND(MIN(IF(D152="Single",KellySingle,KellyBuilder)*(StartBank+SUM(P$1:P151))*J152/(G152-1),IF(D152="Builder",CapBuilder,CapSingle)*Unit),2)))</f>
        <v/>
      </c>
      <c r="L152" s="10" t="n"/>
      <c r="N152" s="10" t="n"/>
      <c r="O152" s="10">
        <f>IF(L152="","",IF(M152="Won",L152*G152,IF(M152="Void",L152,IF(M152="Cash out",N(N152),IF(M152="Lost",0,"")))))</f>
        <v/>
      </c>
      <c r="P152" s="10">
        <f>IF(OR(L152="",M152="",M152="Pending"),"",O152-L152)</f>
        <v/>
      </c>
      <c r="Q152" s="21" t="n"/>
      <c r="R152" s="11">
        <f>IF(OR(G152="",Q152=""),"",G152/Q152-1)</f>
        <v/>
      </c>
      <c r="S152" s="10">
        <f>IF(OR(L152="",J152=""),"",L152*J152)</f>
        <v/>
      </c>
      <c r="T152" s="10">
        <f>IF(P152="","",StartBank+SUM(P$2:P152))</f>
        <v/>
      </c>
    </row>
    <row r="153">
      <c r="A153" s="22" t="n"/>
      <c r="G153" s="21" t="n"/>
      <c r="H153" s="11" t="n"/>
      <c r="I153" s="21">
        <f>IF(OR(H153="",H153=0),"",1/H153)</f>
        <v/>
      </c>
      <c r="J153" s="11">
        <f>IF(OR(G153="",H153=""),"",H153*G153-1)</f>
        <v/>
      </c>
      <c r="K153" s="10">
        <f>IF(OR(G153="",H153="",G153&lt;=1),"",IF(J153&lt;IF(D153="Builder",MinEdgeBuilder,IF(D153="Player",MinEdgePlayer,MinEdgeSingle)),0,ROUND(MIN(IF(D153="Single",KellySingle,KellyBuilder)*(StartBank+SUM(P$1:P152))*J153/(G153-1),IF(D153="Builder",CapBuilder,CapSingle)*Unit),2)))</f>
        <v/>
      </c>
      <c r="L153" s="10" t="n"/>
      <c r="N153" s="10" t="n"/>
      <c r="O153" s="10">
        <f>IF(L153="","",IF(M153="Won",L153*G153,IF(M153="Void",L153,IF(M153="Cash out",N(N153),IF(M153="Lost",0,"")))))</f>
        <v/>
      </c>
      <c r="P153" s="10">
        <f>IF(OR(L153="",M153="",M153="Pending"),"",O153-L153)</f>
        <v/>
      </c>
      <c r="Q153" s="21" t="n"/>
      <c r="R153" s="11">
        <f>IF(OR(G153="",Q153=""),"",G153/Q153-1)</f>
        <v/>
      </c>
      <c r="S153" s="10">
        <f>IF(OR(L153="",J153=""),"",L153*J153)</f>
        <v/>
      </c>
      <c r="T153" s="10">
        <f>IF(P153="","",StartBank+SUM(P$2:P153))</f>
        <v/>
      </c>
    </row>
    <row r="154">
      <c r="A154" s="22" t="n"/>
      <c r="G154" s="21" t="n"/>
      <c r="H154" s="11" t="n"/>
      <c r="I154" s="21">
        <f>IF(OR(H154="",H154=0),"",1/H154)</f>
        <v/>
      </c>
      <c r="J154" s="11">
        <f>IF(OR(G154="",H154=""),"",H154*G154-1)</f>
        <v/>
      </c>
      <c r="K154" s="10">
        <f>IF(OR(G154="",H154="",G154&lt;=1),"",IF(J154&lt;IF(D154="Builder",MinEdgeBuilder,IF(D154="Player",MinEdgePlayer,MinEdgeSingle)),0,ROUND(MIN(IF(D154="Single",KellySingle,KellyBuilder)*(StartBank+SUM(P$1:P153))*J154/(G154-1),IF(D154="Builder",CapBuilder,CapSingle)*Unit),2)))</f>
        <v/>
      </c>
      <c r="L154" s="10" t="n"/>
      <c r="N154" s="10" t="n"/>
      <c r="O154" s="10">
        <f>IF(L154="","",IF(M154="Won",L154*G154,IF(M154="Void",L154,IF(M154="Cash out",N(N154),IF(M154="Lost",0,"")))))</f>
        <v/>
      </c>
      <c r="P154" s="10">
        <f>IF(OR(L154="",M154="",M154="Pending"),"",O154-L154)</f>
        <v/>
      </c>
      <c r="Q154" s="21" t="n"/>
      <c r="R154" s="11">
        <f>IF(OR(G154="",Q154=""),"",G154/Q154-1)</f>
        <v/>
      </c>
      <c r="S154" s="10">
        <f>IF(OR(L154="",J154=""),"",L154*J154)</f>
        <v/>
      </c>
      <c r="T154" s="10">
        <f>IF(P154="","",StartBank+SUM(P$2:P154))</f>
        <v/>
      </c>
    </row>
    <row r="155">
      <c r="A155" s="22" t="n"/>
      <c r="G155" s="21" t="n"/>
      <c r="H155" s="11" t="n"/>
      <c r="I155" s="21">
        <f>IF(OR(H155="",H155=0),"",1/H155)</f>
        <v/>
      </c>
      <c r="J155" s="11">
        <f>IF(OR(G155="",H155=""),"",H155*G155-1)</f>
        <v/>
      </c>
      <c r="K155" s="10">
        <f>IF(OR(G155="",H155="",G155&lt;=1),"",IF(J155&lt;IF(D155="Builder",MinEdgeBuilder,IF(D155="Player",MinEdgePlayer,MinEdgeSingle)),0,ROUND(MIN(IF(D155="Single",KellySingle,KellyBuilder)*(StartBank+SUM(P$1:P154))*J155/(G155-1),IF(D155="Builder",CapBuilder,CapSingle)*Unit),2)))</f>
        <v/>
      </c>
      <c r="L155" s="10" t="n"/>
      <c r="N155" s="10" t="n"/>
      <c r="O155" s="10">
        <f>IF(L155="","",IF(M155="Won",L155*G155,IF(M155="Void",L155,IF(M155="Cash out",N(N155),IF(M155="Lost",0,"")))))</f>
        <v/>
      </c>
      <c r="P155" s="10">
        <f>IF(OR(L155="",M155="",M155="Pending"),"",O155-L155)</f>
        <v/>
      </c>
      <c r="Q155" s="21" t="n"/>
      <c r="R155" s="11">
        <f>IF(OR(G155="",Q155=""),"",G155/Q155-1)</f>
        <v/>
      </c>
      <c r="S155" s="10">
        <f>IF(OR(L155="",J155=""),"",L155*J155)</f>
        <v/>
      </c>
      <c r="T155" s="10">
        <f>IF(P155="","",StartBank+SUM(P$2:P155))</f>
        <v/>
      </c>
    </row>
    <row r="156">
      <c r="A156" s="22" t="n"/>
      <c r="G156" s="21" t="n"/>
      <c r="H156" s="11" t="n"/>
      <c r="I156" s="21">
        <f>IF(OR(H156="",H156=0),"",1/H156)</f>
        <v/>
      </c>
      <c r="J156" s="11">
        <f>IF(OR(G156="",H156=""),"",H156*G156-1)</f>
        <v/>
      </c>
      <c r="K156" s="10">
        <f>IF(OR(G156="",H156="",G156&lt;=1),"",IF(J156&lt;IF(D156="Builder",MinEdgeBuilder,IF(D156="Player",MinEdgePlayer,MinEdgeSingle)),0,ROUND(MIN(IF(D156="Single",KellySingle,KellyBuilder)*(StartBank+SUM(P$1:P155))*J156/(G156-1),IF(D156="Builder",CapBuilder,CapSingle)*Unit),2)))</f>
        <v/>
      </c>
      <c r="L156" s="10" t="n"/>
      <c r="N156" s="10" t="n"/>
      <c r="O156" s="10">
        <f>IF(L156="","",IF(M156="Won",L156*G156,IF(M156="Void",L156,IF(M156="Cash out",N(N156),IF(M156="Lost",0,"")))))</f>
        <v/>
      </c>
      <c r="P156" s="10">
        <f>IF(OR(L156="",M156="",M156="Pending"),"",O156-L156)</f>
        <v/>
      </c>
      <c r="Q156" s="21" t="n"/>
      <c r="R156" s="11">
        <f>IF(OR(G156="",Q156=""),"",G156/Q156-1)</f>
        <v/>
      </c>
      <c r="S156" s="10">
        <f>IF(OR(L156="",J156=""),"",L156*J156)</f>
        <v/>
      </c>
      <c r="T156" s="10">
        <f>IF(P156="","",StartBank+SUM(P$2:P156))</f>
        <v/>
      </c>
    </row>
    <row r="157">
      <c r="A157" s="22" t="n"/>
      <c r="G157" s="21" t="n"/>
      <c r="H157" s="11" t="n"/>
      <c r="I157" s="21">
        <f>IF(OR(H157="",H157=0),"",1/H157)</f>
        <v/>
      </c>
      <c r="J157" s="11">
        <f>IF(OR(G157="",H157=""),"",H157*G157-1)</f>
        <v/>
      </c>
      <c r="K157" s="10">
        <f>IF(OR(G157="",H157="",G157&lt;=1),"",IF(J157&lt;IF(D157="Builder",MinEdgeBuilder,IF(D157="Player",MinEdgePlayer,MinEdgeSingle)),0,ROUND(MIN(IF(D157="Single",KellySingle,KellyBuilder)*(StartBank+SUM(P$1:P156))*J157/(G157-1),IF(D157="Builder",CapBuilder,CapSingle)*Unit),2)))</f>
        <v/>
      </c>
      <c r="L157" s="10" t="n"/>
      <c r="N157" s="10" t="n"/>
      <c r="O157" s="10">
        <f>IF(L157="","",IF(M157="Won",L157*G157,IF(M157="Void",L157,IF(M157="Cash out",N(N157),IF(M157="Lost",0,"")))))</f>
        <v/>
      </c>
      <c r="P157" s="10">
        <f>IF(OR(L157="",M157="",M157="Pending"),"",O157-L157)</f>
        <v/>
      </c>
      <c r="Q157" s="21" t="n"/>
      <c r="R157" s="11">
        <f>IF(OR(G157="",Q157=""),"",G157/Q157-1)</f>
        <v/>
      </c>
      <c r="S157" s="10">
        <f>IF(OR(L157="",J157=""),"",L157*J157)</f>
        <v/>
      </c>
      <c r="T157" s="10">
        <f>IF(P157="","",StartBank+SUM(P$2:P157))</f>
        <v/>
      </c>
    </row>
    <row r="158">
      <c r="A158" s="22" t="n"/>
      <c r="G158" s="21" t="n"/>
      <c r="H158" s="11" t="n"/>
      <c r="I158" s="21">
        <f>IF(OR(H158="",H158=0),"",1/H158)</f>
        <v/>
      </c>
      <c r="J158" s="11">
        <f>IF(OR(G158="",H158=""),"",H158*G158-1)</f>
        <v/>
      </c>
      <c r="K158" s="10">
        <f>IF(OR(G158="",H158="",G158&lt;=1),"",IF(J158&lt;IF(D158="Builder",MinEdgeBuilder,IF(D158="Player",MinEdgePlayer,MinEdgeSingle)),0,ROUND(MIN(IF(D158="Single",KellySingle,KellyBuilder)*(StartBank+SUM(P$1:P157))*J158/(G158-1),IF(D158="Builder",CapBuilder,CapSingle)*Unit),2)))</f>
        <v/>
      </c>
      <c r="L158" s="10" t="n"/>
      <c r="N158" s="10" t="n"/>
      <c r="O158" s="10">
        <f>IF(L158="","",IF(M158="Won",L158*G158,IF(M158="Void",L158,IF(M158="Cash out",N(N158),IF(M158="Lost",0,"")))))</f>
        <v/>
      </c>
      <c r="P158" s="10">
        <f>IF(OR(L158="",M158="",M158="Pending"),"",O158-L158)</f>
        <v/>
      </c>
      <c r="Q158" s="21" t="n"/>
      <c r="R158" s="11">
        <f>IF(OR(G158="",Q158=""),"",G158/Q158-1)</f>
        <v/>
      </c>
      <c r="S158" s="10">
        <f>IF(OR(L158="",J158=""),"",L158*J158)</f>
        <v/>
      </c>
      <c r="T158" s="10">
        <f>IF(P158="","",StartBank+SUM(P$2:P158))</f>
        <v/>
      </c>
    </row>
    <row r="159">
      <c r="A159" s="22" t="n"/>
      <c r="G159" s="21" t="n"/>
      <c r="H159" s="11" t="n"/>
      <c r="I159" s="21">
        <f>IF(OR(H159="",H159=0),"",1/H159)</f>
        <v/>
      </c>
      <c r="J159" s="11">
        <f>IF(OR(G159="",H159=""),"",H159*G159-1)</f>
        <v/>
      </c>
      <c r="K159" s="10">
        <f>IF(OR(G159="",H159="",G159&lt;=1),"",IF(J159&lt;IF(D159="Builder",MinEdgeBuilder,IF(D159="Player",MinEdgePlayer,MinEdgeSingle)),0,ROUND(MIN(IF(D159="Single",KellySingle,KellyBuilder)*(StartBank+SUM(P$1:P158))*J159/(G159-1),IF(D159="Builder",CapBuilder,CapSingle)*Unit),2)))</f>
        <v/>
      </c>
      <c r="L159" s="10" t="n"/>
      <c r="N159" s="10" t="n"/>
      <c r="O159" s="10">
        <f>IF(L159="","",IF(M159="Won",L159*G159,IF(M159="Void",L159,IF(M159="Cash out",N(N159),IF(M159="Lost",0,"")))))</f>
        <v/>
      </c>
      <c r="P159" s="10">
        <f>IF(OR(L159="",M159="",M159="Pending"),"",O159-L159)</f>
        <v/>
      </c>
      <c r="Q159" s="21" t="n"/>
      <c r="R159" s="11">
        <f>IF(OR(G159="",Q159=""),"",G159/Q159-1)</f>
        <v/>
      </c>
      <c r="S159" s="10">
        <f>IF(OR(L159="",J159=""),"",L159*J159)</f>
        <v/>
      </c>
      <c r="T159" s="10">
        <f>IF(P159="","",StartBank+SUM(P$2:P159))</f>
        <v/>
      </c>
    </row>
    <row r="160">
      <c r="A160" s="22" t="n"/>
      <c r="G160" s="21" t="n"/>
      <c r="H160" s="11" t="n"/>
      <c r="I160" s="21">
        <f>IF(OR(H160="",H160=0),"",1/H160)</f>
        <v/>
      </c>
      <c r="J160" s="11">
        <f>IF(OR(G160="",H160=""),"",H160*G160-1)</f>
        <v/>
      </c>
      <c r="K160" s="10">
        <f>IF(OR(G160="",H160="",G160&lt;=1),"",IF(J160&lt;IF(D160="Builder",MinEdgeBuilder,IF(D160="Player",MinEdgePlayer,MinEdgeSingle)),0,ROUND(MIN(IF(D160="Single",KellySingle,KellyBuilder)*(StartBank+SUM(P$1:P159))*J160/(G160-1),IF(D160="Builder",CapBuilder,CapSingle)*Unit),2)))</f>
        <v/>
      </c>
      <c r="L160" s="10" t="n"/>
      <c r="N160" s="10" t="n"/>
      <c r="O160" s="10">
        <f>IF(L160="","",IF(M160="Won",L160*G160,IF(M160="Void",L160,IF(M160="Cash out",N(N160),IF(M160="Lost",0,"")))))</f>
        <v/>
      </c>
      <c r="P160" s="10">
        <f>IF(OR(L160="",M160="",M160="Pending"),"",O160-L160)</f>
        <v/>
      </c>
      <c r="Q160" s="21" t="n"/>
      <c r="R160" s="11">
        <f>IF(OR(G160="",Q160=""),"",G160/Q160-1)</f>
        <v/>
      </c>
      <c r="S160" s="10">
        <f>IF(OR(L160="",J160=""),"",L160*J160)</f>
        <v/>
      </c>
      <c r="T160" s="10">
        <f>IF(P160="","",StartBank+SUM(P$2:P160))</f>
        <v/>
      </c>
    </row>
    <row r="161">
      <c r="A161" s="22" t="n"/>
      <c r="G161" s="21" t="n"/>
      <c r="H161" s="11" t="n"/>
      <c r="I161" s="21">
        <f>IF(OR(H161="",H161=0),"",1/H161)</f>
        <v/>
      </c>
      <c r="J161" s="11">
        <f>IF(OR(G161="",H161=""),"",H161*G161-1)</f>
        <v/>
      </c>
      <c r="K161" s="10">
        <f>IF(OR(G161="",H161="",G161&lt;=1),"",IF(J161&lt;IF(D161="Builder",MinEdgeBuilder,IF(D161="Player",MinEdgePlayer,MinEdgeSingle)),0,ROUND(MIN(IF(D161="Single",KellySingle,KellyBuilder)*(StartBank+SUM(P$1:P160))*J161/(G161-1),IF(D161="Builder",CapBuilder,CapSingle)*Unit),2)))</f>
        <v/>
      </c>
      <c r="L161" s="10" t="n"/>
      <c r="N161" s="10" t="n"/>
      <c r="O161" s="10">
        <f>IF(L161="","",IF(M161="Won",L161*G161,IF(M161="Void",L161,IF(M161="Cash out",N(N161),IF(M161="Lost",0,"")))))</f>
        <v/>
      </c>
      <c r="P161" s="10">
        <f>IF(OR(L161="",M161="",M161="Pending"),"",O161-L161)</f>
        <v/>
      </c>
      <c r="Q161" s="21" t="n"/>
      <c r="R161" s="11">
        <f>IF(OR(G161="",Q161=""),"",G161/Q161-1)</f>
        <v/>
      </c>
      <c r="S161" s="10">
        <f>IF(OR(L161="",J161=""),"",L161*J161)</f>
        <v/>
      </c>
      <c r="T161" s="10">
        <f>IF(P161="","",StartBank+SUM(P$2:P161))</f>
        <v/>
      </c>
    </row>
    <row r="162">
      <c r="A162" s="22" t="n"/>
      <c r="G162" s="21" t="n"/>
      <c r="H162" s="11" t="n"/>
      <c r="I162" s="21">
        <f>IF(OR(H162="",H162=0),"",1/H162)</f>
        <v/>
      </c>
      <c r="J162" s="11">
        <f>IF(OR(G162="",H162=""),"",H162*G162-1)</f>
        <v/>
      </c>
      <c r="K162" s="10">
        <f>IF(OR(G162="",H162="",G162&lt;=1),"",IF(J162&lt;IF(D162="Builder",MinEdgeBuilder,IF(D162="Player",MinEdgePlayer,MinEdgeSingle)),0,ROUND(MIN(IF(D162="Single",KellySingle,KellyBuilder)*(StartBank+SUM(P$1:P161))*J162/(G162-1),IF(D162="Builder",CapBuilder,CapSingle)*Unit),2)))</f>
        <v/>
      </c>
      <c r="L162" s="10" t="n"/>
      <c r="N162" s="10" t="n"/>
      <c r="O162" s="10">
        <f>IF(L162="","",IF(M162="Won",L162*G162,IF(M162="Void",L162,IF(M162="Cash out",N(N162),IF(M162="Lost",0,"")))))</f>
        <v/>
      </c>
      <c r="P162" s="10">
        <f>IF(OR(L162="",M162="",M162="Pending"),"",O162-L162)</f>
        <v/>
      </c>
      <c r="Q162" s="21" t="n"/>
      <c r="R162" s="11">
        <f>IF(OR(G162="",Q162=""),"",G162/Q162-1)</f>
        <v/>
      </c>
      <c r="S162" s="10">
        <f>IF(OR(L162="",J162=""),"",L162*J162)</f>
        <v/>
      </c>
      <c r="T162" s="10">
        <f>IF(P162="","",StartBank+SUM(P$2:P162))</f>
        <v/>
      </c>
    </row>
    <row r="163">
      <c r="A163" s="22" t="n"/>
      <c r="G163" s="21" t="n"/>
      <c r="H163" s="11" t="n"/>
      <c r="I163" s="21">
        <f>IF(OR(H163="",H163=0),"",1/H163)</f>
        <v/>
      </c>
      <c r="J163" s="11">
        <f>IF(OR(G163="",H163=""),"",H163*G163-1)</f>
        <v/>
      </c>
      <c r="K163" s="10">
        <f>IF(OR(G163="",H163="",G163&lt;=1),"",IF(J163&lt;IF(D163="Builder",MinEdgeBuilder,IF(D163="Player",MinEdgePlayer,MinEdgeSingle)),0,ROUND(MIN(IF(D163="Single",KellySingle,KellyBuilder)*(StartBank+SUM(P$1:P162))*J163/(G163-1),IF(D163="Builder",CapBuilder,CapSingle)*Unit),2)))</f>
        <v/>
      </c>
      <c r="L163" s="10" t="n"/>
      <c r="N163" s="10" t="n"/>
      <c r="O163" s="10">
        <f>IF(L163="","",IF(M163="Won",L163*G163,IF(M163="Void",L163,IF(M163="Cash out",N(N163),IF(M163="Lost",0,"")))))</f>
        <v/>
      </c>
      <c r="P163" s="10">
        <f>IF(OR(L163="",M163="",M163="Pending"),"",O163-L163)</f>
        <v/>
      </c>
      <c r="Q163" s="21" t="n"/>
      <c r="R163" s="11">
        <f>IF(OR(G163="",Q163=""),"",G163/Q163-1)</f>
        <v/>
      </c>
      <c r="S163" s="10">
        <f>IF(OR(L163="",J163=""),"",L163*J163)</f>
        <v/>
      </c>
      <c r="T163" s="10">
        <f>IF(P163="","",StartBank+SUM(P$2:P163))</f>
        <v/>
      </c>
    </row>
    <row r="164">
      <c r="A164" s="22" t="n"/>
      <c r="G164" s="21" t="n"/>
      <c r="H164" s="11" t="n"/>
      <c r="I164" s="21">
        <f>IF(OR(H164="",H164=0),"",1/H164)</f>
        <v/>
      </c>
      <c r="J164" s="11">
        <f>IF(OR(G164="",H164=""),"",H164*G164-1)</f>
        <v/>
      </c>
      <c r="K164" s="10">
        <f>IF(OR(G164="",H164="",G164&lt;=1),"",IF(J164&lt;IF(D164="Builder",MinEdgeBuilder,IF(D164="Player",MinEdgePlayer,MinEdgeSingle)),0,ROUND(MIN(IF(D164="Single",KellySingle,KellyBuilder)*(StartBank+SUM(P$1:P163))*J164/(G164-1),IF(D164="Builder",CapBuilder,CapSingle)*Unit),2)))</f>
        <v/>
      </c>
      <c r="L164" s="10" t="n"/>
      <c r="N164" s="10" t="n"/>
      <c r="O164" s="10">
        <f>IF(L164="","",IF(M164="Won",L164*G164,IF(M164="Void",L164,IF(M164="Cash out",N(N164),IF(M164="Lost",0,"")))))</f>
        <v/>
      </c>
      <c r="P164" s="10">
        <f>IF(OR(L164="",M164="",M164="Pending"),"",O164-L164)</f>
        <v/>
      </c>
      <c r="Q164" s="21" t="n"/>
      <c r="R164" s="11">
        <f>IF(OR(G164="",Q164=""),"",G164/Q164-1)</f>
        <v/>
      </c>
      <c r="S164" s="10">
        <f>IF(OR(L164="",J164=""),"",L164*J164)</f>
        <v/>
      </c>
      <c r="T164" s="10">
        <f>IF(P164="","",StartBank+SUM(P$2:P164))</f>
        <v/>
      </c>
    </row>
    <row r="165">
      <c r="A165" s="22" t="n"/>
      <c r="G165" s="21" t="n"/>
      <c r="H165" s="11" t="n"/>
      <c r="I165" s="21">
        <f>IF(OR(H165="",H165=0),"",1/H165)</f>
        <v/>
      </c>
      <c r="J165" s="11">
        <f>IF(OR(G165="",H165=""),"",H165*G165-1)</f>
        <v/>
      </c>
      <c r="K165" s="10">
        <f>IF(OR(G165="",H165="",G165&lt;=1),"",IF(J165&lt;IF(D165="Builder",MinEdgeBuilder,IF(D165="Player",MinEdgePlayer,MinEdgeSingle)),0,ROUND(MIN(IF(D165="Single",KellySingle,KellyBuilder)*(StartBank+SUM(P$1:P164))*J165/(G165-1),IF(D165="Builder",CapBuilder,CapSingle)*Unit),2)))</f>
        <v/>
      </c>
      <c r="L165" s="10" t="n"/>
      <c r="N165" s="10" t="n"/>
      <c r="O165" s="10">
        <f>IF(L165="","",IF(M165="Won",L165*G165,IF(M165="Void",L165,IF(M165="Cash out",N(N165),IF(M165="Lost",0,"")))))</f>
        <v/>
      </c>
      <c r="P165" s="10">
        <f>IF(OR(L165="",M165="",M165="Pending"),"",O165-L165)</f>
        <v/>
      </c>
      <c r="Q165" s="21" t="n"/>
      <c r="R165" s="11">
        <f>IF(OR(G165="",Q165=""),"",G165/Q165-1)</f>
        <v/>
      </c>
      <c r="S165" s="10">
        <f>IF(OR(L165="",J165=""),"",L165*J165)</f>
        <v/>
      </c>
      <c r="T165" s="10">
        <f>IF(P165="","",StartBank+SUM(P$2:P165))</f>
        <v/>
      </c>
    </row>
    <row r="166">
      <c r="A166" s="22" t="n"/>
      <c r="G166" s="21" t="n"/>
      <c r="H166" s="11" t="n"/>
      <c r="I166" s="21">
        <f>IF(OR(H166="",H166=0),"",1/H166)</f>
        <v/>
      </c>
      <c r="J166" s="11">
        <f>IF(OR(G166="",H166=""),"",H166*G166-1)</f>
        <v/>
      </c>
      <c r="K166" s="10">
        <f>IF(OR(G166="",H166="",G166&lt;=1),"",IF(J166&lt;IF(D166="Builder",MinEdgeBuilder,IF(D166="Player",MinEdgePlayer,MinEdgeSingle)),0,ROUND(MIN(IF(D166="Single",KellySingle,KellyBuilder)*(StartBank+SUM(P$1:P165))*J166/(G166-1),IF(D166="Builder",CapBuilder,CapSingle)*Unit),2)))</f>
        <v/>
      </c>
      <c r="L166" s="10" t="n"/>
      <c r="N166" s="10" t="n"/>
      <c r="O166" s="10">
        <f>IF(L166="","",IF(M166="Won",L166*G166,IF(M166="Void",L166,IF(M166="Cash out",N(N166),IF(M166="Lost",0,"")))))</f>
        <v/>
      </c>
      <c r="P166" s="10">
        <f>IF(OR(L166="",M166="",M166="Pending"),"",O166-L166)</f>
        <v/>
      </c>
      <c r="Q166" s="21" t="n"/>
      <c r="R166" s="11">
        <f>IF(OR(G166="",Q166=""),"",G166/Q166-1)</f>
        <v/>
      </c>
      <c r="S166" s="10">
        <f>IF(OR(L166="",J166=""),"",L166*J166)</f>
        <v/>
      </c>
      <c r="T166" s="10">
        <f>IF(P166="","",StartBank+SUM(P$2:P166))</f>
        <v/>
      </c>
    </row>
    <row r="167">
      <c r="A167" s="22" t="n"/>
      <c r="G167" s="21" t="n"/>
      <c r="H167" s="11" t="n"/>
      <c r="I167" s="21">
        <f>IF(OR(H167="",H167=0),"",1/H167)</f>
        <v/>
      </c>
      <c r="J167" s="11">
        <f>IF(OR(G167="",H167=""),"",H167*G167-1)</f>
        <v/>
      </c>
      <c r="K167" s="10">
        <f>IF(OR(G167="",H167="",G167&lt;=1),"",IF(J167&lt;IF(D167="Builder",MinEdgeBuilder,IF(D167="Player",MinEdgePlayer,MinEdgeSingle)),0,ROUND(MIN(IF(D167="Single",KellySingle,KellyBuilder)*(StartBank+SUM(P$1:P166))*J167/(G167-1),IF(D167="Builder",CapBuilder,CapSingle)*Unit),2)))</f>
        <v/>
      </c>
      <c r="L167" s="10" t="n"/>
      <c r="N167" s="10" t="n"/>
      <c r="O167" s="10">
        <f>IF(L167="","",IF(M167="Won",L167*G167,IF(M167="Void",L167,IF(M167="Cash out",N(N167),IF(M167="Lost",0,"")))))</f>
        <v/>
      </c>
      <c r="P167" s="10">
        <f>IF(OR(L167="",M167="",M167="Pending"),"",O167-L167)</f>
        <v/>
      </c>
      <c r="Q167" s="21" t="n"/>
      <c r="R167" s="11">
        <f>IF(OR(G167="",Q167=""),"",G167/Q167-1)</f>
        <v/>
      </c>
      <c r="S167" s="10">
        <f>IF(OR(L167="",J167=""),"",L167*J167)</f>
        <v/>
      </c>
      <c r="T167" s="10">
        <f>IF(P167="","",StartBank+SUM(P$2:P167))</f>
        <v/>
      </c>
    </row>
    <row r="168">
      <c r="A168" s="22" t="n"/>
      <c r="G168" s="21" t="n"/>
      <c r="H168" s="11" t="n"/>
      <c r="I168" s="21">
        <f>IF(OR(H168="",H168=0),"",1/H168)</f>
        <v/>
      </c>
      <c r="J168" s="11">
        <f>IF(OR(G168="",H168=""),"",H168*G168-1)</f>
        <v/>
      </c>
      <c r="K168" s="10">
        <f>IF(OR(G168="",H168="",G168&lt;=1),"",IF(J168&lt;IF(D168="Builder",MinEdgeBuilder,IF(D168="Player",MinEdgePlayer,MinEdgeSingle)),0,ROUND(MIN(IF(D168="Single",KellySingle,KellyBuilder)*(StartBank+SUM(P$1:P167))*J168/(G168-1),IF(D168="Builder",CapBuilder,CapSingle)*Unit),2)))</f>
        <v/>
      </c>
      <c r="L168" s="10" t="n"/>
      <c r="N168" s="10" t="n"/>
      <c r="O168" s="10">
        <f>IF(L168="","",IF(M168="Won",L168*G168,IF(M168="Void",L168,IF(M168="Cash out",N(N168),IF(M168="Lost",0,"")))))</f>
        <v/>
      </c>
      <c r="P168" s="10">
        <f>IF(OR(L168="",M168="",M168="Pending"),"",O168-L168)</f>
        <v/>
      </c>
      <c r="Q168" s="21" t="n"/>
      <c r="R168" s="11">
        <f>IF(OR(G168="",Q168=""),"",G168/Q168-1)</f>
        <v/>
      </c>
      <c r="S168" s="10">
        <f>IF(OR(L168="",J168=""),"",L168*J168)</f>
        <v/>
      </c>
      <c r="T168" s="10">
        <f>IF(P168="","",StartBank+SUM(P$2:P168))</f>
        <v/>
      </c>
    </row>
    <row r="169">
      <c r="A169" s="22" t="n"/>
      <c r="G169" s="21" t="n"/>
      <c r="H169" s="11" t="n"/>
      <c r="I169" s="21">
        <f>IF(OR(H169="",H169=0),"",1/H169)</f>
        <v/>
      </c>
      <c r="J169" s="11">
        <f>IF(OR(G169="",H169=""),"",H169*G169-1)</f>
        <v/>
      </c>
      <c r="K169" s="10">
        <f>IF(OR(G169="",H169="",G169&lt;=1),"",IF(J169&lt;IF(D169="Builder",MinEdgeBuilder,IF(D169="Player",MinEdgePlayer,MinEdgeSingle)),0,ROUND(MIN(IF(D169="Single",KellySingle,KellyBuilder)*(StartBank+SUM(P$1:P168))*J169/(G169-1),IF(D169="Builder",CapBuilder,CapSingle)*Unit),2)))</f>
        <v/>
      </c>
      <c r="L169" s="10" t="n"/>
      <c r="N169" s="10" t="n"/>
      <c r="O169" s="10">
        <f>IF(L169="","",IF(M169="Won",L169*G169,IF(M169="Void",L169,IF(M169="Cash out",N(N169),IF(M169="Lost",0,"")))))</f>
        <v/>
      </c>
      <c r="P169" s="10">
        <f>IF(OR(L169="",M169="",M169="Pending"),"",O169-L169)</f>
        <v/>
      </c>
      <c r="Q169" s="21" t="n"/>
      <c r="R169" s="11">
        <f>IF(OR(G169="",Q169=""),"",G169/Q169-1)</f>
        <v/>
      </c>
      <c r="S169" s="10">
        <f>IF(OR(L169="",J169=""),"",L169*J169)</f>
        <v/>
      </c>
      <c r="T169" s="10">
        <f>IF(P169="","",StartBank+SUM(P$2:P169))</f>
        <v/>
      </c>
    </row>
    <row r="170">
      <c r="A170" s="22" t="n"/>
      <c r="G170" s="21" t="n"/>
      <c r="H170" s="11" t="n"/>
      <c r="I170" s="21">
        <f>IF(OR(H170="",H170=0),"",1/H170)</f>
        <v/>
      </c>
      <c r="J170" s="11">
        <f>IF(OR(G170="",H170=""),"",H170*G170-1)</f>
        <v/>
      </c>
      <c r="K170" s="10">
        <f>IF(OR(G170="",H170="",G170&lt;=1),"",IF(J170&lt;IF(D170="Builder",MinEdgeBuilder,IF(D170="Player",MinEdgePlayer,MinEdgeSingle)),0,ROUND(MIN(IF(D170="Single",KellySingle,KellyBuilder)*(StartBank+SUM(P$1:P169))*J170/(G170-1),IF(D170="Builder",CapBuilder,CapSingle)*Unit),2)))</f>
        <v/>
      </c>
      <c r="L170" s="10" t="n"/>
      <c r="N170" s="10" t="n"/>
      <c r="O170" s="10">
        <f>IF(L170="","",IF(M170="Won",L170*G170,IF(M170="Void",L170,IF(M170="Cash out",N(N170),IF(M170="Lost",0,"")))))</f>
        <v/>
      </c>
      <c r="P170" s="10">
        <f>IF(OR(L170="",M170="",M170="Pending"),"",O170-L170)</f>
        <v/>
      </c>
      <c r="Q170" s="21" t="n"/>
      <c r="R170" s="11">
        <f>IF(OR(G170="",Q170=""),"",G170/Q170-1)</f>
        <v/>
      </c>
      <c r="S170" s="10">
        <f>IF(OR(L170="",J170=""),"",L170*J170)</f>
        <v/>
      </c>
      <c r="T170" s="10">
        <f>IF(P170="","",StartBank+SUM(P$2:P170))</f>
        <v/>
      </c>
    </row>
    <row r="171">
      <c r="A171" s="22" t="n"/>
      <c r="G171" s="21" t="n"/>
      <c r="H171" s="11" t="n"/>
      <c r="I171" s="21">
        <f>IF(OR(H171="",H171=0),"",1/H171)</f>
        <v/>
      </c>
      <c r="J171" s="11">
        <f>IF(OR(G171="",H171=""),"",H171*G171-1)</f>
        <v/>
      </c>
      <c r="K171" s="10">
        <f>IF(OR(G171="",H171="",G171&lt;=1),"",IF(J171&lt;IF(D171="Builder",MinEdgeBuilder,IF(D171="Player",MinEdgePlayer,MinEdgeSingle)),0,ROUND(MIN(IF(D171="Single",KellySingle,KellyBuilder)*(StartBank+SUM(P$1:P170))*J171/(G171-1),IF(D171="Builder",CapBuilder,CapSingle)*Unit),2)))</f>
        <v/>
      </c>
      <c r="L171" s="10" t="n"/>
      <c r="N171" s="10" t="n"/>
      <c r="O171" s="10">
        <f>IF(L171="","",IF(M171="Won",L171*G171,IF(M171="Void",L171,IF(M171="Cash out",N(N171),IF(M171="Lost",0,"")))))</f>
        <v/>
      </c>
      <c r="P171" s="10">
        <f>IF(OR(L171="",M171="",M171="Pending"),"",O171-L171)</f>
        <v/>
      </c>
      <c r="Q171" s="21" t="n"/>
      <c r="R171" s="11">
        <f>IF(OR(G171="",Q171=""),"",G171/Q171-1)</f>
        <v/>
      </c>
      <c r="S171" s="10">
        <f>IF(OR(L171="",J171=""),"",L171*J171)</f>
        <v/>
      </c>
      <c r="T171" s="10">
        <f>IF(P171="","",StartBank+SUM(P$2:P171))</f>
        <v/>
      </c>
    </row>
    <row r="172">
      <c r="A172" s="22" t="n"/>
      <c r="G172" s="21" t="n"/>
      <c r="H172" s="11" t="n"/>
      <c r="I172" s="21">
        <f>IF(OR(H172="",H172=0),"",1/H172)</f>
        <v/>
      </c>
      <c r="J172" s="11">
        <f>IF(OR(G172="",H172=""),"",H172*G172-1)</f>
        <v/>
      </c>
      <c r="K172" s="10">
        <f>IF(OR(G172="",H172="",G172&lt;=1),"",IF(J172&lt;IF(D172="Builder",MinEdgeBuilder,IF(D172="Player",MinEdgePlayer,MinEdgeSingle)),0,ROUND(MIN(IF(D172="Single",KellySingle,KellyBuilder)*(StartBank+SUM(P$1:P171))*J172/(G172-1),IF(D172="Builder",CapBuilder,CapSingle)*Unit),2)))</f>
        <v/>
      </c>
      <c r="L172" s="10" t="n"/>
      <c r="N172" s="10" t="n"/>
      <c r="O172" s="10">
        <f>IF(L172="","",IF(M172="Won",L172*G172,IF(M172="Void",L172,IF(M172="Cash out",N(N172),IF(M172="Lost",0,"")))))</f>
        <v/>
      </c>
      <c r="P172" s="10">
        <f>IF(OR(L172="",M172="",M172="Pending"),"",O172-L172)</f>
        <v/>
      </c>
      <c r="Q172" s="21" t="n"/>
      <c r="R172" s="11">
        <f>IF(OR(G172="",Q172=""),"",G172/Q172-1)</f>
        <v/>
      </c>
      <c r="S172" s="10">
        <f>IF(OR(L172="",J172=""),"",L172*J172)</f>
        <v/>
      </c>
      <c r="T172" s="10">
        <f>IF(P172="","",StartBank+SUM(P$2:P172))</f>
        <v/>
      </c>
    </row>
    <row r="173">
      <c r="A173" s="22" t="n"/>
      <c r="G173" s="21" t="n"/>
      <c r="H173" s="11" t="n"/>
      <c r="I173" s="21">
        <f>IF(OR(H173="",H173=0),"",1/H173)</f>
        <v/>
      </c>
      <c r="J173" s="11">
        <f>IF(OR(G173="",H173=""),"",H173*G173-1)</f>
        <v/>
      </c>
      <c r="K173" s="10">
        <f>IF(OR(G173="",H173="",G173&lt;=1),"",IF(J173&lt;IF(D173="Builder",MinEdgeBuilder,IF(D173="Player",MinEdgePlayer,MinEdgeSingle)),0,ROUND(MIN(IF(D173="Single",KellySingle,KellyBuilder)*(StartBank+SUM(P$1:P172))*J173/(G173-1),IF(D173="Builder",CapBuilder,CapSingle)*Unit),2)))</f>
        <v/>
      </c>
      <c r="L173" s="10" t="n"/>
      <c r="N173" s="10" t="n"/>
      <c r="O173" s="10">
        <f>IF(L173="","",IF(M173="Won",L173*G173,IF(M173="Void",L173,IF(M173="Cash out",N(N173),IF(M173="Lost",0,"")))))</f>
        <v/>
      </c>
      <c r="P173" s="10">
        <f>IF(OR(L173="",M173="",M173="Pending"),"",O173-L173)</f>
        <v/>
      </c>
      <c r="Q173" s="21" t="n"/>
      <c r="R173" s="11">
        <f>IF(OR(G173="",Q173=""),"",G173/Q173-1)</f>
        <v/>
      </c>
      <c r="S173" s="10">
        <f>IF(OR(L173="",J173=""),"",L173*J173)</f>
        <v/>
      </c>
      <c r="T173" s="10">
        <f>IF(P173="","",StartBank+SUM(P$2:P173))</f>
        <v/>
      </c>
    </row>
    <row r="174">
      <c r="A174" s="22" t="n"/>
      <c r="G174" s="21" t="n"/>
      <c r="H174" s="11" t="n"/>
      <c r="I174" s="21">
        <f>IF(OR(H174="",H174=0),"",1/H174)</f>
        <v/>
      </c>
      <c r="J174" s="11">
        <f>IF(OR(G174="",H174=""),"",H174*G174-1)</f>
        <v/>
      </c>
      <c r="K174" s="10">
        <f>IF(OR(G174="",H174="",G174&lt;=1),"",IF(J174&lt;IF(D174="Builder",MinEdgeBuilder,IF(D174="Player",MinEdgePlayer,MinEdgeSingle)),0,ROUND(MIN(IF(D174="Single",KellySingle,KellyBuilder)*(StartBank+SUM(P$1:P173))*J174/(G174-1),IF(D174="Builder",CapBuilder,CapSingle)*Unit),2)))</f>
        <v/>
      </c>
      <c r="L174" s="10" t="n"/>
      <c r="N174" s="10" t="n"/>
      <c r="O174" s="10">
        <f>IF(L174="","",IF(M174="Won",L174*G174,IF(M174="Void",L174,IF(M174="Cash out",N(N174),IF(M174="Lost",0,"")))))</f>
        <v/>
      </c>
      <c r="P174" s="10">
        <f>IF(OR(L174="",M174="",M174="Pending"),"",O174-L174)</f>
        <v/>
      </c>
      <c r="Q174" s="21" t="n"/>
      <c r="R174" s="11">
        <f>IF(OR(G174="",Q174=""),"",G174/Q174-1)</f>
        <v/>
      </c>
      <c r="S174" s="10">
        <f>IF(OR(L174="",J174=""),"",L174*J174)</f>
        <v/>
      </c>
      <c r="T174" s="10">
        <f>IF(P174="","",StartBank+SUM(P$2:P174))</f>
        <v/>
      </c>
    </row>
    <row r="175">
      <c r="A175" s="22" t="n"/>
      <c r="G175" s="21" t="n"/>
      <c r="H175" s="11" t="n"/>
      <c r="I175" s="21">
        <f>IF(OR(H175="",H175=0),"",1/H175)</f>
        <v/>
      </c>
      <c r="J175" s="11">
        <f>IF(OR(G175="",H175=""),"",H175*G175-1)</f>
        <v/>
      </c>
      <c r="K175" s="10">
        <f>IF(OR(G175="",H175="",G175&lt;=1),"",IF(J175&lt;IF(D175="Builder",MinEdgeBuilder,IF(D175="Player",MinEdgePlayer,MinEdgeSingle)),0,ROUND(MIN(IF(D175="Single",KellySingle,KellyBuilder)*(StartBank+SUM(P$1:P174))*J175/(G175-1),IF(D175="Builder",CapBuilder,CapSingle)*Unit),2)))</f>
        <v/>
      </c>
      <c r="L175" s="10" t="n"/>
      <c r="N175" s="10" t="n"/>
      <c r="O175" s="10">
        <f>IF(L175="","",IF(M175="Won",L175*G175,IF(M175="Void",L175,IF(M175="Cash out",N(N175),IF(M175="Lost",0,"")))))</f>
        <v/>
      </c>
      <c r="P175" s="10">
        <f>IF(OR(L175="",M175="",M175="Pending"),"",O175-L175)</f>
        <v/>
      </c>
      <c r="Q175" s="21" t="n"/>
      <c r="R175" s="11">
        <f>IF(OR(G175="",Q175=""),"",G175/Q175-1)</f>
        <v/>
      </c>
      <c r="S175" s="10">
        <f>IF(OR(L175="",J175=""),"",L175*J175)</f>
        <v/>
      </c>
      <c r="T175" s="10">
        <f>IF(P175="","",StartBank+SUM(P$2:P175))</f>
        <v/>
      </c>
    </row>
    <row r="176">
      <c r="A176" s="22" t="n"/>
      <c r="G176" s="21" t="n"/>
      <c r="H176" s="11" t="n"/>
      <c r="I176" s="21">
        <f>IF(OR(H176="",H176=0),"",1/H176)</f>
        <v/>
      </c>
      <c r="J176" s="11">
        <f>IF(OR(G176="",H176=""),"",H176*G176-1)</f>
        <v/>
      </c>
      <c r="K176" s="10">
        <f>IF(OR(G176="",H176="",G176&lt;=1),"",IF(J176&lt;IF(D176="Builder",MinEdgeBuilder,IF(D176="Player",MinEdgePlayer,MinEdgeSingle)),0,ROUND(MIN(IF(D176="Single",KellySingle,KellyBuilder)*(StartBank+SUM(P$1:P175))*J176/(G176-1),IF(D176="Builder",CapBuilder,CapSingle)*Unit),2)))</f>
        <v/>
      </c>
      <c r="L176" s="10" t="n"/>
      <c r="N176" s="10" t="n"/>
      <c r="O176" s="10">
        <f>IF(L176="","",IF(M176="Won",L176*G176,IF(M176="Void",L176,IF(M176="Cash out",N(N176),IF(M176="Lost",0,"")))))</f>
        <v/>
      </c>
      <c r="P176" s="10">
        <f>IF(OR(L176="",M176="",M176="Pending"),"",O176-L176)</f>
        <v/>
      </c>
      <c r="Q176" s="21" t="n"/>
      <c r="R176" s="11">
        <f>IF(OR(G176="",Q176=""),"",G176/Q176-1)</f>
        <v/>
      </c>
      <c r="S176" s="10">
        <f>IF(OR(L176="",J176=""),"",L176*J176)</f>
        <v/>
      </c>
      <c r="T176" s="10">
        <f>IF(P176="","",StartBank+SUM(P$2:P176))</f>
        <v/>
      </c>
    </row>
    <row r="177">
      <c r="A177" s="22" t="n"/>
      <c r="G177" s="21" t="n"/>
      <c r="H177" s="11" t="n"/>
      <c r="I177" s="21">
        <f>IF(OR(H177="",H177=0),"",1/H177)</f>
        <v/>
      </c>
      <c r="J177" s="11">
        <f>IF(OR(G177="",H177=""),"",H177*G177-1)</f>
        <v/>
      </c>
      <c r="K177" s="10">
        <f>IF(OR(G177="",H177="",G177&lt;=1),"",IF(J177&lt;IF(D177="Builder",MinEdgeBuilder,IF(D177="Player",MinEdgePlayer,MinEdgeSingle)),0,ROUND(MIN(IF(D177="Single",KellySingle,KellyBuilder)*(StartBank+SUM(P$1:P176))*J177/(G177-1),IF(D177="Builder",CapBuilder,CapSingle)*Unit),2)))</f>
        <v/>
      </c>
      <c r="L177" s="10" t="n"/>
      <c r="N177" s="10" t="n"/>
      <c r="O177" s="10">
        <f>IF(L177="","",IF(M177="Won",L177*G177,IF(M177="Void",L177,IF(M177="Cash out",N(N177),IF(M177="Lost",0,"")))))</f>
        <v/>
      </c>
      <c r="P177" s="10">
        <f>IF(OR(L177="",M177="",M177="Pending"),"",O177-L177)</f>
        <v/>
      </c>
      <c r="Q177" s="21" t="n"/>
      <c r="R177" s="11">
        <f>IF(OR(G177="",Q177=""),"",G177/Q177-1)</f>
        <v/>
      </c>
      <c r="S177" s="10">
        <f>IF(OR(L177="",J177=""),"",L177*J177)</f>
        <v/>
      </c>
      <c r="T177" s="10">
        <f>IF(P177="","",StartBank+SUM(P$2:P177))</f>
        <v/>
      </c>
    </row>
    <row r="178">
      <c r="A178" s="22" t="n"/>
      <c r="G178" s="21" t="n"/>
      <c r="H178" s="11" t="n"/>
      <c r="I178" s="21">
        <f>IF(OR(H178="",H178=0),"",1/H178)</f>
        <v/>
      </c>
      <c r="J178" s="11">
        <f>IF(OR(G178="",H178=""),"",H178*G178-1)</f>
        <v/>
      </c>
      <c r="K178" s="10">
        <f>IF(OR(G178="",H178="",G178&lt;=1),"",IF(J178&lt;IF(D178="Builder",MinEdgeBuilder,IF(D178="Player",MinEdgePlayer,MinEdgeSingle)),0,ROUND(MIN(IF(D178="Single",KellySingle,KellyBuilder)*(StartBank+SUM(P$1:P177))*J178/(G178-1),IF(D178="Builder",CapBuilder,CapSingle)*Unit),2)))</f>
        <v/>
      </c>
      <c r="L178" s="10" t="n"/>
      <c r="N178" s="10" t="n"/>
      <c r="O178" s="10">
        <f>IF(L178="","",IF(M178="Won",L178*G178,IF(M178="Void",L178,IF(M178="Cash out",N(N178),IF(M178="Lost",0,"")))))</f>
        <v/>
      </c>
      <c r="P178" s="10">
        <f>IF(OR(L178="",M178="",M178="Pending"),"",O178-L178)</f>
        <v/>
      </c>
      <c r="Q178" s="21" t="n"/>
      <c r="R178" s="11">
        <f>IF(OR(G178="",Q178=""),"",G178/Q178-1)</f>
        <v/>
      </c>
      <c r="S178" s="10">
        <f>IF(OR(L178="",J178=""),"",L178*J178)</f>
        <v/>
      </c>
      <c r="T178" s="10">
        <f>IF(P178="","",StartBank+SUM(P$2:P178))</f>
        <v/>
      </c>
    </row>
    <row r="179">
      <c r="A179" s="22" t="n"/>
      <c r="G179" s="21" t="n"/>
      <c r="H179" s="11" t="n"/>
      <c r="I179" s="21">
        <f>IF(OR(H179="",H179=0),"",1/H179)</f>
        <v/>
      </c>
      <c r="J179" s="11">
        <f>IF(OR(G179="",H179=""),"",H179*G179-1)</f>
        <v/>
      </c>
      <c r="K179" s="10">
        <f>IF(OR(G179="",H179="",G179&lt;=1),"",IF(J179&lt;IF(D179="Builder",MinEdgeBuilder,IF(D179="Player",MinEdgePlayer,MinEdgeSingle)),0,ROUND(MIN(IF(D179="Single",KellySingle,KellyBuilder)*(StartBank+SUM(P$1:P178))*J179/(G179-1),IF(D179="Builder",CapBuilder,CapSingle)*Unit),2)))</f>
        <v/>
      </c>
      <c r="L179" s="10" t="n"/>
      <c r="N179" s="10" t="n"/>
      <c r="O179" s="10">
        <f>IF(L179="","",IF(M179="Won",L179*G179,IF(M179="Void",L179,IF(M179="Cash out",N(N179),IF(M179="Lost",0,"")))))</f>
        <v/>
      </c>
      <c r="P179" s="10">
        <f>IF(OR(L179="",M179="",M179="Pending"),"",O179-L179)</f>
        <v/>
      </c>
      <c r="Q179" s="21" t="n"/>
      <c r="R179" s="11">
        <f>IF(OR(G179="",Q179=""),"",G179/Q179-1)</f>
        <v/>
      </c>
      <c r="S179" s="10">
        <f>IF(OR(L179="",J179=""),"",L179*J179)</f>
        <v/>
      </c>
      <c r="T179" s="10">
        <f>IF(P179="","",StartBank+SUM(P$2:P179))</f>
        <v/>
      </c>
    </row>
    <row r="180">
      <c r="A180" s="22" t="n"/>
      <c r="G180" s="21" t="n"/>
      <c r="H180" s="11" t="n"/>
      <c r="I180" s="21">
        <f>IF(OR(H180="",H180=0),"",1/H180)</f>
        <v/>
      </c>
      <c r="J180" s="11">
        <f>IF(OR(G180="",H180=""),"",H180*G180-1)</f>
        <v/>
      </c>
      <c r="K180" s="10">
        <f>IF(OR(G180="",H180="",G180&lt;=1),"",IF(J180&lt;IF(D180="Builder",MinEdgeBuilder,IF(D180="Player",MinEdgePlayer,MinEdgeSingle)),0,ROUND(MIN(IF(D180="Single",KellySingle,KellyBuilder)*(StartBank+SUM(P$1:P179))*J180/(G180-1),IF(D180="Builder",CapBuilder,CapSingle)*Unit),2)))</f>
        <v/>
      </c>
      <c r="L180" s="10" t="n"/>
      <c r="N180" s="10" t="n"/>
      <c r="O180" s="10">
        <f>IF(L180="","",IF(M180="Won",L180*G180,IF(M180="Void",L180,IF(M180="Cash out",N(N180),IF(M180="Lost",0,"")))))</f>
        <v/>
      </c>
      <c r="P180" s="10">
        <f>IF(OR(L180="",M180="",M180="Pending"),"",O180-L180)</f>
        <v/>
      </c>
      <c r="Q180" s="21" t="n"/>
      <c r="R180" s="11">
        <f>IF(OR(G180="",Q180=""),"",G180/Q180-1)</f>
        <v/>
      </c>
      <c r="S180" s="10">
        <f>IF(OR(L180="",J180=""),"",L180*J180)</f>
        <v/>
      </c>
      <c r="T180" s="10">
        <f>IF(P180="","",StartBank+SUM(P$2:P180))</f>
        <v/>
      </c>
    </row>
    <row r="181">
      <c r="A181" s="22" t="n"/>
      <c r="G181" s="21" t="n"/>
      <c r="H181" s="11" t="n"/>
      <c r="I181" s="21">
        <f>IF(OR(H181="",H181=0),"",1/H181)</f>
        <v/>
      </c>
      <c r="J181" s="11">
        <f>IF(OR(G181="",H181=""),"",H181*G181-1)</f>
        <v/>
      </c>
      <c r="K181" s="10">
        <f>IF(OR(G181="",H181="",G181&lt;=1),"",IF(J181&lt;IF(D181="Builder",MinEdgeBuilder,IF(D181="Player",MinEdgePlayer,MinEdgeSingle)),0,ROUND(MIN(IF(D181="Single",KellySingle,KellyBuilder)*(StartBank+SUM(P$1:P180))*J181/(G181-1),IF(D181="Builder",CapBuilder,CapSingle)*Unit),2)))</f>
        <v/>
      </c>
      <c r="L181" s="10" t="n"/>
      <c r="N181" s="10" t="n"/>
      <c r="O181" s="10">
        <f>IF(L181="","",IF(M181="Won",L181*G181,IF(M181="Void",L181,IF(M181="Cash out",N(N181),IF(M181="Lost",0,"")))))</f>
        <v/>
      </c>
      <c r="P181" s="10">
        <f>IF(OR(L181="",M181="",M181="Pending"),"",O181-L181)</f>
        <v/>
      </c>
      <c r="Q181" s="21" t="n"/>
      <c r="R181" s="11">
        <f>IF(OR(G181="",Q181=""),"",G181/Q181-1)</f>
        <v/>
      </c>
      <c r="S181" s="10">
        <f>IF(OR(L181="",J181=""),"",L181*J181)</f>
        <v/>
      </c>
      <c r="T181" s="10">
        <f>IF(P181="","",StartBank+SUM(P$2:P181))</f>
        <v/>
      </c>
    </row>
    <row r="182">
      <c r="A182" s="22" t="n"/>
      <c r="G182" s="21" t="n"/>
      <c r="H182" s="11" t="n"/>
      <c r="I182" s="21">
        <f>IF(OR(H182="",H182=0),"",1/H182)</f>
        <v/>
      </c>
      <c r="J182" s="11">
        <f>IF(OR(G182="",H182=""),"",H182*G182-1)</f>
        <v/>
      </c>
      <c r="K182" s="10">
        <f>IF(OR(G182="",H182="",G182&lt;=1),"",IF(J182&lt;IF(D182="Builder",MinEdgeBuilder,IF(D182="Player",MinEdgePlayer,MinEdgeSingle)),0,ROUND(MIN(IF(D182="Single",KellySingle,KellyBuilder)*(StartBank+SUM(P$1:P181))*J182/(G182-1),IF(D182="Builder",CapBuilder,CapSingle)*Unit),2)))</f>
        <v/>
      </c>
      <c r="L182" s="10" t="n"/>
      <c r="N182" s="10" t="n"/>
      <c r="O182" s="10">
        <f>IF(L182="","",IF(M182="Won",L182*G182,IF(M182="Void",L182,IF(M182="Cash out",N(N182),IF(M182="Lost",0,"")))))</f>
        <v/>
      </c>
      <c r="P182" s="10">
        <f>IF(OR(L182="",M182="",M182="Pending"),"",O182-L182)</f>
        <v/>
      </c>
      <c r="Q182" s="21" t="n"/>
      <c r="R182" s="11">
        <f>IF(OR(G182="",Q182=""),"",G182/Q182-1)</f>
        <v/>
      </c>
      <c r="S182" s="10">
        <f>IF(OR(L182="",J182=""),"",L182*J182)</f>
        <v/>
      </c>
      <c r="T182" s="10">
        <f>IF(P182="","",StartBank+SUM(P$2:P182))</f>
        <v/>
      </c>
    </row>
    <row r="183">
      <c r="A183" s="22" t="n"/>
      <c r="G183" s="21" t="n"/>
      <c r="H183" s="11" t="n"/>
      <c r="I183" s="21">
        <f>IF(OR(H183="",H183=0),"",1/H183)</f>
        <v/>
      </c>
      <c r="J183" s="11">
        <f>IF(OR(G183="",H183=""),"",H183*G183-1)</f>
        <v/>
      </c>
      <c r="K183" s="10">
        <f>IF(OR(G183="",H183="",G183&lt;=1),"",IF(J183&lt;IF(D183="Builder",MinEdgeBuilder,IF(D183="Player",MinEdgePlayer,MinEdgeSingle)),0,ROUND(MIN(IF(D183="Single",KellySingle,KellyBuilder)*(StartBank+SUM(P$1:P182))*J183/(G183-1),IF(D183="Builder",CapBuilder,CapSingle)*Unit),2)))</f>
        <v/>
      </c>
      <c r="L183" s="10" t="n"/>
      <c r="N183" s="10" t="n"/>
      <c r="O183" s="10">
        <f>IF(L183="","",IF(M183="Won",L183*G183,IF(M183="Void",L183,IF(M183="Cash out",N(N183),IF(M183="Lost",0,"")))))</f>
        <v/>
      </c>
      <c r="P183" s="10">
        <f>IF(OR(L183="",M183="",M183="Pending"),"",O183-L183)</f>
        <v/>
      </c>
      <c r="Q183" s="21" t="n"/>
      <c r="R183" s="11">
        <f>IF(OR(G183="",Q183=""),"",G183/Q183-1)</f>
        <v/>
      </c>
      <c r="S183" s="10">
        <f>IF(OR(L183="",J183=""),"",L183*J183)</f>
        <v/>
      </c>
      <c r="T183" s="10">
        <f>IF(P183="","",StartBank+SUM(P$2:P183))</f>
        <v/>
      </c>
    </row>
    <row r="184">
      <c r="A184" s="22" t="n"/>
      <c r="G184" s="21" t="n"/>
      <c r="H184" s="11" t="n"/>
      <c r="I184" s="21">
        <f>IF(OR(H184="",H184=0),"",1/H184)</f>
        <v/>
      </c>
      <c r="J184" s="11">
        <f>IF(OR(G184="",H184=""),"",H184*G184-1)</f>
        <v/>
      </c>
      <c r="K184" s="10">
        <f>IF(OR(G184="",H184="",G184&lt;=1),"",IF(J184&lt;IF(D184="Builder",MinEdgeBuilder,IF(D184="Player",MinEdgePlayer,MinEdgeSingle)),0,ROUND(MIN(IF(D184="Single",KellySingle,KellyBuilder)*(StartBank+SUM(P$1:P183))*J184/(G184-1),IF(D184="Builder",CapBuilder,CapSingle)*Unit),2)))</f>
        <v/>
      </c>
      <c r="L184" s="10" t="n"/>
      <c r="N184" s="10" t="n"/>
      <c r="O184" s="10">
        <f>IF(L184="","",IF(M184="Won",L184*G184,IF(M184="Void",L184,IF(M184="Cash out",N(N184),IF(M184="Lost",0,"")))))</f>
        <v/>
      </c>
      <c r="P184" s="10">
        <f>IF(OR(L184="",M184="",M184="Pending"),"",O184-L184)</f>
        <v/>
      </c>
      <c r="Q184" s="21" t="n"/>
      <c r="R184" s="11">
        <f>IF(OR(G184="",Q184=""),"",G184/Q184-1)</f>
        <v/>
      </c>
      <c r="S184" s="10">
        <f>IF(OR(L184="",J184=""),"",L184*J184)</f>
        <v/>
      </c>
      <c r="T184" s="10">
        <f>IF(P184="","",StartBank+SUM(P$2:P184))</f>
        <v/>
      </c>
    </row>
    <row r="185">
      <c r="A185" s="22" t="n"/>
      <c r="G185" s="21" t="n"/>
      <c r="H185" s="11" t="n"/>
      <c r="I185" s="21">
        <f>IF(OR(H185="",H185=0),"",1/H185)</f>
        <v/>
      </c>
      <c r="J185" s="11">
        <f>IF(OR(G185="",H185=""),"",H185*G185-1)</f>
        <v/>
      </c>
      <c r="K185" s="10">
        <f>IF(OR(G185="",H185="",G185&lt;=1),"",IF(J185&lt;IF(D185="Builder",MinEdgeBuilder,IF(D185="Player",MinEdgePlayer,MinEdgeSingle)),0,ROUND(MIN(IF(D185="Single",KellySingle,KellyBuilder)*(StartBank+SUM(P$1:P184))*J185/(G185-1),IF(D185="Builder",CapBuilder,CapSingle)*Unit),2)))</f>
        <v/>
      </c>
      <c r="L185" s="10" t="n"/>
      <c r="N185" s="10" t="n"/>
      <c r="O185" s="10">
        <f>IF(L185="","",IF(M185="Won",L185*G185,IF(M185="Void",L185,IF(M185="Cash out",N(N185),IF(M185="Lost",0,"")))))</f>
        <v/>
      </c>
      <c r="P185" s="10">
        <f>IF(OR(L185="",M185="",M185="Pending"),"",O185-L185)</f>
        <v/>
      </c>
      <c r="Q185" s="21" t="n"/>
      <c r="R185" s="11">
        <f>IF(OR(G185="",Q185=""),"",G185/Q185-1)</f>
        <v/>
      </c>
      <c r="S185" s="10">
        <f>IF(OR(L185="",J185=""),"",L185*J185)</f>
        <v/>
      </c>
      <c r="T185" s="10">
        <f>IF(P185="","",StartBank+SUM(P$2:P185))</f>
        <v/>
      </c>
    </row>
    <row r="186">
      <c r="A186" s="22" t="n"/>
      <c r="G186" s="21" t="n"/>
      <c r="H186" s="11" t="n"/>
      <c r="I186" s="21">
        <f>IF(OR(H186="",H186=0),"",1/H186)</f>
        <v/>
      </c>
      <c r="J186" s="11">
        <f>IF(OR(G186="",H186=""),"",H186*G186-1)</f>
        <v/>
      </c>
      <c r="K186" s="10">
        <f>IF(OR(G186="",H186="",G186&lt;=1),"",IF(J186&lt;IF(D186="Builder",MinEdgeBuilder,IF(D186="Player",MinEdgePlayer,MinEdgeSingle)),0,ROUND(MIN(IF(D186="Single",KellySingle,KellyBuilder)*(StartBank+SUM(P$1:P185))*J186/(G186-1),IF(D186="Builder",CapBuilder,CapSingle)*Unit),2)))</f>
        <v/>
      </c>
      <c r="L186" s="10" t="n"/>
      <c r="N186" s="10" t="n"/>
      <c r="O186" s="10">
        <f>IF(L186="","",IF(M186="Won",L186*G186,IF(M186="Void",L186,IF(M186="Cash out",N(N186),IF(M186="Lost",0,"")))))</f>
        <v/>
      </c>
      <c r="P186" s="10">
        <f>IF(OR(L186="",M186="",M186="Pending"),"",O186-L186)</f>
        <v/>
      </c>
      <c r="Q186" s="21" t="n"/>
      <c r="R186" s="11">
        <f>IF(OR(G186="",Q186=""),"",G186/Q186-1)</f>
        <v/>
      </c>
      <c r="S186" s="10">
        <f>IF(OR(L186="",J186=""),"",L186*J186)</f>
        <v/>
      </c>
      <c r="T186" s="10">
        <f>IF(P186="","",StartBank+SUM(P$2:P186))</f>
        <v/>
      </c>
    </row>
    <row r="187">
      <c r="A187" s="22" t="n"/>
      <c r="G187" s="21" t="n"/>
      <c r="H187" s="11" t="n"/>
      <c r="I187" s="21">
        <f>IF(OR(H187="",H187=0),"",1/H187)</f>
        <v/>
      </c>
      <c r="J187" s="11">
        <f>IF(OR(G187="",H187=""),"",H187*G187-1)</f>
        <v/>
      </c>
      <c r="K187" s="10">
        <f>IF(OR(G187="",H187="",G187&lt;=1),"",IF(J187&lt;IF(D187="Builder",MinEdgeBuilder,IF(D187="Player",MinEdgePlayer,MinEdgeSingle)),0,ROUND(MIN(IF(D187="Single",KellySingle,KellyBuilder)*(StartBank+SUM(P$1:P186))*J187/(G187-1),IF(D187="Builder",CapBuilder,CapSingle)*Unit),2)))</f>
        <v/>
      </c>
      <c r="L187" s="10" t="n"/>
      <c r="N187" s="10" t="n"/>
      <c r="O187" s="10">
        <f>IF(L187="","",IF(M187="Won",L187*G187,IF(M187="Void",L187,IF(M187="Cash out",N(N187),IF(M187="Lost",0,"")))))</f>
        <v/>
      </c>
      <c r="P187" s="10">
        <f>IF(OR(L187="",M187="",M187="Pending"),"",O187-L187)</f>
        <v/>
      </c>
      <c r="Q187" s="21" t="n"/>
      <c r="R187" s="11">
        <f>IF(OR(G187="",Q187=""),"",G187/Q187-1)</f>
        <v/>
      </c>
      <c r="S187" s="10">
        <f>IF(OR(L187="",J187=""),"",L187*J187)</f>
        <v/>
      </c>
      <c r="T187" s="10">
        <f>IF(P187="","",StartBank+SUM(P$2:P187))</f>
        <v/>
      </c>
    </row>
    <row r="188">
      <c r="A188" s="22" t="n"/>
      <c r="G188" s="21" t="n"/>
      <c r="H188" s="11" t="n"/>
      <c r="I188" s="21">
        <f>IF(OR(H188="",H188=0),"",1/H188)</f>
        <v/>
      </c>
      <c r="J188" s="11">
        <f>IF(OR(G188="",H188=""),"",H188*G188-1)</f>
        <v/>
      </c>
      <c r="K188" s="10">
        <f>IF(OR(G188="",H188="",G188&lt;=1),"",IF(J188&lt;IF(D188="Builder",MinEdgeBuilder,IF(D188="Player",MinEdgePlayer,MinEdgeSingle)),0,ROUND(MIN(IF(D188="Single",KellySingle,KellyBuilder)*(StartBank+SUM(P$1:P187))*J188/(G188-1),IF(D188="Builder",CapBuilder,CapSingle)*Unit),2)))</f>
        <v/>
      </c>
      <c r="L188" s="10" t="n"/>
      <c r="N188" s="10" t="n"/>
      <c r="O188" s="10">
        <f>IF(L188="","",IF(M188="Won",L188*G188,IF(M188="Void",L188,IF(M188="Cash out",N(N188),IF(M188="Lost",0,"")))))</f>
        <v/>
      </c>
      <c r="P188" s="10">
        <f>IF(OR(L188="",M188="",M188="Pending"),"",O188-L188)</f>
        <v/>
      </c>
      <c r="Q188" s="21" t="n"/>
      <c r="R188" s="11">
        <f>IF(OR(G188="",Q188=""),"",G188/Q188-1)</f>
        <v/>
      </c>
      <c r="S188" s="10">
        <f>IF(OR(L188="",J188=""),"",L188*J188)</f>
        <v/>
      </c>
      <c r="T188" s="10">
        <f>IF(P188="","",StartBank+SUM(P$2:P188))</f>
        <v/>
      </c>
    </row>
    <row r="189">
      <c r="A189" s="22" t="n"/>
      <c r="G189" s="21" t="n"/>
      <c r="H189" s="11" t="n"/>
      <c r="I189" s="21">
        <f>IF(OR(H189="",H189=0),"",1/H189)</f>
        <v/>
      </c>
      <c r="J189" s="11">
        <f>IF(OR(G189="",H189=""),"",H189*G189-1)</f>
        <v/>
      </c>
      <c r="K189" s="10">
        <f>IF(OR(G189="",H189="",G189&lt;=1),"",IF(J189&lt;IF(D189="Builder",MinEdgeBuilder,IF(D189="Player",MinEdgePlayer,MinEdgeSingle)),0,ROUND(MIN(IF(D189="Single",KellySingle,KellyBuilder)*(StartBank+SUM(P$1:P188))*J189/(G189-1),IF(D189="Builder",CapBuilder,CapSingle)*Unit),2)))</f>
        <v/>
      </c>
      <c r="L189" s="10" t="n"/>
      <c r="N189" s="10" t="n"/>
      <c r="O189" s="10">
        <f>IF(L189="","",IF(M189="Won",L189*G189,IF(M189="Void",L189,IF(M189="Cash out",N(N189),IF(M189="Lost",0,"")))))</f>
        <v/>
      </c>
      <c r="P189" s="10">
        <f>IF(OR(L189="",M189="",M189="Pending"),"",O189-L189)</f>
        <v/>
      </c>
      <c r="Q189" s="21" t="n"/>
      <c r="R189" s="11">
        <f>IF(OR(G189="",Q189=""),"",G189/Q189-1)</f>
        <v/>
      </c>
      <c r="S189" s="10">
        <f>IF(OR(L189="",J189=""),"",L189*J189)</f>
        <v/>
      </c>
      <c r="T189" s="10">
        <f>IF(P189="","",StartBank+SUM(P$2:P189))</f>
        <v/>
      </c>
    </row>
    <row r="190">
      <c r="A190" s="22" t="n"/>
      <c r="G190" s="21" t="n"/>
      <c r="H190" s="11" t="n"/>
      <c r="I190" s="21">
        <f>IF(OR(H190="",H190=0),"",1/H190)</f>
        <v/>
      </c>
      <c r="J190" s="11">
        <f>IF(OR(G190="",H190=""),"",H190*G190-1)</f>
        <v/>
      </c>
      <c r="K190" s="10">
        <f>IF(OR(G190="",H190="",G190&lt;=1),"",IF(J190&lt;IF(D190="Builder",MinEdgeBuilder,IF(D190="Player",MinEdgePlayer,MinEdgeSingle)),0,ROUND(MIN(IF(D190="Single",KellySingle,KellyBuilder)*(StartBank+SUM(P$1:P189))*J190/(G190-1),IF(D190="Builder",CapBuilder,CapSingle)*Unit),2)))</f>
        <v/>
      </c>
      <c r="L190" s="10" t="n"/>
      <c r="N190" s="10" t="n"/>
      <c r="O190" s="10">
        <f>IF(L190="","",IF(M190="Won",L190*G190,IF(M190="Void",L190,IF(M190="Cash out",N(N190),IF(M190="Lost",0,"")))))</f>
        <v/>
      </c>
      <c r="P190" s="10">
        <f>IF(OR(L190="",M190="",M190="Pending"),"",O190-L190)</f>
        <v/>
      </c>
      <c r="Q190" s="21" t="n"/>
      <c r="R190" s="11">
        <f>IF(OR(G190="",Q190=""),"",G190/Q190-1)</f>
        <v/>
      </c>
      <c r="S190" s="10">
        <f>IF(OR(L190="",J190=""),"",L190*J190)</f>
        <v/>
      </c>
      <c r="T190" s="10">
        <f>IF(P190="","",StartBank+SUM(P$2:P190))</f>
        <v/>
      </c>
    </row>
    <row r="191">
      <c r="A191" s="22" t="n"/>
      <c r="G191" s="21" t="n"/>
      <c r="H191" s="11" t="n"/>
      <c r="I191" s="21">
        <f>IF(OR(H191="",H191=0),"",1/H191)</f>
        <v/>
      </c>
      <c r="J191" s="11">
        <f>IF(OR(G191="",H191=""),"",H191*G191-1)</f>
        <v/>
      </c>
      <c r="K191" s="10">
        <f>IF(OR(G191="",H191="",G191&lt;=1),"",IF(J191&lt;IF(D191="Builder",MinEdgeBuilder,IF(D191="Player",MinEdgePlayer,MinEdgeSingle)),0,ROUND(MIN(IF(D191="Single",KellySingle,KellyBuilder)*(StartBank+SUM(P$1:P190))*J191/(G191-1),IF(D191="Builder",CapBuilder,CapSingle)*Unit),2)))</f>
        <v/>
      </c>
      <c r="L191" s="10" t="n"/>
      <c r="N191" s="10" t="n"/>
      <c r="O191" s="10">
        <f>IF(L191="","",IF(M191="Won",L191*G191,IF(M191="Void",L191,IF(M191="Cash out",N(N191),IF(M191="Lost",0,"")))))</f>
        <v/>
      </c>
      <c r="P191" s="10">
        <f>IF(OR(L191="",M191="",M191="Pending"),"",O191-L191)</f>
        <v/>
      </c>
      <c r="Q191" s="21" t="n"/>
      <c r="R191" s="11">
        <f>IF(OR(G191="",Q191=""),"",G191/Q191-1)</f>
        <v/>
      </c>
      <c r="S191" s="10">
        <f>IF(OR(L191="",J191=""),"",L191*J191)</f>
        <v/>
      </c>
      <c r="T191" s="10">
        <f>IF(P191="","",StartBank+SUM(P$2:P191))</f>
        <v/>
      </c>
    </row>
    <row r="192">
      <c r="A192" s="22" t="n"/>
      <c r="G192" s="21" t="n"/>
      <c r="H192" s="11" t="n"/>
      <c r="I192" s="21">
        <f>IF(OR(H192="",H192=0),"",1/H192)</f>
        <v/>
      </c>
      <c r="J192" s="11">
        <f>IF(OR(G192="",H192=""),"",H192*G192-1)</f>
        <v/>
      </c>
      <c r="K192" s="10">
        <f>IF(OR(G192="",H192="",G192&lt;=1),"",IF(J192&lt;IF(D192="Builder",MinEdgeBuilder,IF(D192="Player",MinEdgePlayer,MinEdgeSingle)),0,ROUND(MIN(IF(D192="Single",KellySingle,KellyBuilder)*(StartBank+SUM(P$1:P191))*J192/(G192-1),IF(D192="Builder",CapBuilder,CapSingle)*Unit),2)))</f>
        <v/>
      </c>
      <c r="L192" s="10" t="n"/>
      <c r="N192" s="10" t="n"/>
      <c r="O192" s="10">
        <f>IF(L192="","",IF(M192="Won",L192*G192,IF(M192="Void",L192,IF(M192="Cash out",N(N192),IF(M192="Lost",0,"")))))</f>
        <v/>
      </c>
      <c r="P192" s="10">
        <f>IF(OR(L192="",M192="",M192="Pending"),"",O192-L192)</f>
        <v/>
      </c>
      <c r="Q192" s="21" t="n"/>
      <c r="R192" s="11">
        <f>IF(OR(G192="",Q192=""),"",G192/Q192-1)</f>
        <v/>
      </c>
      <c r="S192" s="10">
        <f>IF(OR(L192="",J192=""),"",L192*J192)</f>
        <v/>
      </c>
      <c r="T192" s="10">
        <f>IF(P192="","",StartBank+SUM(P$2:P192))</f>
        <v/>
      </c>
    </row>
    <row r="193">
      <c r="A193" s="22" t="n"/>
      <c r="G193" s="21" t="n"/>
      <c r="H193" s="11" t="n"/>
      <c r="I193" s="21">
        <f>IF(OR(H193="",H193=0),"",1/H193)</f>
        <v/>
      </c>
      <c r="J193" s="11">
        <f>IF(OR(G193="",H193=""),"",H193*G193-1)</f>
        <v/>
      </c>
      <c r="K193" s="10">
        <f>IF(OR(G193="",H193="",G193&lt;=1),"",IF(J193&lt;IF(D193="Builder",MinEdgeBuilder,IF(D193="Player",MinEdgePlayer,MinEdgeSingle)),0,ROUND(MIN(IF(D193="Single",KellySingle,KellyBuilder)*(StartBank+SUM(P$1:P192))*J193/(G193-1),IF(D193="Builder",CapBuilder,CapSingle)*Unit),2)))</f>
        <v/>
      </c>
      <c r="L193" s="10" t="n"/>
      <c r="N193" s="10" t="n"/>
      <c r="O193" s="10">
        <f>IF(L193="","",IF(M193="Won",L193*G193,IF(M193="Void",L193,IF(M193="Cash out",N(N193),IF(M193="Lost",0,"")))))</f>
        <v/>
      </c>
      <c r="P193" s="10">
        <f>IF(OR(L193="",M193="",M193="Pending"),"",O193-L193)</f>
        <v/>
      </c>
      <c r="Q193" s="21" t="n"/>
      <c r="R193" s="11">
        <f>IF(OR(G193="",Q193=""),"",G193/Q193-1)</f>
        <v/>
      </c>
      <c r="S193" s="10">
        <f>IF(OR(L193="",J193=""),"",L193*J193)</f>
        <v/>
      </c>
      <c r="T193" s="10">
        <f>IF(P193="","",StartBank+SUM(P$2:P193))</f>
        <v/>
      </c>
    </row>
    <row r="194">
      <c r="A194" s="22" t="n"/>
      <c r="G194" s="21" t="n"/>
      <c r="H194" s="11" t="n"/>
      <c r="I194" s="21">
        <f>IF(OR(H194="",H194=0),"",1/H194)</f>
        <v/>
      </c>
      <c r="J194" s="11">
        <f>IF(OR(G194="",H194=""),"",H194*G194-1)</f>
        <v/>
      </c>
      <c r="K194" s="10">
        <f>IF(OR(G194="",H194="",G194&lt;=1),"",IF(J194&lt;IF(D194="Builder",MinEdgeBuilder,IF(D194="Player",MinEdgePlayer,MinEdgeSingle)),0,ROUND(MIN(IF(D194="Single",KellySingle,KellyBuilder)*(StartBank+SUM(P$1:P193))*J194/(G194-1),IF(D194="Builder",CapBuilder,CapSingle)*Unit),2)))</f>
        <v/>
      </c>
      <c r="L194" s="10" t="n"/>
      <c r="N194" s="10" t="n"/>
      <c r="O194" s="10">
        <f>IF(L194="","",IF(M194="Won",L194*G194,IF(M194="Void",L194,IF(M194="Cash out",N(N194),IF(M194="Lost",0,"")))))</f>
        <v/>
      </c>
      <c r="P194" s="10">
        <f>IF(OR(L194="",M194="",M194="Pending"),"",O194-L194)</f>
        <v/>
      </c>
      <c r="Q194" s="21" t="n"/>
      <c r="R194" s="11">
        <f>IF(OR(G194="",Q194=""),"",G194/Q194-1)</f>
        <v/>
      </c>
      <c r="S194" s="10">
        <f>IF(OR(L194="",J194=""),"",L194*J194)</f>
        <v/>
      </c>
      <c r="T194" s="10">
        <f>IF(P194="","",StartBank+SUM(P$2:P194))</f>
        <v/>
      </c>
    </row>
    <row r="195">
      <c r="A195" s="22" t="n"/>
      <c r="G195" s="21" t="n"/>
      <c r="H195" s="11" t="n"/>
      <c r="I195" s="21">
        <f>IF(OR(H195="",H195=0),"",1/H195)</f>
        <v/>
      </c>
      <c r="J195" s="11">
        <f>IF(OR(G195="",H195=""),"",H195*G195-1)</f>
        <v/>
      </c>
      <c r="K195" s="10">
        <f>IF(OR(G195="",H195="",G195&lt;=1),"",IF(J195&lt;IF(D195="Builder",MinEdgeBuilder,IF(D195="Player",MinEdgePlayer,MinEdgeSingle)),0,ROUND(MIN(IF(D195="Single",KellySingle,KellyBuilder)*(StartBank+SUM(P$1:P194))*J195/(G195-1),IF(D195="Builder",CapBuilder,CapSingle)*Unit),2)))</f>
        <v/>
      </c>
      <c r="L195" s="10" t="n"/>
      <c r="N195" s="10" t="n"/>
      <c r="O195" s="10">
        <f>IF(L195="","",IF(M195="Won",L195*G195,IF(M195="Void",L195,IF(M195="Cash out",N(N195),IF(M195="Lost",0,"")))))</f>
        <v/>
      </c>
      <c r="P195" s="10">
        <f>IF(OR(L195="",M195="",M195="Pending"),"",O195-L195)</f>
        <v/>
      </c>
      <c r="Q195" s="21" t="n"/>
      <c r="R195" s="11">
        <f>IF(OR(G195="",Q195=""),"",G195/Q195-1)</f>
        <v/>
      </c>
      <c r="S195" s="10">
        <f>IF(OR(L195="",J195=""),"",L195*J195)</f>
        <v/>
      </c>
      <c r="T195" s="10">
        <f>IF(P195="","",StartBank+SUM(P$2:P195))</f>
        <v/>
      </c>
    </row>
    <row r="196">
      <c r="A196" s="22" t="n"/>
      <c r="G196" s="21" t="n"/>
      <c r="H196" s="11" t="n"/>
      <c r="I196" s="21">
        <f>IF(OR(H196="",H196=0),"",1/H196)</f>
        <v/>
      </c>
      <c r="J196" s="11">
        <f>IF(OR(G196="",H196=""),"",H196*G196-1)</f>
        <v/>
      </c>
      <c r="K196" s="10">
        <f>IF(OR(G196="",H196="",G196&lt;=1),"",IF(J196&lt;IF(D196="Builder",MinEdgeBuilder,IF(D196="Player",MinEdgePlayer,MinEdgeSingle)),0,ROUND(MIN(IF(D196="Single",KellySingle,KellyBuilder)*(StartBank+SUM(P$1:P195))*J196/(G196-1),IF(D196="Builder",CapBuilder,CapSingle)*Unit),2)))</f>
        <v/>
      </c>
      <c r="L196" s="10" t="n"/>
      <c r="N196" s="10" t="n"/>
      <c r="O196" s="10">
        <f>IF(L196="","",IF(M196="Won",L196*G196,IF(M196="Void",L196,IF(M196="Cash out",N(N196),IF(M196="Lost",0,"")))))</f>
        <v/>
      </c>
      <c r="P196" s="10">
        <f>IF(OR(L196="",M196="",M196="Pending"),"",O196-L196)</f>
        <v/>
      </c>
      <c r="Q196" s="21" t="n"/>
      <c r="R196" s="11">
        <f>IF(OR(G196="",Q196=""),"",G196/Q196-1)</f>
        <v/>
      </c>
      <c r="S196" s="10">
        <f>IF(OR(L196="",J196=""),"",L196*J196)</f>
        <v/>
      </c>
      <c r="T196" s="10">
        <f>IF(P196="","",StartBank+SUM(P$2:P196))</f>
        <v/>
      </c>
    </row>
    <row r="197">
      <c r="A197" s="22" t="n"/>
      <c r="G197" s="21" t="n"/>
      <c r="H197" s="11" t="n"/>
      <c r="I197" s="21">
        <f>IF(OR(H197="",H197=0),"",1/H197)</f>
        <v/>
      </c>
      <c r="J197" s="11">
        <f>IF(OR(G197="",H197=""),"",H197*G197-1)</f>
        <v/>
      </c>
      <c r="K197" s="10">
        <f>IF(OR(G197="",H197="",G197&lt;=1),"",IF(J197&lt;IF(D197="Builder",MinEdgeBuilder,IF(D197="Player",MinEdgePlayer,MinEdgeSingle)),0,ROUND(MIN(IF(D197="Single",KellySingle,KellyBuilder)*(StartBank+SUM(P$1:P196))*J197/(G197-1),IF(D197="Builder",CapBuilder,CapSingle)*Unit),2)))</f>
        <v/>
      </c>
      <c r="L197" s="10" t="n"/>
      <c r="N197" s="10" t="n"/>
      <c r="O197" s="10">
        <f>IF(L197="","",IF(M197="Won",L197*G197,IF(M197="Void",L197,IF(M197="Cash out",N(N197),IF(M197="Lost",0,"")))))</f>
        <v/>
      </c>
      <c r="P197" s="10">
        <f>IF(OR(L197="",M197="",M197="Pending"),"",O197-L197)</f>
        <v/>
      </c>
      <c r="Q197" s="21" t="n"/>
      <c r="R197" s="11">
        <f>IF(OR(G197="",Q197=""),"",G197/Q197-1)</f>
        <v/>
      </c>
      <c r="S197" s="10">
        <f>IF(OR(L197="",J197=""),"",L197*J197)</f>
        <v/>
      </c>
      <c r="T197" s="10">
        <f>IF(P197="","",StartBank+SUM(P$2:P197))</f>
        <v/>
      </c>
    </row>
    <row r="198">
      <c r="A198" s="22" t="n"/>
      <c r="G198" s="21" t="n"/>
      <c r="H198" s="11" t="n"/>
      <c r="I198" s="21">
        <f>IF(OR(H198="",H198=0),"",1/H198)</f>
        <v/>
      </c>
      <c r="J198" s="11">
        <f>IF(OR(G198="",H198=""),"",H198*G198-1)</f>
        <v/>
      </c>
      <c r="K198" s="10">
        <f>IF(OR(G198="",H198="",G198&lt;=1),"",IF(J198&lt;IF(D198="Builder",MinEdgeBuilder,IF(D198="Player",MinEdgePlayer,MinEdgeSingle)),0,ROUND(MIN(IF(D198="Single",KellySingle,KellyBuilder)*(StartBank+SUM(P$1:P197))*J198/(G198-1),IF(D198="Builder",CapBuilder,CapSingle)*Unit),2)))</f>
        <v/>
      </c>
      <c r="L198" s="10" t="n"/>
      <c r="N198" s="10" t="n"/>
      <c r="O198" s="10">
        <f>IF(L198="","",IF(M198="Won",L198*G198,IF(M198="Void",L198,IF(M198="Cash out",N(N198),IF(M198="Lost",0,"")))))</f>
        <v/>
      </c>
      <c r="P198" s="10">
        <f>IF(OR(L198="",M198="",M198="Pending"),"",O198-L198)</f>
        <v/>
      </c>
      <c r="Q198" s="21" t="n"/>
      <c r="R198" s="11">
        <f>IF(OR(G198="",Q198=""),"",G198/Q198-1)</f>
        <v/>
      </c>
      <c r="S198" s="10">
        <f>IF(OR(L198="",J198=""),"",L198*J198)</f>
        <v/>
      </c>
      <c r="T198" s="10">
        <f>IF(P198="","",StartBank+SUM(P$2:P198))</f>
        <v/>
      </c>
    </row>
    <row r="199">
      <c r="A199" s="22" t="n"/>
      <c r="G199" s="21" t="n"/>
      <c r="H199" s="11" t="n"/>
      <c r="I199" s="21">
        <f>IF(OR(H199="",H199=0),"",1/H199)</f>
        <v/>
      </c>
      <c r="J199" s="11">
        <f>IF(OR(G199="",H199=""),"",H199*G199-1)</f>
        <v/>
      </c>
      <c r="K199" s="10">
        <f>IF(OR(G199="",H199="",G199&lt;=1),"",IF(J199&lt;IF(D199="Builder",MinEdgeBuilder,IF(D199="Player",MinEdgePlayer,MinEdgeSingle)),0,ROUND(MIN(IF(D199="Single",KellySingle,KellyBuilder)*(StartBank+SUM(P$1:P198))*J199/(G199-1),IF(D199="Builder",CapBuilder,CapSingle)*Unit),2)))</f>
        <v/>
      </c>
      <c r="L199" s="10" t="n"/>
      <c r="N199" s="10" t="n"/>
      <c r="O199" s="10">
        <f>IF(L199="","",IF(M199="Won",L199*G199,IF(M199="Void",L199,IF(M199="Cash out",N(N199),IF(M199="Lost",0,"")))))</f>
        <v/>
      </c>
      <c r="P199" s="10">
        <f>IF(OR(L199="",M199="",M199="Pending"),"",O199-L199)</f>
        <v/>
      </c>
      <c r="Q199" s="21" t="n"/>
      <c r="R199" s="11">
        <f>IF(OR(G199="",Q199=""),"",G199/Q199-1)</f>
        <v/>
      </c>
      <c r="S199" s="10">
        <f>IF(OR(L199="",J199=""),"",L199*J199)</f>
        <v/>
      </c>
      <c r="T199" s="10">
        <f>IF(P199="","",StartBank+SUM(P$2:P199))</f>
        <v/>
      </c>
    </row>
    <row r="200">
      <c r="A200" s="22" t="n"/>
      <c r="G200" s="21" t="n"/>
      <c r="H200" s="11" t="n"/>
      <c r="I200" s="21">
        <f>IF(OR(H200="",H200=0),"",1/H200)</f>
        <v/>
      </c>
      <c r="J200" s="11">
        <f>IF(OR(G200="",H200=""),"",H200*G200-1)</f>
        <v/>
      </c>
      <c r="K200" s="10">
        <f>IF(OR(G200="",H200="",G200&lt;=1),"",IF(J200&lt;IF(D200="Builder",MinEdgeBuilder,IF(D200="Player",MinEdgePlayer,MinEdgeSingle)),0,ROUND(MIN(IF(D200="Single",KellySingle,KellyBuilder)*(StartBank+SUM(P$1:P199))*J200/(G200-1),IF(D200="Builder",CapBuilder,CapSingle)*Unit),2)))</f>
        <v/>
      </c>
      <c r="L200" s="10" t="n"/>
      <c r="N200" s="10" t="n"/>
      <c r="O200" s="10">
        <f>IF(L200="","",IF(M200="Won",L200*G200,IF(M200="Void",L200,IF(M200="Cash out",N(N200),IF(M200="Lost",0,"")))))</f>
        <v/>
      </c>
      <c r="P200" s="10">
        <f>IF(OR(L200="",M200="",M200="Pending"),"",O200-L200)</f>
        <v/>
      </c>
      <c r="Q200" s="21" t="n"/>
      <c r="R200" s="11">
        <f>IF(OR(G200="",Q200=""),"",G200/Q200-1)</f>
        <v/>
      </c>
      <c r="S200" s="10">
        <f>IF(OR(L200="",J200=""),"",L200*J200)</f>
        <v/>
      </c>
      <c r="T200" s="10">
        <f>IF(P200="","",StartBank+SUM(P$2:P200))</f>
        <v/>
      </c>
    </row>
    <row r="201">
      <c r="A201" s="22" t="n"/>
      <c r="G201" s="21" t="n"/>
      <c r="H201" s="11" t="n"/>
      <c r="I201" s="21">
        <f>IF(OR(H201="",H201=0),"",1/H201)</f>
        <v/>
      </c>
      <c r="J201" s="11">
        <f>IF(OR(G201="",H201=""),"",H201*G201-1)</f>
        <v/>
      </c>
      <c r="K201" s="10">
        <f>IF(OR(G201="",H201="",G201&lt;=1),"",IF(J201&lt;IF(D201="Builder",MinEdgeBuilder,IF(D201="Player",MinEdgePlayer,MinEdgeSingle)),0,ROUND(MIN(IF(D201="Single",KellySingle,KellyBuilder)*(StartBank+SUM(P$1:P200))*J201/(G201-1),IF(D201="Builder",CapBuilder,CapSingle)*Unit),2)))</f>
        <v/>
      </c>
      <c r="L201" s="10" t="n"/>
      <c r="N201" s="10" t="n"/>
      <c r="O201" s="10">
        <f>IF(L201="","",IF(M201="Won",L201*G201,IF(M201="Void",L201,IF(M201="Cash out",N(N201),IF(M201="Lost",0,"")))))</f>
        <v/>
      </c>
      <c r="P201" s="10">
        <f>IF(OR(L201="",M201="",M201="Pending"),"",O201-L201)</f>
        <v/>
      </c>
      <c r="Q201" s="21" t="n"/>
      <c r="R201" s="11">
        <f>IF(OR(G201="",Q201=""),"",G201/Q201-1)</f>
        <v/>
      </c>
      <c r="S201" s="10">
        <f>IF(OR(L201="",J201=""),"",L201*J201)</f>
        <v/>
      </c>
      <c r="T201" s="10">
        <f>IF(P201="","",StartBank+SUM(P$2:P201))</f>
        <v/>
      </c>
    </row>
    <row r="202">
      <c r="A202" s="22" t="n"/>
      <c r="G202" s="21" t="n"/>
      <c r="H202" s="11" t="n"/>
      <c r="I202" s="21">
        <f>IF(OR(H202="",H202=0),"",1/H202)</f>
        <v/>
      </c>
      <c r="J202" s="11">
        <f>IF(OR(G202="",H202=""),"",H202*G202-1)</f>
        <v/>
      </c>
      <c r="K202" s="10">
        <f>IF(OR(G202="",H202="",G202&lt;=1),"",IF(J202&lt;IF(D202="Builder",MinEdgeBuilder,IF(D202="Player",MinEdgePlayer,MinEdgeSingle)),0,ROUND(MIN(IF(D202="Single",KellySingle,KellyBuilder)*(StartBank+SUM(P$1:P201))*J202/(G202-1),IF(D202="Builder",CapBuilder,CapSingle)*Unit),2)))</f>
        <v/>
      </c>
      <c r="L202" s="10" t="n"/>
      <c r="N202" s="10" t="n"/>
      <c r="O202" s="10">
        <f>IF(L202="","",IF(M202="Won",L202*G202,IF(M202="Void",L202,IF(M202="Cash out",N(N202),IF(M202="Lost",0,"")))))</f>
        <v/>
      </c>
      <c r="P202" s="10">
        <f>IF(OR(L202="",M202="",M202="Pending"),"",O202-L202)</f>
        <v/>
      </c>
      <c r="Q202" s="21" t="n"/>
      <c r="R202" s="11">
        <f>IF(OR(G202="",Q202=""),"",G202/Q202-1)</f>
        <v/>
      </c>
      <c r="S202" s="10">
        <f>IF(OR(L202="",J202=""),"",L202*J202)</f>
        <v/>
      </c>
      <c r="T202" s="10">
        <f>IF(P202="","",StartBank+SUM(P$2:P202))</f>
        <v/>
      </c>
    </row>
    <row r="203">
      <c r="A203" s="22" t="n"/>
      <c r="G203" s="21" t="n"/>
      <c r="H203" s="11" t="n"/>
      <c r="I203" s="21">
        <f>IF(OR(H203="",H203=0),"",1/H203)</f>
        <v/>
      </c>
      <c r="J203" s="11">
        <f>IF(OR(G203="",H203=""),"",H203*G203-1)</f>
        <v/>
      </c>
      <c r="K203" s="10">
        <f>IF(OR(G203="",H203="",G203&lt;=1),"",IF(J203&lt;IF(D203="Builder",MinEdgeBuilder,IF(D203="Player",MinEdgePlayer,MinEdgeSingle)),0,ROUND(MIN(IF(D203="Single",KellySingle,KellyBuilder)*(StartBank+SUM(P$1:P202))*J203/(G203-1),IF(D203="Builder",CapBuilder,CapSingle)*Unit),2)))</f>
        <v/>
      </c>
      <c r="L203" s="10" t="n"/>
      <c r="N203" s="10" t="n"/>
      <c r="O203" s="10">
        <f>IF(L203="","",IF(M203="Won",L203*G203,IF(M203="Void",L203,IF(M203="Cash out",N(N203),IF(M203="Lost",0,"")))))</f>
        <v/>
      </c>
      <c r="P203" s="10">
        <f>IF(OR(L203="",M203="",M203="Pending"),"",O203-L203)</f>
        <v/>
      </c>
      <c r="Q203" s="21" t="n"/>
      <c r="R203" s="11">
        <f>IF(OR(G203="",Q203=""),"",G203/Q203-1)</f>
        <v/>
      </c>
      <c r="S203" s="10">
        <f>IF(OR(L203="",J203=""),"",L203*J203)</f>
        <v/>
      </c>
      <c r="T203" s="10">
        <f>IF(P203="","",StartBank+SUM(P$2:P203))</f>
        <v/>
      </c>
    </row>
    <row r="204">
      <c r="A204" s="22" t="n"/>
      <c r="G204" s="21" t="n"/>
      <c r="H204" s="11" t="n"/>
      <c r="I204" s="21">
        <f>IF(OR(H204="",H204=0),"",1/H204)</f>
        <v/>
      </c>
      <c r="J204" s="11">
        <f>IF(OR(G204="",H204=""),"",H204*G204-1)</f>
        <v/>
      </c>
      <c r="K204" s="10">
        <f>IF(OR(G204="",H204="",G204&lt;=1),"",IF(J204&lt;IF(D204="Builder",MinEdgeBuilder,IF(D204="Player",MinEdgePlayer,MinEdgeSingle)),0,ROUND(MIN(IF(D204="Single",KellySingle,KellyBuilder)*(StartBank+SUM(P$1:P203))*J204/(G204-1),IF(D204="Builder",CapBuilder,CapSingle)*Unit),2)))</f>
        <v/>
      </c>
      <c r="L204" s="10" t="n"/>
      <c r="N204" s="10" t="n"/>
      <c r="O204" s="10">
        <f>IF(L204="","",IF(M204="Won",L204*G204,IF(M204="Void",L204,IF(M204="Cash out",N(N204),IF(M204="Lost",0,"")))))</f>
        <v/>
      </c>
      <c r="P204" s="10">
        <f>IF(OR(L204="",M204="",M204="Pending"),"",O204-L204)</f>
        <v/>
      </c>
      <c r="Q204" s="21" t="n"/>
      <c r="R204" s="11">
        <f>IF(OR(G204="",Q204=""),"",G204/Q204-1)</f>
        <v/>
      </c>
      <c r="S204" s="10">
        <f>IF(OR(L204="",J204=""),"",L204*J204)</f>
        <v/>
      </c>
      <c r="T204" s="10">
        <f>IF(P204="","",StartBank+SUM(P$2:P204))</f>
        <v/>
      </c>
    </row>
    <row r="205">
      <c r="A205" s="22" t="n"/>
      <c r="G205" s="21" t="n"/>
      <c r="H205" s="11" t="n"/>
      <c r="I205" s="21">
        <f>IF(OR(H205="",H205=0),"",1/H205)</f>
        <v/>
      </c>
      <c r="J205" s="11">
        <f>IF(OR(G205="",H205=""),"",H205*G205-1)</f>
        <v/>
      </c>
      <c r="K205" s="10">
        <f>IF(OR(G205="",H205="",G205&lt;=1),"",IF(J205&lt;IF(D205="Builder",MinEdgeBuilder,IF(D205="Player",MinEdgePlayer,MinEdgeSingle)),0,ROUND(MIN(IF(D205="Single",KellySingle,KellyBuilder)*(StartBank+SUM(P$1:P204))*J205/(G205-1),IF(D205="Builder",CapBuilder,CapSingle)*Unit),2)))</f>
        <v/>
      </c>
      <c r="L205" s="10" t="n"/>
      <c r="N205" s="10" t="n"/>
      <c r="O205" s="10">
        <f>IF(L205="","",IF(M205="Won",L205*G205,IF(M205="Void",L205,IF(M205="Cash out",N(N205),IF(M205="Lost",0,"")))))</f>
        <v/>
      </c>
      <c r="P205" s="10">
        <f>IF(OR(L205="",M205="",M205="Pending"),"",O205-L205)</f>
        <v/>
      </c>
      <c r="Q205" s="21" t="n"/>
      <c r="R205" s="11">
        <f>IF(OR(G205="",Q205=""),"",G205/Q205-1)</f>
        <v/>
      </c>
      <c r="S205" s="10">
        <f>IF(OR(L205="",J205=""),"",L205*J205)</f>
        <v/>
      </c>
      <c r="T205" s="10">
        <f>IF(P205="","",StartBank+SUM(P$2:P205))</f>
        <v/>
      </c>
    </row>
    <row r="206">
      <c r="A206" s="22" t="n"/>
      <c r="G206" s="21" t="n"/>
      <c r="H206" s="11" t="n"/>
      <c r="I206" s="21">
        <f>IF(OR(H206="",H206=0),"",1/H206)</f>
        <v/>
      </c>
      <c r="J206" s="11">
        <f>IF(OR(G206="",H206=""),"",H206*G206-1)</f>
        <v/>
      </c>
      <c r="K206" s="10">
        <f>IF(OR(G206="",H206="",G206&lt;=1),"",IF(J206&lt;IF(D206="Builder",MinEdgeBuilder,IF(D206="Player",MinEdgePlayer,MinEdgeSingle)),0,ROUND(MIN(IF(D206="Single",KellySingle,KellyBuilder)*(StartBank+SUM(P$1:P205))*J206/(G206-1),IF(D206="Builder",CapBuilder,CapSingle)*Unit),2)))</f>
        <v/>
      </c>
      <c r="L206" s="10" t="n"/>
      <c r="N206" s="10" t="n"/>
      <c r="O206" s="10">
        <f>IF(L206="","",IF(M206="Won",L206*G206,IF(M206="Void",L206,IF(M206="Cash out",N(N206),IF(M206="Lost",0,"")))))</f>
        <v/>
      </c>
      <c r="P206" s="10">
        <f>IF(OR(L206="",M206="",M206="Pending"),"",O206-L206)</f>
        <v/>
      </c>
      <c r="Q206" s="21" t="n"/>
      <c r="R206" s="11">
        <f>IF(OR(G206="",Q206=""),"",G206/Q206-1)</f>
        <v/>
      </c>
      <c r="S206" s="10">
        <f>IF(OR(L206="",J206=""),"",L206*J206)</f>
        <v/>
      </c>
      <c r="T206" s="10">
        <f>IF(P206="","",StartBank+SUM(P$2:P206))</f>
        <v/>
      </c>
    </row>
    <row r="207">
      <c r="A207" s="22" t="n"/>
      <c r="G207" s="21" t="n"/>
      <c r="H207" s="11" t="n"/>
      <c r="I207" s="21">
        <f>IF(OR(H207="",H207=0),"",1/H207)</f>
        <v/>
      </c>
      <c r="J207" s="11">
        <f>IF(OR(G207="",H207=""),"",H207*G207-1)</f>
        <v/>
      </c>
      <c r="K207" s="10">
        <f>IF(OR(G207="",H207="",G207&lt;=1),"",IF(J207&lt;IF(D207="Builder",MinEdgeBuilder,IF(D207="Player",MinEdgePlayer,MinEdgeSingle)),0,ROUND(MIN(IF(D207="Single",KellySingle,KellyBuilder)*(StartBank+SUM(P$1:P206))*J207/(G207-1),IF(D207="Builder",CapBuilder,CapSingle)*Unit),2)))</f>
        <v/>
      </c>
      <c r="L207" s="10" t="n"/>
      <c r="N207" s="10" t="n"/>
      <c r="O207" s="10">
        <f>IF(L207="","",IF(M207="Won",L207*G207,IF(M207="Void",L207,IF(M207="Cash out",N(N207),IF(M207="Lost",0,"")))))</f>
        <v/>
      </c>
      <c r="P207" s="10">
        <f>IF(OR(L207="",M207="",M207="Pending"),"",O207-L207)</f>
        <v/>
      </c>
      <c r="Q207" s="21" t="n"/>
      <c r="R207" s="11">
        <f>IF(OR(G207="",Q207=""),"",G207/Q207-1)</f>
        <v/>
      </c>
      <c r="S207" s="10">
        <f>IF(OR(L207="",J207=""),"",L207*J207)</f>
        <v/>
      </c>
      <c r="T207" s="10">
        <f>IF(P207="","",StartBank+SUM(P$2:P207))</f>
        <v/>
      </c>
    </row>
    <row r="208">
      <c r="A208" s="22" t="n"/>
      <c r="G208" s="21" t="n"/>
      <c r="H208" s="11" t="n"/>
      <c r="I208" s="21">
        <f>IF(OR(H208="",H208=0),"",1/H208)</f>
        <v/>
      </c>
      <c r="J208" s="11">
        <f>IF(OR(G208="",H208=""),"",H208*G208-1)</f>
        <v/>
      </c>
      <c r="K208" s="10">
        <f>IF(OR(G208="",H208="",G208&lt;=1),"",IF(J208&lt;IF(D208="Builder",MinEdgeBuilder,IF(D208="Player",MinEdgePlayer,MinEdgeSingle)),0,ROUND(MIN(IF(D208="Single",KellySingle,KellyBuilder)*(StartBank+SUM(P$1:P207))*J208/(G208-1),IF(D208="Builder",CapBuilder,CapSingle)*Unit),2)))</f>
        <v/>
      </c>
      <c r="L208" s="10" t="n"/>
      <c r="N208" s="10" t="n"/>
      <c r="O208" s="10">
        <f>IF(L208="","",IF(M208="Won",L208*G208,IF(M208="Void",L208,IF(M208="Cash out",N(N208),IF(M208="Lost",0,"")))))</f>
        <v/>
      </c>
      <c r="P208" s="10">
        <f>IF(OR(L208="",M208="",M208="Pending"),"",O208-L208)</f>
        <v/>
      </c>
      <c r="Q208" s="21" t="n"/>
      <c r="R208" s="11">
        <f>IF(OR(G208="",Q208=""),"",G208/Q208-1)</f>
        <v/>
      </c>
      <c r="S208" s="10">
        <f>IF(OR(L208="",J208=""),"",L208*J208)</f>
        <v/>
      </c>
      <c r="T208" s="10">
        <f>IF(P208="","",StartBank+SUM(P$2:P208))</f>
        <v/>
      </c>
    </row>
    <row r="209">
      <c r="A209" s="22" t="n"/>
      <c r="G209" s="21" t="n"/>
      <c r="H209" s="11" t="n"/>
      <c r="I209" s="21">
        <f>IF(OR(H209="",H209=0),"",1/H209)</f>
        <v/>
      </c>
      <c r="J209" s="11">
        <f>IF(OR(G209="",H209=""),"",H209*G209-1)</f>
        <v/>
      </c>
      <c r="K209" s="10">
        <f>IF(OR(G209="",H209="",G209&lt;=1),"",IF(J209&lt;IF(D209="Builder",MinEdgeBuilder,IF(D209="Player",MinEdgePlayer,MinEdgeSingle)),0,ROUND(MIN(IF(D209="Single",KellySingle,KellyBuilder)*(StartBank+SUM(P$1:P208))*J209/(G209-1),IF(D209="Builder",CapBuilder,CapSingle)*Unit),2)))</f>
        <v/>
      </c>
      <c r="L209" s="10" t="n"/>
      <c r="N209" s="10" t="n"/>
      <c r="O209" s="10">
        <f>IF(L209="","",IF(M209="Won",L209*G209,IF(M209="Void",L209,IF(M209="Cash out",N(N209),IF(M209="Lost",0,"")))))</f>
        <v/>
      </c>
      <c r="P209" s="10">
        <f>IF(OR(L209="",M209="",M209="Pending"),"",O209-L209)</f>
        <v/>
      </c>
      <c r="Q209" s="21" t="n"/>
      <c r="R209" s="11">
        <f>IF(OR(G209="",Q209=""),"",G209/Q209-1)</f>
        <v/>
      </c>
      <c r="S209" s="10">
        <f>IF(OR(L209="",J209=""),"",L209*J209)</f>
        <v/>
      </c>
      <c r="T209" s="10">
        <f>IF(P209="","",StartBank+SUM(P$2:P209))</f>
        <v/>
      </c>
    </row>
    <row r="210">
      <c r="A210" s="22" t="n"/>
      <c r="G210" s="21" t="n"/>
      <c r="H210" s="11" t="n"/>
      <c r="I210" s="21">
        <f>IF(OR(H210="",H210=0),"",1/H210)</f>
        <v/>
      </c>
      <c r="J210" s="11">
        <f>IF(OR(G210="",H210=""),"",H210*G210-1)</f>
        <v/>
      </c>
      <c r="K210" s="10">
        <f>IF(OR(G210="",H210="",G210&lt;=1),"",IF(J210&lt;IF(D210="Builder",MinEdgeBuilder,IF(D210="Player",MinEdgePlayer,MinEdgeSingle)),0,ROUND(MIN(IF(D210="Single",KellySingle,KellyBuilder)*(StartBank+SUM(P$1:P209))*J210/(G210-1),IF(D210="Builder",CapBuilder,CapSingle)*Unit),2)))</f>
        <v/>
      </c>
      <c r="L210" s="10" t="n"/>
      <c r="N210" s="10" t="n"/>
      <c r="O210" s="10">
        <f>IF(L210="","",IF(M210="Won",L210*G210,IF(M210="Void",L210,IF(M210="Cash out",N(N210),IF(M210="Lost",0,"")))))</f>
        <v/>
      </c>
      <c r="P210" s="10">
        <f>IF(OR(L210="",M210="",M210="Pending"),"",O210-L210)</f>
        <v/>
      </c>
      <c r="Q210" s="21" t="n"/>
      <c r="R210" s="11">
        <f>IF(OR(G210="",Q210=""),"",G210/Q210-1)</f>
        <v/>
      </c>
      <c r="S210" s="10">
        <f>IF(OR(L210="",J210=""),"",L210*J210)</f>
        <v/>
      </c>
      <c r="T210" s="10">
        <f>IF(P210="","",StartBank+SUM(P$2:P210))</f>
        <v/>
      </c>
    </row>
    <row r="211">
      <c r="A211" s="22" t="n"/>
      <c r="G211" s="21" t="n"/>
      <c r="H211" s="11" t="n"/>
      <c r="I211" s="21">
        <f>IF(OR(H211="",H211=0),"",1/H211)</f>
        <v/>
      </c>
      <c r="J211" s="11">
        <f>IF(OR(G211="",H211=""),"",H211*G211-1)</f>
        <v/>
      </c>
      <c r="K211" s="10">
        <f>IF(OR(G211="",H211="",G211&lt;=1),"",IF(J211&lt;IF(D211="Builder",MinEdgeBuilder,IF(D211="Player",MinEdgePlayer,MinEdgeSingle)),0,ROUND(MIN(IF(D211="Single",KellySingle,KellyBuilder)*(StartBank+SUM(P$1:P210))*J211/(G211-1),IF(D211="Builder",CapBuilder,CapSingle)*Unit),2)))</f>
        <v/>
      </c>
      <c r="L211" s="10" t="n"/>
      <c r="N211" s="10" t="n"/>
      <c r="O211" s="10">
        <f>IF(L211="","",IF(M211="Won",L211*G211,IF(M211="Void",L211,IF(M211="Cash out",N(N211),IF(M211="Lost",0,"")))))</f>
        <v/>
      </c>
      <c r="P211" s="10">
        <f>IF(OR(L211="",M211="",M211="Pending"),"",O211-L211)</f>
        <v/>
      </c>
      <c r="Q211" s="21" t="n"/>
      <c r="R211" s="11">
        <f>IF(OR(G211="",Q211=""),"",G211/Q211-1)</f>
        <v/>
      </c>
      <c r="S211" s="10">
        <f>IF(OR(L211="",J211=""),"",L211*J211)</f>
        <v/>
      </c>
      <c r="T211" s="10">
        <f>IF(P211="","",StartBank+SUM(P$2:P211))</f>
        <v/>
      </c>
    </row>
    <row r="212">
      <c r="A212" s="22" t="n"/>
      <c r="G212" s="21" t="n"/>
      <c r="H212" s="11" t="n"/>
      <c r="I212" s="21">
        <f>IF(OR(H212="",H212=0),"",1/H212)</f>
        <v/>
      </c>
      <c r="J212" s="11">
        <f>IF(OR(G212="",H212=""),"",H212*G212-1)</f>
        <v/>
      </c>
      <c r="K212" s="10">
        <f>IF(OR(G212="",H212="",G212&lt;=1),"",IF(J212&lt;IF(D212="Builder",MinEdgeBuilder,IF(D212="Player",MinEdgePlayer,MinEdgeSingle)),0,ROUND(MIN(IF(D212="Single",KellySingle,KellyBuilder)*(StartBank+SUM(P$1:P211))*J212/(G212-1),IF(D212="Builder",CapBuilder,CapSingle)*Unit),2)))</f>
        <v/>
      </c>
      <c r="L212" s="10" t="n"/>
      <c r="N212" s="10" t="n"/>
      <c r="O212" s="10">
        <f>IF(L212="","",IF(M212="Won",L212*G212,IF(M212="Void",L212,IF(M212="Cash out",N(N212),IF(M212="Lost",0,"")))))</f>
        <v/>
      </c>
      <c r="P212" s="10">
        <f>IF(OR(L212="",M212="",M212="Pending"),"",O212-L212)</f>
        <v/>
      </c>
      <c r="Q212" s="21" t="n"/>
      <c r="R212" s="11">
        <f>IF(OR(G212="",Q212=""),"",G212/Q212-1)</f>
        <v/>
      </c>
      <c r="S212" s="10">
        <f>IF(OR(L212="",J212=""),"",L212*J212)</f>
        <v/>
      </c>
      <c r="T212" s="10">
        <f>IF(P212="","",StartBank+SUM(P$2:P212))</f>
        <v/>
      </c>
    </row>
    <row r="213">
      <c r="A213" s="22" t="n"/>
      <c r="G213" s="21" t="n"/>
      <c r="H213" s="11" t="n"/>
      <c r="I213" s="21">
        <f>IF(OR(H213="",H213=0),"",1/H213)</f>
        <v/>
      </c>
      <c r="J213" s="11">
        <f>IF(OR(G213="",H213=""),"",H213*G213-1)</f>
        <v/>
      </c>
      <c r="K213" s="10">
        <f>IF(OR(G213="",H213="",G213&lt;=1),"",IF(J213&lt;IF(D213="Builder",MinEdgeBuilder,IF(D213="Player",MinEdgePlayer,MinEdgeSingle)),0,ROUND(MIN(IF(D213="Single",KellySingle,KellyBuilder)*(StartBank+SUM(P$1:P212))*J213/(G213-1),IF(D213="Builder",CapBuilder,CapSingle)*Unit),2)))</f>
        <v/>
      </c>
      <c r="L213" s="10" t="n"/>
      <c r="N213" s="10" t="n"/>
      <c r="O213" s="10">
        <f>IF(L213="","",IF(M213="Won",L213*G213,IF(M213="Void",L213,IF(M213="Cash out",N(N213),IF(M213="Lost",0,"")))))</f>
        <v/>
      </c>
      <c r="P213" s="10">
        <f>IF(OR(L213="",M213="",M213="Pending"),"",O213-L213)</f>
        <v/>
      </c>
      <c r="Q213" s="21" t="n"/>
      <c r="R213" s="11">
        <f>IF(OR(G213="",Q213=""),"",G213/Q213-1)</f>
        <v/>
      </c>
      <c r="S213" s="10">
        <f>IF(OR(L213="",J213=""),"",L213*J213)</f>
        <v/>
      </c>
      <c r="T213" s="10">
        <f>IF(P213="","",StartBank+SUM(P$2:P213))</f>
        <v/>
      </c>
    </row>
    <row r="214">
      <c r="A214" s="22" t="n"/>
      <c r="G214" s="21" t="n"/>
      <c r="H214" s="11" t="n"/>
      <c r="I214" s="21">
        <f>IF(OR(H214="",H214=0),"",1/H214)</f>
        <v/>
      </c>
      <c r="J214" s="11">
        <f>IF(OR(G214="",H214=""),"",H214*G214-1)</f>
        <v/>
      </c>
      <c r="K214" s="10">
        <f>IF(OR(G214="",H214="",G214&lt;=1),"",IF(J214&lt;IF(D214="Builder",MinEdgeBuilder,IF(D214="Player",MinEdgePlayer,MinEdgeSingle)),0,ROUND(MIN(IF(D214="Single",KellySingle,KellyBuilder)*(StartBank+SUM(P$1:P213))*J214/(G214-1),IF(D214="Builder",CapBuilder,CapSingle)*Unit),2)))</f>
        <v/>
      </c>
      <c r="L214" s="10" t="n"/>
      <c r="N214" s="10" t="n"/>
      <c r="O214" s="10">
        <f>IF(L214="","",IF(M214="Won",L214*G214,IF(M214="Void",L214,IF(M214="Cash out",N(N214),IF(M214="Lost",0,"")))))</f>
        <v/>
      </c>
      <c r="P214" s="10">
        <f>IF(OR(L214="",M214="",M214="Pending"),"",O214-L214)</f>
        <v/>
      </c>
      <c r="Q214" s="21" t="n"/>
      <c r="R214" s="11">
        <f>IF(OR(G214="",Q214=""),"",G214/Q214-1)</f>
        <v/>
      </c>
      <c r="S214" s="10">
        <f>IF(OR(L214="",J214=""),"",L214*J214)</f>
        <v/>
      </c>
      <c r="T214" s="10">
        <f>IF(P214="","",StartBank+SUM(P$2:P214))</f>
        <v/>
      </c>
    </row>
    <row r="215">
      <c r="A215" s="22" t="n"/>
      <c r="G215" s="21" t="n"/>
      <c r="H215" s="11" t="n"/>
      <c r="I215" s="21">
        <f>IF(OR(H215="",H215=0),"",1/H215)</f>
        <v/>
      </c>
      <c r="J215" s="11">
        <f>IF(OR(G215="",H215=""),"",H215*G215-1)</f>
        <v/>
      </c>
      <c r="K215" s="10">
        <f>IF(OR(G215="",H215="",G215&lt;=1),"",IF(J215&lt;IF(D215="Builder",MinEdgeBuilder,IF(D215="Player",MinEdgePlayer,MinEdgeSingle)),0,ROUND(MIN(IF(D215="Single",KellySingle,KellyBuilder)*(StartBank+SUM(P$1:P214))*J215/(G215-1),IF(D215="Builder",CapBuilder,CapSingle)*Unit),2)))</f>
        <v/>
      </c>
      <c r="L215" s="10" t="n"/>
      <c r="N215" s="10" t="n"/>
      <c r="O215" s="10">
        <f>IF(L215="","",IF(M215="Won",L215*G215,IF(M215="Void",L215,IF(M215="Cash out",N(N215),IF(M215="Lost",0,"")))))</f>
        <v/>
      </c>
      <c r="P215" s="10">
        <f>IF(OR(L215="",M215="",M215="Pending"),"",O215-L215)</f>
        <v/>
      </c>
      <c r="Q215" s="21" t="n"/>
      <c r="R215" s="11">
        <f>IF(OR(G215="",Q215=""),"",G215/Q215-1)</f>
        <v/>
      </c>
      <c r="S215" s="10">
        <f>IF(OR(L215="",J215=""),"",L215*J215)</f>
        <v/>
      </c>
      <c r="T215" s="10">
        <f>IF(P215="","",StartBank+SUM(P$2:P215))</f>
        <v/>
      </c>
    </row>
    <row r="216">
      <c r="A216" s="22" t="n"/>
      <c r="G216" s="21" t="n"/>
      <c r="H216" s="11" t="n"/>
      <c r="I216" s="21">
        <f>IF(OR(H216="",H216=0),"",1/H216)</f>
        <v/>
      </c>
      <c r="J216" s="11">
        <f>IF(OR(G216="",H216=""),"",H216*G216-1)</f>
        <v/>
      </c>
      <c r="K216" s="10">
        <f>IF(OR(G216="",H216="",G216&lt;=1),"",IF(J216&lt;IF(D216="Builder",MinEdgeBuilder,IF(D216="Player",MinEdgePlayer,MinEdgeSingle)),0,ROUND(MIN(IF(D216="Single",KellySingle,KellyBuilder)*(StartBank+SUM(P$1:P215))*J216/(G216-1),IF(D216="Builder",CapBuilder,CapSingle)*Unit),2)))</f>
        <v/>
      </c>
      <c r="L216" s="10" t="n"/>
      <c r="N216" s="10" t="n"/>
      <c r="O216" s="10">
        <f>IF(L216="","",IF(M216="Won",L216*G216,IF(M216="Void",L216,IF(M216="Cash out",N(N216),IF(M216="Lost",0,"")))))</f>
        <v/>
      </c>
      <c r="P216" s="10">
        <f>IF(OR(L216="",M216="",M216="Pending"),"",O216-L216)</f>
        <v/>
      </c>
      <c r="Q216" s="21" t="n"/>
      <c r="R216" s="11">
        <f>IF(OR(G216="",Q216=""),"",G216/Q216-1)</f>
        <v/>
      </c>
      <c r="S216" s="10">
        <f>IF(OR(L216="",J216=""),"",L216*J216)</f>
        <v/>
      </c>
      <c r="T216" s="10">
        <f>IF(P216="","",StartBank+SUM(P$2:P216))</f>
        <v/>
      </c>
    </row>
    <row r="217">
      <c r="A217" s="22" t="n"/>
      <c r="G217" s="21" t="n"/>
      <c r="H217" s="11" t="n"/>
      <c r="I217" s="21">
        <f>IF(OR(H217="",H217=0),"",1/H217)</f>
        <v/>
      </c>
      <c r="J217" s="11">
        <f>IF(OR(G217="",H217=""),"",H217*G217-1)</f>
        <v/>
      </c>
      <c r="K217" s="10">
        <f>IF(OR(G217="",H217="",G217&lt;=1),"",IF(J217&lt;IF(D217="Builder",MinEdgeBuilder,IF(D217="Player",MinEdgePlayer,MinEdgeSingle)),0,ROUND(MIN(IF(D217="Single",KellySingle,KellyBuilder)*(StartBank+SUM(P$1:P216))*J217/(G217-1),IF(D217="Builder",CapBuilder,CapSingle)*Unit),2)))</f>
        <v/>
      </c>
      <c r="L217" s="10" t="n"/>
      <c r="N217" s="10" t="n"/>
      <c r="O217" s="10">
        <f>IF(L217="","",IF(M217="Won",L217*G217,IF(M217="Void",L217,IF(M217="Cash out",N(N217),IF(M217="Lost",0,"")))))</f>
        <v/>
      </c>
      <c r="P217" s="10">
        <f>IF(OR(L217="",M217="",M217="Pending"),"",O217-L217)</f>
        <v/>
      </c>
      <c r="Q217" s="21" t="n"/>
      <c r="R217" s="11">
        <f>IF(OR(G217="",Q217=""),"",G217/Q217-1)</f>
        <v/>
      </c>
      <c r="S217" s="10">
        <f>IF(OR(L217="",J217=""),"",L217*J217)</f>
        <v/>
      </c>
      <c r="T217" s="10">
        <f>IF(P217="","",StartBank+SUM(P$2:P217))</f>
        <v/>
      </c>
    </row>
    <row r="218">
      <c r="A218" s="22" t="n"/>
      <c r="G218" s="21" t="n"/>
      <c r="H218" s="11" t="n"/>
      <c r="I218" s="21">
        <f>IF(OR(H218="",H218=0),"",1/H218)</f>
        <v/>
      </c>
      <c r="J218" s="11">
        <f>IF(OR(G218="",H218=""),"",H218*G218-1)</f>
        <v/>
      </c>
      <c r="K218" s="10">
        <f>IF(OR(G218="",H218="",G218&lt;=1),"",IF(J218&lt;IF(D218="Builder",MinEdgeBuilder,IF(D218="Player",MinEdgePlayer,MinEdgeSingle)),0,ROUND(MIN(IF(D218="Single",KellySingle,KellyBuilder)*(StartBank+SUM(P$1:P217))*J218/(G218-1),IF(D218="Builder",CapBuilder,CapSingle)*Unit),2)))</f>
        <v/>
      </c>
      <c r="L218" s="10" t="n"/>
      <c r="N218" s="10" t="n"/>
      <c r="O218" s="10">
        <f>IF(L218="","",IF(M218="Won",L218*G218,IF(M218="Void",L218,IF(M218="Cash out",N(N218),IF(M218="Lost",0,"")))))</f>
        <v/>
      </c>
      <c r="P218" s="10">
        <f>IF(OR(L218="",M218="",M218="Pending"),"",O218-L218)</f>
        <v/>
      </c>
      <c r="Q218" s="21" t="n"/>
      <c r="R218" s="11">
        <f>IF(OR(G218="",Q218=""),"",G218/Q218-1)</f>
        <v/>
      </c>
      <c r="S218" s="10">
        <f>IF(OR(L218="",J218=""),"",L218*J218)</f>
        <v/>
      </c>
      <c r="T218" s="10">
        <f>IF(P218="","",StartBank+SUM(P$2:P218))</f>
        <v/>
      </c>
    </row>
    <row r="219">
      <c r="A219" s="22" t="n"/>
      <c r="G219" s="21" t="n"/>
      <c r="H219" s="11" t="n"/>
      <c r="I219" s="21">
        <f>IF(OR(H219="",H219=0),"",1/H219)</f>
        <v/>
      </c>
      <c r="J219" s="11">
        <f>IF(OR(G219="",H219=""),"",H219*G219-1)</f>
        <v/>
      </c>
      <c r="K219" s="10">
        <f>IF(OR(G219="",H219="",G219&lt;=1),"",IF(J219&lt;IF(D219="Builder",MinEdgeBuilder,IF(D219="Player",MinEdgePlayer,MinEdgeSingle)),0,ROUND(MIN(IF(D219="Single",KellySingle,KellyBuilder)*(StartBank+SUM(P$1:P218))*J219/(G219-1),IF(D219="Builder",CapBuilder,CapSingle)*Unit),2)))</f>
        <v/>
      </c>
      <c r="L219" s="10" t="n"/>
      <c r="N219" s="10" t="n"/>
      <c r="O219" s="10">
        <f>IF(L219="","",IF(M219="Won",L219*G219,IF(M219="Void",L219,IF(M219="Cash out",N(N219),IF(M219="Lost",0,"")))))</f>
        <v/>
      </c>
      <c r="P219" s="10">
        <f>IF(OR(L219="",M219="",M219="Pending"),"",O219-L219)</f>
        <v/>
      </c>
      <c r="Q219" s="21" t="n"/>
      <c r="R219" s="11">
        <f>IF(OR(G219="",Q219=""),"",G219/Q219-1)</f>
        <v/>
      </c>
      <c r="S219" s="10">
        <f>IF(OR(L219="",J219=""),"",L219*J219)</f>
        <v/>
      </c>
      <c r="T219" s="10">
        <f>IF(P219="","",StartBank+SUM(P$2:P219))</f>
        <v/>
      </c>
    </row>
    <row r="220">
      <c r="A220" s="22" t="n"/>
      <c r="G220" s="21" t="n"/>
      <c r="H220" s="11" t="n"/>
      <c r="I220" s="21">
        <f>IF(OR(H220="",H220=0),"",1/H220)</f>
        <v/>
      </c>
      <c r="J220" s="11">
        <f>IF(OR(G220="",H220=""),"",H220*G220-1)</f>
        <v/>
      </c>
      <c r="K220" s="10">
        <f>IF(OR(G220="",H220="",G220&lt;=1),"",IF(J220&lt;IF(D220="Builder",MinEdgeBuilder,IF(D220="Player",MinEdgePlayer,MinEdgeSingle)),0,ROUND(MIN(IF(D220="Single",KellySingle,KellyBuilder)*(StartBank+SUM(P$1:P219))*J220/(G220-1),IF(D220="Builder",CapBuilder,CapSingle)*Unit),2)))</f>
        <v/>
      </c>
      <c r="L220" s="10" t="n"/>
      <c r="N220" s="10" t="n"/>
      <c r="O220" s="10">
        <f>IF(L220="","",IF(M220="Won",L220*G220,IF(M220="Void",L220,IF(M220="Cash out",N(N220),IF(M220="Lost",0,"")))))</f>
        <v/>
      </c>
      <c r="P220" s="10">
        <f>IF(OR(L220="",M220="",M220="Pending"),"",O220-L220)</f>
        <v/>
      </c>
      <c r="Q220" s="21" t="n"/>
      <c r="R220" s="11">
        <f>IF(OR(G220="",Q220=""),"",G220/Q220-1)</f>
        <v/>
      </c>
      <c r="S220" s="10">
        <f>IF(OR(L220="",J220=""),"",L220*J220)</f>
        <v/>
      </c>
      <c r="T220" s="10">
        <f>IF(P220="","",StartBank+SUM(P$2:P220))</f>
        <v/>
      </c>
    </row>
    <row r="221">
      <c r="A221" s="22" t="n"/>
      <c r="G221" s="21" t="n"/>
      <c r="H221" s="11" t="n"/>
      <c r="I221" s="21">
        <f>IF(OR(H221="",H221=0),"",1/H221)</f>
        <v/>
      </c>
      <c r="J221" s="11">
        <f>IF(OR(G221="",H221=""),"",H221*G221-1)</f>
        <v/>
      </c>
      <c r="K221" s="10">
        <f>IF(OR(G221="",H221="",G221&lt;=1),"",IF(J221&lt;IF(D221="Builder",MinEdgeBuilder,IF(D221="Player",MinEdgePlayer,MinEdgeSingle)),0,ROUND(MIN(IF(D221="Single",KellySingle,KellyBuilder)*(StartBank+SUM(P$1:P220))*J221/(G221-1),IF(D221="Builder",CapBuilder,CapSingle)*Unit),2)))</f>
        <v/>
      </c>
      <c r="L221" s="10" t="n"/>
      <c r="N221" s="10" t="n"/>
      <c r="O221" s="10">
        <f>IF(L221="","",IF(M221="Won",L221*G221,IF(M221="Void",L221,IF(M221="Cash out",N(N221),IF(M221="Lost",0,"")))))</f>
        <v/>
      </c>
      <c r="P221" s="10">
        <f>IF(OR(L221="",M221="",M221="Pending"),"",O221-L221)</f>
        <v/>
      </c>
      <c r="Q221" s="21" t="n"/>
      <c r="R221" s="11">
        <f>IF(OR(G221="",Q221=""),"",G221/Q221-1)</f>
        <v/>
      </c>
      <c r="S221" s="10">
        <f>IF(OR(L221="",J221=""),"",L221*J221)</f>
        <v/>
      </c>
      <c r="T221" s="10">
        <f>IF(P221="","",StartBank+SUM(P$2:P221))</f>
        <v/>
      </c>
    </row>
    <row r="222">
      <c r="A222" s="22" t="n"/>
      <c r="G222" s="21" t="n"/>
      <c r="H222" s="11" t="n"/>
      <c r="I222" s="21">
        <f>IF(OR(H222="",H222=0),"",1/H222)</f>
        <v/>
      </c>
      <c r="J222" s="11">
        <f>IF(OR(G222="",H222=""),"",H222*G222-1)</f>
        <v/>
      </c>
      <c r="K222" s="10">
        <f>IF(OR(G222="",H222="",G222&lt;=1),"",IF(J222&lt;IF(D222="Builder",MinEdgeBuilder,IF(D222="Player",MinEdgePlayer,MinEdgeSingle)),0,ROUND(MIN(IF(D222="Single",KellySingle,KellyBuilder)*(StartBank+SUM(P$1:P221))*J222/(G222-1),IF(D222="Builder",CapBuilder,CapSingle)*Unit),2)))</f>
        <v/>
      </c>
      <c r="L222" s="10" t="n"/>
      <c r="N222" s="10" t="n"/>
      <c r="O222" s="10">
        <f>IF(L222="","",IF(M222="Won",L222*G222,IF(M222="Void",L222,IF(M222="Cash out",N(N222),IF(M222="Lost",0,"")))))</f>
        <v/>
      </c>
      <c r="P222" s="10">
        <f>IF(OR(L222="",M222="",M222="Pending"),"",O222-L222)</f>
        <v/>
      </c>
      <c r="Q222" s="21" t="n"/>
      <c r="R222" s="11">
        <f>IF(OR(G222="",Q222=""),"",G222/Q222-1)</f>
        <v/>
      </c>
      <c r="S222" s="10">
        <f>IF(OR(L222="",J222=""),"",L222*J222)</f>
        <v/>
      </c>
      <c r="T222" s="10">
        <f>IF(P222="","",StartBank+SUM(P$2:P222))</f>
        <v/>
      </c>
    </row>
    <row r="223">
      <c r="A223" s="22" t="n"/>
      <c r="G223" s="21" t="n"/>
      <c r="H223" s="11" t="n"/>
      <c r="I223" s="21">
        <f>IF(OR(H223="",H223=0),"",1/H223)</f>
        <v/>
      </c>
      <c r="J223" s="11">
        <f>IF(OR(G223="",H223=""),"",H223*G223-1)</f>
        <v/>
      </c>
      <c r="K223" s="10">
        <f>IF(OR(G223="",H223="",G223&lt;=1),"",IF(J223&lt;IF(D223="Builder",MinEdgeBuilder,IF(D223="Player",MinEdgePlayer,MinEdgeSingle)),0,ROUND(MIN(IF(D223="Single",KellySingle,KellyBuilder)*(StartBank+SUM(P$1:P222))*J223/(G223-1),IF(D223="Builder",CapBuilder,CapSingle)*Unit),2)))</f>
        <v/>
      </c>
      <c r="L223" s="10" t="n"/>
      <c r="N223" s="10" t="n"/>
      <c r="O223" s="10">
        <f>IF(L223="","",IF(M223="Won",L223*G223,IF(M223="Void",L223,IF(M223="Cash out",N(N223),IF(M223="Lost",0,"")))))</f>
        <v/>
      </c>
      <c r="P223" s="10">
        <f>IF(OR(L223="",M223="",M223="Pending"),"",O223-L223)</f>
        <v/>
      </c>
      <c r="Q223" s="21" t="n"/>
      <c r="R223" s="11">
        <f>IF(OR(G223="",Q223=""),"",G223/Q223-1)</f>
        <v/>
      </c>
      <c r="S223" s="10">
        <f>IF(OR(L223="",J223=""),"",L223*J223)</f>
        <v/>
      </c>
      <c r="T223" s="10">
        <f>IF(P223="","",StartBank+SUM(P$2:P223))</f>
        <v/>
      </c>
    </row>
    <row r="224">
      <c r="A224" s="22" t="n"/>
      <c r="G224" s="21" t="n"/>
      <c r="H224" s="11" t="n"/>
      <c r="I224" s="21">
        <f>IF(OR(H224="",H224=0),"",1/H224)</f>
        <v/>
      </c>
      <c r="J224" s="11">
        <f>IF(OR(G224="",H224=""),"",H224*G224-1)</f>
        <v/>
      </c>
      <c r="K224" s="10">
        <f>IF(OR(G224="",H224="",G224&lt;=1),"",IF(J224&lt;IF(D224="Builder",MinEdgeBuilder,IF(D224="Player",MinEdgePlayer,MinEdgeSingle)),0,ROUND(MIN(IF(D224="Single",KellySingle,KellyBuilder)*(StartBank+SUM(P$1:P223))*J224/(G224-1),IF(D224="Builder",CapBuilder,CapSingle)*Unit),2)))</f>
        <v/>
      </c>
      <c r="L224" s="10" t="n"/>
      <c r="N224" s="10" t="n"/>
      <c r="O224" s="10">
        <f>IF(L224="","",IF(M224="Won",L224*G224,IF(M224="Void",L224,IF(M224="Cash out",N(N224),IF(M224="Lost",0,"")))))</f>
        <v/>
      </c>
      <c r="P224" s="10">
        <f>IF(OR(L224="",M224="",M224="Pending"),"",O224-L224)</f>
        <v/>
      </c>
      <c r="Q224" s="21" t="n"/>
      <c r="R224" s="11">
        <f>IF(OR(G224="",Q224=""),"",G224/Q224-1)</f>
        <v/>
      </c>
      <c r="S224" s="10">
        <f>IF(OR(L224="",J224=""),"",L224*J224)</f>
        <v/>
      </c>
      <c r="T224" s="10">
        <f>IF(P224="","",StartBank+SUM(P$2:P224))</f>
        <v/>
      </c>
    </row>
    <row r="225">
      <c r="A225" s="22" t="n"/>
      <c r="G225" s="21" t="n"/>
      <c r="H225" s="11" t="n"/>
      <c r="I225" s="21">
        <f>IF(OR(H225="",H225=0),"",1/H225)</f>
        <v/>
      </c>
      <c r="J225" s="11">
        <f>IF(OR(G225="",H225=""),"",H225*G225-1)</f>
        <v/>
      </c>
      <c r="K225" s="10">
        <f>IF(OR(G225="",H225="",G225&lt;=1),"",IF(J225&lt;IF(D225="Builder",MinEdgeBuilder,IF(D225="Player",MinEdgePlayer,MinEdgeSingle)),0,ROUND(MIN(IF(D225="Single",KellySingle,KellyBuilder)*(StartBank+SUM(P$1:P224))*J225/(G225-1),IF(D225="Builder",CapBuilder,CapSingle)*Unit),2)))</f>
        <v/>
      </c>
      <c r="L225" s="10" t="n"/>
      <c r="N225" s="10" t="n"/>
      <c r="O225" s="10">
        <f>IF(L225="","",IF(M225="Won",L225*G225,IF(M225="Void",L225,IF(M225="Cash out",N(N225),IF(M225="Lost",0,"")))))</f>
        <v/>
      </c>
      <c r="P225" s="10">
        <f>IF(OR(L225="",M225="",M225="Pending"),"",O225-L225)</f>
        <v/>
      </c>
      <c r="Q225" s="21" t="n"/>
      <c r="R225" s="11">
        <f>IF(OR(G225="",Q225=""),"",G225/Q225-1)</f>
        <v/>
      </c>
      <c r="S225" s="10">
        <f>IF(OR(L225="",J225=""),"",L225*J225)</f>
        <v/>
      </c>
      <c r="T225" s="10">
        <f>IF(P225="","",StartBank+SUM(P$2:P225))</f>
        <v/>
      </c>
    </row>
    <row r="226">
      <c r="A226" s="22" t="n"/>
      <c r="G226" s="21" t="n"/>
      <c r="H226" s="11" t="n"/>
      <c r="I226" s="21">
        <f>IF(OR(H226="",H226=0),"",1/H226)</f>
        <v/>
      </c>
      <c r="J226" s="11">
        <f>IF(OR(G226="",H226=""),"",H226*G226-1)</f>
        <v/>
      </c>
      <c r="K226" s="10">
        <f>IF(OR(G226="",H226="",G226&lt;=1),"",IF(J226&lt;IF(D226="Builder",MinEdgeBuilder,IF(D226="Player",MinEdgePlayer,MinEdgeSingle)),0,ROUND(MIN(IF(D226="Single",KellySingle,KellyBuilder)*(StartBank+SUM(P$1:P225))*J226/(G226-1),IF(D226="Builder",CapBuilder,CapSingle)*Unit),2)))</f>
        <v/>
      </c>
      <c r="L226" s="10" t="n"/>
      <c r="N226" s="10" t="n"/>
      <c r="O226" s="10">
        <f>IF(L226="","",IF(M226="Won",L226*G226,IF(M226="Void",L226,IF(M226="Cash out",N(N226),IF(M226="Lost",0,"")))))</f>
        <v/>
      </c>
      <c r="P226" s="10">
        <f>IF(OR(L226="",M226="",M226="Pending"),"",O226-L226)</f>
        <v/>
      </c>
      <c r="Q226" s="21" t="n"/>
      <c r="R226" s="11">
        <f>IF(OR(G226="",Q226=""),"",G226/Q226-1)</f>
        <v/>
      </c>
      <c r="S226" s="10">
        <f>IF(OR(L226="",J226=""),"",L226*J226)</f>
        <v/>
      </c>
      <c r="T226" s="10">
        <f>IF(P226="","",StartBank+SUM(P$2:P226))</f>
        <v/>
      </c>
    </row>
    <row r="227">
      <c r="A227" s="22" t="n"/>
      <c r="G227" s="21" t="n"/>
      <c r="H227" s="11" t="n"/>
      <c r="I227" s="21">
        <f>IF(OR(H227="",H227=0),"",1/H227)</f>
        <v/>
      </c>
      <c r="J227" s="11">
        <f>IF(OR(G227="",H227=""),"",H227*G227-1)</f>
        <v/>
      </c>
      <c r="K227" s="10">
        <f>IF(OR(G227="",H227="",G227&lt;=1),"",IF(J227&lt;IF(D227="Builder",MinEdgeBuilder,IF(D227="Player",MinEdgePlayer,MinEdgeSingle)),0,ROUND(MIN(IF(D227="Single",KellySingle,KellyBuilder)*(StartBank+SUM(P$1:P226))*J227/(G227-1),IF(D227="Builder",CapBuilder,CapSingle)*Unit),2)))</f>
        <v/>
      </c>
      <c r="L227" s="10" t="n"/>
      <c r="N227" s="10" t="n"/>
      <c r="O227" s="10">
        <f>IF(L227="","",IF(M227="Won",L227*G227,IF(M227="Void",L227,IF(M227="Cash out",N(N227),IF(M227="Lost",0,"")))))</f>
        <v/>
      </c>
      <c r="P227" s="10">
        <f>IF(OR(L227="",M227="",M227="Pending"),"",O227-L227)</f>
        <v/>
      </c>
      <c r="Q227" s="21" t="n"/>
      <c r="R227" s="11">
        <f>IF(OR(G227="",Q227=""),"",G227/Q227-1)</f>
        <v/>
      </c>
      <c r="S227" s="10">
        <f>IF(OR(L227="",J227=""),"",L227*J227)</f>
        <v/>
      </c>
      <c r="T227" s="10">
        <f>IF(P227="","",StartBank+SUM(P$2:P227))</f>
        <v/>
      </c>
    </row>
    <row r="228">
      <c r="A228" s="22" t="n"/>
      <c r="G228" s="21" t="n"/>
      <c r="H228" s="11" t="n"/>
      <c r="I228" s="21">
        <f>IF(OR(H228="",H228=0),"",1/H228)</f>
        <v/>
      </c>
      <c r="J228" s="11">
        <f>IF(OR(G228="",H228=""),"",H228*G228-1)</f>
        <v/>
      </c>
      <c r="K228" s="10">
        <f>IF(OR(G228="",H228="",G228&lt;=1),"",IF(J228&lt;IF(D228="Builder",MinEdgeBuilder,IF(D228="Player",MinEdgePlayer,MinEdgeSingle)),0,ROUND(MIN(IF(D228="Single",KellySingle,KellyBuilder)*(StartBank+SUM(P$1:P227))*J228/(G228-1),IF(D228="Builder",CapBuilder,CapSingle)*Unit),2)))</f>
        <v/>
      </c>
      <c r="L228" s="10" t="n"/>
      <c r="N228" s="10" t="n"/>
      <c r="O228" s="10">
        <f>IF(L228="","",IF(M228="Won",L228*G228,IF(M228="Void",L228,IF(M228="Cash out",N(N228),IF(M228="Lost",0,"")))))</f>
        <v/>
      </c>
      <c r="P228" s="10">
        <f>IF(OR(L228="",M228="",M228="Pending"),"",O228-L228)</f>
        <v/>
      </c>
      <c r="Q228" s="21" t="n"/>
      <c r="R228" s="11">
        <f>IF(OR(G228="",Q228=""),"",G228/Q228-1)</f>
        <v/>
      </c>
      <c r="S228" s="10">
        <f>IF(OR(L228="",J228=""),"",L228*J228)</f>
        <v/>
      </c>
      <c r="T228" s="10">
        <f>IF(P228="","",StartBank+SUM(P$2:P228))</f>
        <v/>
      </c>
    </row>
    <row r="229">
      <c r="A229" s="22" t="n"/>
      <c r="G229" s="21" t="n"/>
      <c r="H229" s="11" t="n"/>
      <c r="I229" s="21">
        <f>IF(OR(H229="",H229=0),"",1/H229)</f>
        <v/>
      </c>
      <c r="J229" s="11">
        <f>IF(OR(G229="",H229=""),"",H229*G229-1)</f>
        <v/>
      </c>
      <c r="K229" s="10">
        <f>IF(OR(G229="",H229="",G229&lt;=1),"",IF(J229&lt;IF(D229="Builder",MinEdgeBuilder,IF(D229="Player",MinEdgePlayer,MinEdgeSingle)),0,ROUND(MIN(IF(D229="Single",KellySingle,KellyBuilder)*(StartBank+SUM(P$1:P228))*J229/(G229-1),IF(D229="Builder",CapBuilder,CapSingle)*Unit),2)))</f>
        <v/>
      </c>
      <c r="L229" s="10" t="n"/>
      <c r="N229" s="10" t="n"/>
      <c r="O229" s="10">
        <f>IF(L229="","",IF(M229="Won",L229*G229,IF(M229="Void",L229,IF(M229="Cash out",N(N229),IF(M229="Lost",0,"")))))</f>
        <v/>
      </c>
      <c r="P229" s="10">
        <f>IF(OR(L229="",M229="",M229="Pending"),"",O229-L229)</f>
        <v/>
      </c>
      <c r="Q229" s="21" t="n"/>
      <c r="R229" s="11">
        <f>IF(OR(G229="",Q229=""),"",G229/Q229-1)</f>
        <v/>
      </c>
      <c r="S229" s="10">
        <f>IF(OR(L229="",J229=""),"",L229*J229)</f>
        <v/>
      </c>
      <c r="T229" s="10">
        <f>IF(P229="","",StartBank+SUM(P$2:P229))</f>
        <v/>
      </c>
    </row>
    <row r="230">
      <c r="A230" s="22" t="n"/>
      <c r="G230" s="21" t="n"/>
      <c r="H230" s="11" t="n"/>
      <c r="I230" s="21">
        <f>IF(OR(H230="",H230=0),"",1/H230)</f>
        <v/>
      </c>
      <c r="J230" s="11">
        <f>IF(OR(G230="",H230=""),"",H230*G230-1)</f>
        <v/>
      </c>
      <c r="K230" s="10">
        <f>IF(OR(G230="",H230="",G230&lt;=1),"",IF(J230&lt;IF(D230="Builder",MinEdgeBuilder,IF(D230="Player",MinEdgePlayer,MinEdgeSingle)),0,ROUND(MIN(IF(D230="Single",KellySingle,KellyBuilder)*(StartBank+SUM(P$1:P229))*J230/(G230-1),IF(D230="Builder",CapBuilder,CapSingle)*Unit),2)))</f>
        <v/>
      </c>
      <c r="L230" s="10" t="n"/>
      <c r="N230" s="10" t="n"/>
      <c r="O230" s="10">
        <f>IF(L230="","",IF(M230="Won",L230*G230,IF(M230="Void",L230,IF(M230="Cash out",N(N230),IF(M230="Lost",0,"")))))</f>
        <v/>
      </c>
      <c r="P230" s="10">
        <f>IF(OR(L230="",M230="",M230="Pending"),"",O230-L230)</f>
        <v/>
      </c>
      <c r="Q230" s="21" t="n"/>
      <c r="R230" s="11">
        <f>IF(OR(G230="",Q230=""),"",G230/Q230-1)</f>
        <v/>
      </c>
      <c r="S230" s="10">
        <f>IF(OR(L230="",J230=""),"",L230*J230)</f>
        <v/>
      </c>
      <c r="T230" s="10">
        <f>IF(P230="","",StartBank+SUM(P$2:P230))</f>
        <v/>
      </c>
    </row>
    <row r="231">
      <c r="A231" s="22" t="n"/>
      <c r="G231" s="21" t="n"/>
      <c r="H231" s="11" t="n"/>
      <c r="I231" s="21">
        <f>IF(OR(H231="",H231=0),"",1/H231)</f>
        <v/>
      </c>
      <c r="J231" s="11">
        <f>IF(OR(G231="",H231=""),"",H231*G231-1)</f>
        <v/>
      </c>
      <c r="K231" s="10">
        <f>IF(OR(G231="",H231="",G231&lt;=1),"",IF(J231&lt;IF(D231="Builder",MinEdgeBuilder,IF(D231="Player",MinEdgePlayer,MinEdgeSingle)),0,ROUND(MIN(IF(D231="Single",KellySingle,KellyBuilder)*(StartBank+SUM(P$1:P230))*J231/(G231-1),IF(D231="Builder",CapBuilder,CapSingle)*Unit),2)))</f>
        <v/>
      </c>
      <c r="L231" s="10" t="n"/>
      <c r="N231" s="10" t="n"/>
      <c r="O231" s="10">
        <f>IF(L231="","",IF(M231="Won",L231*G231,IF(M231="Void",L231,IF(M231="Cash out",N(N231),IF(M231="Lost",0,"")))))</f>
        <v/>
      </c>
      <c r="P231" s="10">
        <f>IF(OR(L231="",M231="",M231="Pending"),"",O231-L231)</f>
        <v/>
      </c>
      <c r="Q231" s="21" t="n"/>
      <c r="R231" s="11">
        <f>IF(OR(G231="",Q231=""),"",G231/Q231-1)</f>
        <v/>
      </c>
      <c r="S231" s="10">
        <f>IF(OR(L231="",J231=""),"",L231*J231)</f>
        <v/>
      </c>
      <c r="T231" s="10">
        <f>IF(P231="","",StartBank+SUM(P$2:P231))</f>
        <v/>
      </c>
    </row>
    <row r="232">
      <c r="A232" s="22" t="n"/>
      <c r="G232" s="21" t="n"/>
      <c r="H232" s="11" t="n"/>
      <c r="I232" s="21">
        <f>IF(OR(H232="",H232=0),"",1/H232)</f>
        <v/>
      </c>
      <c r="J232" s="11">
        <f>IF(OR(G232="",H232=""),"",H232*G232-1)</f>
        <v/>
      </c>
      <c r="K232" s="10">
        <f>IF(OR(G232="",H232="",G232&lt;=1),"",IF(J232&lt;IF(D232="Builder",MinEdgeBuilder,IF(D232="Player",MinEdgePlayer,MinEdgeSingle)),0,ROUND(MIN(IF(D232="Single",KellySingle,KellyBuilder)*(StartBank+SUM(P$1:P231))*J232/(G232-1),IF(D232="Builder",CapBuilder,CapSingle)*Unit),2)))</f>
        <v/>
      </c>
      <c r="L232" s="10" t="n"/>
      <c r="N232" s="10" t="n"/>
      <c r="O232" s="10">
        <f>IF(L232="","",IF(M232="Won",L232*G232,IF(M232="Void",L232,IF(M232="Cash out",N(N232),IF(M232="Lost",0,"")))))</f>
        <v/>
      </c>
      <c r="P232" s="10">
        <f>IF(OR(L232="",M232="",M232="Pending"),"",O232-L232)</f>
        <v/>
      </c>
      <c r="Q232" s="21" t="n"/>
      <c r="R232" s="11">
        <f>IF(OR(G232="",Q232=""),"",G232/Q232-1)</f>
        <v/>
      </c>
      <c r="S232" s="10">
        <f>IF(OR(L232="",J232=""),"",L232*J232)</f>
        <v/>
      </c>
      <c r="T232" s="10">
        <f>IF(P232="","",StartBank+SUM(P$2:P232))</f>
        <v/>
      </c>
    </row>
    <row r="233">
      <c r="A233" s="22" t="n"/>
      <c r="G233" s="21" t="n"/>
      <c r="H233" s="11" t="n"/>
      <c r="I233" s="21">
        <f>IF(OR(H233="",H233=0),"",1/H233)</f>
        <v/>
      </c>
      <c r="J233" s="11">
        <f>IF(OR(G233="",H233=""),"",H233*G233-1)</f>
        <v/>
      </c>
      <c r="K233" s="10">
        <f>IF(OR(G233="",H233="",G233&lt;=1),"",IF(J233&lt;IF(D233="Builder",MinEdgeBuilder,IF(D233="Player",MinEdgePlayer,MinEdgeSingle)),0,ROUND(MIN(IF(D233="Single",KellySingle,KellyBuilder)*(StartBank+SUM(P$1:P232))*J233/(G233-1),IF(D233="Builder",CapBuilder,CapSingle)*Unit),2)))</f>
        <v/>
      </c>
      <c r="L233" s="10" t="n"/>
      <c r="N233" s="10" t="n"/>
      <c r="O233" s="10">
        <f>IF(L233="","",IF(M233="Won",L233*G233,IF(M233="Void",L233,IF(M233="Cash out",N(N233),IF(M233="Lost",0,"")))))</f>
        <v/>
      </c>
      <c r="P233" s="10">
        <f>IF(OR(L233="",M233="",M233="Pending"),"",O233-L233)</f>
        <v/>
      </c>
      <c r="Q233" s="21" t="n"/>
      <c r="R233" s="11">
        <f>IF(OR(G233="",Q233=""),"",G233/Q233-1)</f>
        <v/>
      </c>
      <c r="S233" s="10">
        <f>IF(OR(L233="",J233=""),"",L233*J233)</f>
        <v/>
      </c>
      <c r="T233" s="10">
        <f>IF(P233="","",StartBank+SUM(P$2:P233))</f>
        <v/>
      </c>
    </row>
    <row r="234">
      <c r="A234" s="22" t="n"/>
      <c r="G234" s="21" t="n"/>
      <c r="H234" s="11" t="n"/>
      <c r="I234" s="21">
        <f>IF(OR(H234="",H234=0),"",1/H234)</f>
        <v/>
      </c>
      <c r="J234" s="11">
        <f>IF(OR(G234="",H234=""),"",H234*G234-1)</f>
        <v/>
      </c>
      <c r="K234" s="10">
        <f>IF(OR(G234="",H234="",G234&lt;=1),"",IF(J234&lt;IF(D234="Builder",MinEdgeBuilder,IF(D234="Player",MinEdgePlayer,MinEdgeSingle)),0,ROUND(MIN(IF(D234="Single",KellySingle,KellyBuilder)*(StartBank+SUM(P$1:P233))*J234/(G234-1),IF(D234="Builder",CapBuilder,CapSingle)*Unit),2)))</f>
        <v/>
      </c>
      <c r="L234" s="10" t="n"/>
      <c r="N234" s="10" t="n"/>
      <c r="O234" s="10">
        <f>IF(L234="","",IF(M234="Won",L234*G234,IF(M234="Void",L234,IF(M234="Cash out",N(N234),IF(M234="Lost",0,"")))))</f>
        <v/>
      </c>
      <c r="P234" s="10">
        <f>IF(OR(L234="",M234="",M234="Pending"),"",O234-L234)</f>
        <v/>
      </c>
      <c r="Q234" s="21" t="n"/>
      <c r="R234" s="11">
        <f>IF(OR(G234="",Q234=""),"",G234/Q234-1)</f>
        <v/>
      </c>
      <c r="S234" s="10">
        <f>IF(OR(L234="",J234=""),"",L234*J234)</f>
        <v/>
      </c>
      <c r="T234" s="10">
        <f>IF(P234="","",StartBank+SUM(P$2:P234))</f>
        <v/>
      </c>
    </row>
    <row r="235">
      <c r="A235" s="22" t="n"/>
      <c r="G235" s="21" t="n"/>
      <c r="H235" s="11" t="n"/>
      <c r="I235" s="21">
        <f>IF(OR(H235="",H235=0),"",1/H235)</f>
        <v/>
      </c>
      <c r="J235" s="11">
        <f>IF(OR(G235="",H235=""),"",H235*G235-1)</f>
        <v/>
      </c>
      <c r="K235" s="10">
        <f>IF(OR(G235="",H235="",G235&lt;=1),"",IF(J235&lt;IF(D235="Builder",MinEdgeBuilder,IF(D235="Player",MinEdgePlayer,MinEdgeSingle)),0,ROUND(MIN(IF(D235="Single",KellySingle,KellyBuilder)*(StartBank+SUM(P$1:P234))*J235/(G235-1),IF(D235="Builder",CapBuilder,CapSingle)*Unit),2)))</f>
        <v/>
      </c>
      <c r="L235" s="10" t="n"/>
      <c r="N235" s="10" t="n"/>
      <c r="O235" s="10">
        <f>IF(L235="","",IF(M235="Won",L235*G235,IF(M235="Void",L235,IF(M235="Cash out",N(N235),IF(M235="Lost",0,"")))))</f>
        <v/>
      </c>
      <c r="P235" s="10">
        <f>IF(OR(L235="",M235="",M235="Pending"),"",O235-L235)</f>
        <v/>
      </c>
      <c r="Q235" s="21" t="n"/>
      <c r="R235" s="11">
        <f>IF(OR(G235="",Q235=""),"",G235/Q235-1)</f>
        <v/>
      </c>
      <c r="S235" s="10">
        <f>IF(OR(L235="",J235=""),"",L235*J235)</f>
        <v/>
      </c>
      <c r="T235" s="10">
        <f>IF(P235="","",StartBank+SUM(P$2:P235))</f>
        <v/>
      </c>
    </row>
    <row r="236">
      <c r="A236" s="22" t="n"/>
      <c r="G236" s="21" t="n"/>
      <c r="H236" s="11" t="n"/>
      <c r="I236" s="21">
        <f>IF(OR(H236="",H236=0),"",1/H236)</f>
        <v/>
      </c>
      <c r="J236" s="11">
        <f>IF(OR(G236="",H236=""),"",H236*G236-1)</f>
        <v/>
      </c>
      <c r="K236" s="10">
        <f>IF(OR(G236="",H236="",G236&lt;=1),"",IF(J236&lt;IF(D236="Builder",MinEdgeBuilder,IF(D236="Player",MinEdgePlayer,MinEdgeSingle)),0,ROUND(MIN(IF(D236="Single",KellySingle,KellyBuilder)*(StartBank+SUM(P$1:P235))*J236/(G236-1),IF(D236="Builder",CapBuilder,CapSingle)*Unit),2)))</f>
        <v/>
      </c>
      <c r="L236" s="10" t="n"/>
      <c r="N236" s="10" t="n"/>
      <c r="O236" s="10">
        <f>IF(L236="","",IF(M236="Won",L236*G236,IF(M236="Void",L236,IF(M236="Cash out",N(N236),IF(M236="Lost",0,"")))))</f>
        <v/>
      </c>
      <c r="P236" s="10">
        <f>IF(OR(L236="",M236="",M236="Pending"),"",O236-L236)</f>
        <v/>
      </c>
      <c r="Q236" s="21" t="n"/>
      <c r="R236" s="11">
        <f>IF(OR(G236="",Q236=""),"",G236/Q236-1)</f>
        <v/>
      </c>
      <c r="S236" s="10">
        <f>IF(OR(L236="",J236=""),"",L236*J236)</f>
        <v/>
      </c>
      <c r="T236" s="10">
        <f>IF(P236="","",StartBank+SUM(P$2:P236))</f>
        <v/>
      </c>
    </row>
    <row r="237">
      <c r="A237" s="22" t="n"/>
      <c r="G237" s="21" t="n"/>
      <c r="H237" s="11" t="n"/>
      <c r="I237" s="21">
        <f>IF(OR(H237="",H237=0),"",1/H237)</f>
        <v/>
      </c>
      <c r="J237" s="11">
        <f>IF(OR(G237="",H237=""),"",H237*G237-1)</f>
        <v/>
      </c>
      <c r="K237" s="10">
        <f>IF(OR(G237="",H237="",G237&lt;=1),"",IF(J237&lt;IF(D237="Builder",MinEdgeBuilder,IF(D237="Player",MinEdgePlayer,MinEdgeSingle)),0,ROUND(MIN(IF(D237="Single",KellySingle,KellyBuilder)*(StartBank+SUM(P$1:P236))*J237/(G237-1),IF(D237="Builder",CapBuilder,CapSingle)*Unit),2)))</f>
        <v/>
      </c>
      <c r="L237" s="10" t="n"/>
      <c r="N237" s="10" t="n"/>
      <c r="O237" s="10">
        <f>IF(L237="","",IF(M237="Won",L237*G237,IF(M237="Void",L237,IF(M237="Cash out",N(N237),IF(M237="Lost",0,"")))))</f>
        <v/>
      </c>
      <c r="P237" s="10">
        <f>IF(OR(L237="",M237="",M237="Pending"),"",O237-L237)</f>
        <v/>
      </c>
      <c r="Q237" s="21" t="n"/>
      <c r="R237" s="11">
        <f>IF(OR(G237="",Q237=""),"",G237/Q237-1)</f>
        <v/>
      </c>
      <c r="S237" s="10">
        <f>IF(OR(L237="",J237=""),"",L237*J237)</f>
        <v/>
      </c>
      <c r="T237" s="10">
        <f>IF(P237="","",StartBank+SUM(P$2:P237))</f>
        <v/>
      </c>
    </row>
    <row r="238">
      <c r="A238" s="22" t="n"/>
      <c r="G238" s="21" t="n"/>
      <c r="H238" s="11" t="n"/>
      <c r="I238" s="21">
        <f>IF(OR(H238="",H238=0),"",1/H238)</f>
        <v/>
      </c>
      <c r="J238" s="11">
        <f>IF(OR(G238="",H238=""),"",H238*G238-1)</f>
        <v/>
      </c>
      <c r="K238" s="10">
        <f>IF(OR(G238="",H238="",G238&lt;=1),"",IF(J238&lt;IF(D238="Builder",MinEdgeBuilder,IF(D238="Player",MinEdgePlayer,MinEdgeSingle)),0,ROUND(MIN(IF(D238="Single",KellySingle,KellyBuilder)*(StartBank+SUM(P$1:P237))*J238/(G238-1),IF(D238="Builder",CapBuilder,CapSingle)*Unit),2)))</f>
        <v/>
      </c>
      <c r="L238" s="10" t="n"/>
      <c r="N238" s="10" t="n"/>
      <c r="O238" s="10">
        <f>IF(L238="","",IF(M238="Won",L238*G238,IF(M238="Void",L238,IF(M238="Cash out",N(N238),IF(M238="Lost",0,"")))))</f>
        <v/>
      </c>
      <c r="P238" s="10">
        <f>IF(OR(L238="",M238="",M238="Pending"),"",O238-L238)</f>
        <v/>
      </c>
      <c r="Q238" s="21" t="n"/>
      <c r="R238" s="11">
        <f>IF(OR(G238="",Q238=""),"",G238/Q238-1)</f>
        <v/>
      </c>
      <c r="S238" s="10">
        <f>IF(OR(L238="",J238=""),"",L238*J238)</f>
        <v/>
      </c>
      <c r="T238" s="10">
        <f>IF(P238="","",StartBank+SUM(P$2:P238))</f>
        <v/>
      </c>
    </row>
    <row r="239">
      <c r="A239" s="22" t="n"/>
      <c r="G239" s="21" t="n"/>
      <c r="H239" s="11" t="n"/>
      <c r="I239" s="21">
        <f>IF(OR(H239="",H239=0),"",1/H239)</f>
        <v/>
      </c>
      <c r="J239" s="11">
        <f>IF(OR(G239="",H239=""),"",H239*G239-1)</f>
        <v/>
      </c>
      <c r="K239" s="10">
        <f>IF(OR(G239="",H239="",G239&lt;=1),"",IF(J239&lt;IF(D239="Builder",MinEdgeBuilder,IF(D239="Player",MinEdgePlayer,MinEdgeSingle)),0,ROUND(MIN(IF(D239="Single",KellySingle,KellyBuilder)*(StartBank+SUM(P$1:P238))*J239/(G239-1),IF(D239="Builder",CapBuilder,CapSingle)*Unit),2)))</f>
        <v/>
      </c>
      <c r="L239" s="10" t="n"/>
      <c r="N239" s="10" t="n"/>
      <c r="O239" s="10">
        <f>IF(L239="","",IF(M239="Won",L239*G239,IF(M239="Void",L239,IF(M239="Cash out",N(N239),IF(M239="Lost",0,"")))))</f>
        <v/>
      </c>
      <c r="P239" s="10">
        <f>IF(OR(L239="",M239="",M239="Pending"),"",O239-L239)</f>
        <v/>
      </c>
      <c r="Q239" s="21" t="n"/>
      <c r="R239" s="11">
        <f>IF(OR(G239="",Q239=""),"",G239/Q239-1)</f>
        <v/>
      </c>
      <c r="S239" s="10">
        <f>IF(OR(L239="",J239=""),"",L239*J239)</f>
        <v/>
      </c>
      <c r="T239" s="10">
        <f>IF(P239="","",StartBank+SUM(P$2:P239))</f>
        <v/>
      </c>
    </row>
    <row r="240">
      <c r="A240" s="22" t="n"/>
      <c r="G240" s="21" t="n"/>
      <c r="H240" s="11" t="n"/>
      <c r="I240" s="21">
        <f>IF(OR(H240="",H240=0),"",1/H240)</f>
        <v/>
      </c>
      <c r="J240" s="11">
        <f>IF(OR(G240="",H240=""),"",H240*G240-1)</f>
        <v/>
      </c>
      <c r="K240" s="10">
        <f>IF(OR(G240="",H240="",G240&lt;=1),"",IF(J240&lt;IF(D240="Builder",MinEdgeBuilder,IF(D240="Player",MinEdgePlayer,MinEdgeSingle)),0,ROUND(MIN(IF(D240="Single",KellySingle,KellyBuilder)*(StartBank+SUM(P$1:P239))*J240/(G240-1),IF(D240="Builder",CapBuilder,CapSingle)*Unit),2)))</f>
        <v/>
      </c>
      <c r="L240" s="10" t="n"/>
      <c r="N240" s="10" t="n"/>
      <c r="O240" s="10">
        <f>IF(L240="","",IF(M240="Won",L240*G240,IF(M240="Void",L240,IF(M240="Cash out",N(N240),IF(M240="Lost",0,"")))))</f>
        <v/>
      </c>
      <c r="P240" s="10">
        <f>IF(OR(L240="",M240="",M240="Pending"),"",O240-L240)</f>
        <v/>
      </c>
      <c r="Q240" s="21" t="n"/>
      <c r="R240" s="11">
        <f>IF(OR(G240="",Q240=""),"",G240/Q240-1)</f>
        <v/>
      </c>
      <c r="S240" s="10">
        <f>IF(OR(L240="",J240=""),"",L240*J240)</f>
        <v/>
      </c>
      <c r="T240" s="10">
        <f>IF(P240="","",StartBank+SUM(P$2:P240))</f>
        <v/>
      </c>
    </row>
    <row r="241">
      <c r="A241" s="22" t="n"/>
      <c r="G241" s="21" t="n"/>
      <c r="H241" s="11" t="n"/>
      <c r="I241" s="21">
        <f>IF(OR(H241="",H241=0),"",1/H241)</f>
        <v/>
      </c>
      <c r="J241" s="11">
        <f>IF(OR(G241="",H241=""),"",H241*G241-1)</f>
        <v/>
      </c>
      <c r="K241" s="10">
        <f>IF(OR(G241="",H241="",G241&lt;=1),"",IF(J241&lt;IF(D241="Builder",MinEdgeBuilder,IF(D241="Player",MinEdgePlayer,MinEdgeSingle)),0,ROUND(MIN(IF(D241="Single",KellySingle,KellyBuilder)*(StartBank+SUM(P$1:P240))*J241/(G241-1),IF(D241="Builder",CapBuilder,CapSingle)*Unit),2)))</f>
        <v/>
      </c>
      <c r="L241" s="10" t="n"/>
      <c r="N241" s="10" t="n"/>
      <c r="O241" s="10">
        <f>IF(L241="","",IF(M241="Won",L241*G241,IF(M241="Void",L241,IF(M241="Cash out",N(N241),IF(M241="Lost",0,"")))))</f>
        <v/>
      </c>
      <c r="P241" s="10">
        <f>IF(OR(L241="",M241="",M241="Pending"),"",O241-L241)</f>
        <v/>
      </c>
      <c r="Q241" s="21" t="n"/>
      <c r="R241" s="11">
        <f>IF(OR(G241="",Q241=""),"",G241/Q241-1)</f>
        <v/>
      </c>
      <c r="S241" s="10">
        <f>IF(OR(L241="",J241=""),"",L241*J241)</f>
        <v/>
      </c>
      <c r="T241" s="10">
        <f>IF(P241="","",StartBank+SUM(P$2:P241))</f>
        <v/>
      </c>
    </row>
    <row r="242">
      <c r="A242" s="22" t="n"/>
      <c r="G242" s="21" t="n"/>
      <c r="H242" s="11" t="n"/>
      <c r="I242" s="21">
        <f>IF(OR(H242="",H242=0),"",1/H242)</f>
        <v/>
      </c>
      <c r="J242" s="11">
        <f>IF(OR(G242="",H242=""),"",H242*G242-1)</f>
        <v/>
      </c>
      <c r="K242" s="10">
        <f>IF(OR(G242="",H242="",G242&lt;=1),"",IF(J242&lt;IF(D242="Builder",MinEdgeBuilder,IF(D242="Player",MinEdgePlayer,MinEdgeSingle)),0,ROUND(MIN(IF(D242="Single",KellySingle,KellyBuilder)*(StartBank+SUM(P$1:P241))*J242/(G242-1),IF(D242="Builder",CapBuilder,CapSingle)*Unit),2)))</f>
        <v/>
      </c>
      <c r="L242" s="10" t="n"/>
      <c r="N242" s="10" t="n"/>
      <c r="O242" s="10">
        <f>IF(L242="","",IF(M242="Won",L242*G242,IF(M242="Void",L242,IF(M242="Cash out",N(N242),IF(M242="Lost",0,"")))))</f>
        <v/>
      </c>
      <c r="P242" s="10">
        <f>IF(OR(L242="",M242="",M242="Pending"),"",O242-L242)</f>
        <v/>
      </c>
      <c r="Q242" s="21" t="n"/>
      <c r="R242" s="11">
        <f>IF(OR(G242="",Q242=""),"",G242/Q242-1)</f>
        <v/>
      </c>
      <c r="S242" s="10">
        <f>IF(OR(L242="",J242=""),"",L242*J242)</f>
        <v/>
      </c>
      <c r="T242" s="10">
        <f>IF(P242="","",StartBank+SUM(P$2:P242))</f>
        <v/>
      </c>
    </row>
    <row r="243">
      <c r="A243" s="22" t="n"/>
      <c r="G243" s="21" t="n"/>
      <c r="H243" s="11" t="n"/>
      <c r="I243" s="21">
        <f>IF(OR(H243="",H243=0),"",1/H243)</f>
        <v/>
      </c>
      <c r="J243" s="11">
        <f>IF(OR(G243="",H243=""),"",H243*G243-1)</f>
        <v/>
      </c>
      <c r="K243" s="10">
        <f>IF(OR(G243="",H243="",G243&lt;=1),"",IF(J243&lt;IF(D243="Builder",MinEdgeBuilder,IF(D243="Player",MinEdgePlayer,MinEdgeSingle)),0,ROUND(MIN(IF(D243="Single",KellySingle,KellyBuilder)*(StartBank+SUM(P$1:P242))*J243/(G243-1),IF(D243="Builder",CapBuilder,CapSingle)*Unit),2)))</f>
        <v/>
      </c>
      <c r="L243" s="10" t="n"/>
      <c r="N243" s="10" t="n"/>
      <c r="O243" s="10">
        <f>IF(L243="","",IF(M243="Won",L243*G243,IF(M243="Void",L243,IF(M243="Cash out",N(N243),IF(M243="Lost",0,"")))))</f>
        <v/>
      </c>
      <c r="P243" s="10">
        <f>IF(OR(L243="",M243="",M243="Pending"),"",O243-L243)</f>
        <v/>
      </c>
      <c r="Q243" s="21" t="n"/>
      <c r="R243" s="11">
        <f>IF(OR(G243="",Q243=""),"",G243/Q243-1)</f>
        <v/>
      </c>
      <c r="S243" s="10">
        <f>IF(OR(L243="",J243=""),"",L243*J243)</f>
        <v/>
      </c>
      <c r="T243" s="10">
        <f>IF(P243="","",StartBank+SUM(P$2:P243))</f>
        <v/>
      </c>
    </row>
    <row r="244">
      <c r="A244" s="22" t="n"/>
      <c r="G244" s="21" t="n"/>
      <c r="H244" s="11" t="n"/>
      <c r="I244" s="21">
        <f>IF(OR(H244="",H244=0),"",1/H244)</f>
        <v/>
      </c>
      <c r="J244" s="11">
        <f>IF(OR(G244="",H244=""),"",H244*G244-1)</f>
        <v/>
      </c>
      <c r="K244" s="10">
        <f>IF(OR(G244="",H244="",G244&lt;=1),"",IF(J244&lt;IF(D244="Builder",MinEdgeBuilder,IF(D244="Player",MinEdgePlayer,MinEdgeSingle)),0,ROUND(MIN(IF(D244="Single",KellySingle,KellyBuilder)*(StartBank+SUM(P$1:P243))*J244/(G244-1),IF(D244="Builder",CapBuilder,CapSingle)*Unit),2)))</f>
        <v/>
      </c>
      <c r="L244" s="10" t="n"/>
      <c r="N244" s="10" t="n"/>
      <c r="O244" s="10">
        <f>IF(L244="","",IF(M244="Won",L244*G244,IF(M244="Void",L244,IF(M244="Cash out",N(N244),IF(M244="Lost",0,"")))))</f>
        <v/>
      </c>
      <c r="P244" s="10">
        <f>IF(OR(L244="",M244="",M244="Pending"),"",O244-L244)</f>
        <v/>
      </c>
      <c r="Q244" s="21" t="n"/>
      <c r="R244" s="11">
        <f>IF(OR(G244="",Q244=""),"",G244/Q244-1)</f>
        <v/>
      </c>
      <c r="S244" s="10">
        <f>IF(OR(L244="",J244=""),"",L244*J244)</f>
        <v/>
      </c>
      <c r="T244" s="10">
        <f>IF(P244="","",StartBank+SUM(P$2:P244))</f>
        <v/>
      </c>
    </row>
    <row r="245">
      <c r="A245" s="22" t="n"/>
      <c r="G245" s="21" t="n"/>
      <c r="H245" s="11" t="n"/>
      <c r="I245" s="21">
        <f>IF(OR(H245="",H245=0),"",1/H245)</f>
        <v/>
      </c>
      <c r="J245" s="11">
        <f>IF(OR(G245="",H245=""),"",H245*G245-1)</f>
        <v/>
      </c>
      <c r="K245" s="10">
        <f>IF(OR(G245="",H245="",G245&lt;=1),"",IF(J245&lt;IF(D245="Builder",MinEdgeBuilder,IF(D245="Player",MinEdgePlayer,MinEdgeSingle)),0,ROUND(MIN(IF(D245="Single",KellySingle,KellyBuilder)*(StartBank+SUM(P$1:P244))*J245/(G245-1),IF(D245="Builder",CapBuilder,CapSingle)*Unit),2)))</f>
        <v/>
      </c>
      <c r="L245" s="10" t="n"/>
      <c r="N245" s="10" t="n"/>
      <c r="O245" s="10">
        <f>IF(L245="","",IF(M245="Won",L245*G245,IF(M245="Void",L245,IF(M245="Cash out",N(N245),IF(M245="Lost",0,"")))))</f>
        <v/>
      </c>
      <c r="P245" s="10">
        <f>IF(OR(L245="",M245="",M245="Pending"),"",O245-L245)</f>
        <v/>
      </c>
      <c r="Q245" s="21" t="n"/>
      <c r="R245" s="11">
        <f>IF(OR(G245="",Q245=""),"",G245/Q245-1)</f>
        <v/>
      </c>
      <c r="S245" s="10">
        <f>IF(OR(L245="",J245=""),"",L245*J245)</f>
        <v/>
      </c>
      <c r="T245" s="10">
        <f>IF(P245="","",StartBank+SUM(P$2:P245))</f>
        <v/>
      </c>
    </row>
    <row r="246">
      <c r="A246" s="22" t="n"/>
      <c r="G246" s="21" t="n"/>
      <c r="H246" s="11" t="n"/>
      <c r="I246" s="21">
        <f>IF(OR(H246="",H246=0),"",1/H246)</f>
        <v/>
      </c>
      <c r="J246" s="11">
        <f>IF(OR(G246="",H246=""),"",H246*G246-1)</f>
        <v/>
      </c>
      <c r="K246" s="10">
        <f>IF(OR(G246="",H246="",G246&lt;=1),"",IF(J246&lt;IF(D246="Builder",MinEdgeBuilder,IF(D246="Player",MinEdgePlayer,MinEdgeSingle)),0,ROUND(MIN(IF(D246="Single",KellySingle,KellyBuilder)*(StartBank+SUM(P$1:P245))*J246/(G246-1),IF(D246="Builder",CapBuilder,CapSingle)*Unit),2)))</f>
        <v/>
      </c>
      <c r="L246" s="10" t="n"/>
      <c r="N246" s="10" t="n"/>
      <c r="O246" s="10">
        <f>IF(L246="","",IF(M246="Won",L246*G246,IF(M246="Void",L246,IF(M246="Cash out",N(N246),IF(M246="Lost",0,"")))))</f>
        <v/>
      </c>
      <c r="P246" s="10">
        <f>IF(OR(L246="",M246="",M246="Pending"),"",O246-L246)</f>
        <v/>
      </c>
      <c r="Q246" s="21" t="n"/>
      <c r="R246" s="11">
        <f>IF(OR(G246="",Q246=""),"",G246/Q246-1)</f>
        <v/>
      </c>
      <c r="S246" s="10">
        <f>IF(OR(L246="",J246=""),"",L246*J246)</f>
        <v/>
      </c>
      <c r="T246" s="10">
        <f>IF(P246="","",StartBank+SUM(P$2:P246))</f>
        <v/>
      </c>
    </row>
    <row r="247">
      <c r="A247" s="22" t="n"/>
      <c r="G247" s="21" t="n"/>
      <c r="H247" s="11" t="n"/>
      <c r="I247" s="21">
        <f>IF(OR(H247="",H247=0),"",1/H247)</f>
        <v/>
      </c>
      <c r="J247" s="11">
        <f>IF(OR(G247="",H247=""),"",H247*G247-1)</f>
        <v/>
      </c>
      <c r="K247" s="10">
        <f>IF(OR(G247="",H247="",G247&lt;=1),"",IF(J247&lt;IF(D247="Builder",MinEdgeBuilder,IF(D247="Player",MinEdgePlayer,MinEdgeSingle)),0,ROUND(MIN(IF(D247="Single",KellySingle,KellyBuilder)*(StartBank+SUM(P$1:P246))*J247/(G247-1),IF(D247="Builder",CapBuilder,CapSingle)*Unit),2)))</f>
        <v/>
      </c>
      <c r="L247" s="10" t="n"/>
      <c r="N247" s="10" t="n"/>
      <c r="O247" s="10">
        <f>IF(L247="","",IF(M247="Won",L247*G247,IF(M247="Void",L247,IF(M247="Cash out",N(N247),IF(M247="Lost",0,"")))))</f>
        <v/>
      </c>
      <c r="P247" s="10">
        <f>IF(OR(L247="",M247="",M247="Pending"),"",O247-L247)</f>
        <v/>
      </c>
      <c r="Q247" s="21" t="n"/>
      <c r="R247" s="11">
        <f>IF(OR(G247="",Q247=""),"",G247/Q247-1)</f>
        <v/>
      </c>
      <c r="S247" s="10">
        <f>IF(OR(L247="",J247=""),"",L247*J247)</f>
        <v/>
      </c>
      <c r="T247" s="10">
        <f>IF(P247="","",StartBank+SUM(P$2:P247))</f>
        <v/>
      </c>
    </row>
    <row r="248">
      <c r="A248" s="22" t="n"/>
      <c r="G248" s="21" t="n"/>
      <c r="H248" s="11" t="n"/>
      <c r="I248" s="21">
        <f>IF(OR(H248="",H248=0),"",1/H248)</f>
        <v/>
      </c>
      <c r="J248" s="11">
        <f>IF(OR(G248="",H248=""),"",H248*G248-1)</f>
        <v/>
      </c>
      <c r="K248" s="10">
        <f>IF(OR(G248="",H248="",G248&lt;=1),"",IF(J248&lt;IF(D248="Builder",MinEdgeBuilder,IF(D248="Player",MinEdgePlayer,MinEdgeSingle)),0,ROUND(MIN(IF(D248="Single",KellySingle,KellyBuilder)*(StartBank+SUM(P$1:P247))*J248/(G248-1),IF(D248="Builder",CapBuilder,CapSingle)*Unit),2)))</f>
        <v/>
      </c>
      <c r="L248" s="10" t="n"/>
      <c r="N248" s="10" t="n"/>
      <c r="O248" s="10">
        <f>IF(L248="","",IF(M248="Won",L248*G248,IF(M248="Void",L248,IF(M248="Cash out",N(N248),IF(M248="Lost",0,"")))))</f>
        <v/>
      </c>
      <c r="P248" s="10">
        <f>IF(OR(L248="",M248="",M248="Pending"),"",O248-L248)</f>
        <v/>
      </c>
      <c r="Q248" s="21" t="n"/>
      <c r="R248" s="11">
        <f>IF(OR(G248="",Q248=""),"",G248/Q248-1)</f>
        <v/>
      </c>
      <c r="S248" s="10">
        <f>IF(OR(L248="",J248=""),"",L248*J248)</f>
        <v/>
      </c>
      <c r="T248" s="10">
        <f>IF(P248="","",StartBank+SUM(P$2:P248))</f>
        <v/>
      </c>
    </row>
    <row r="249">
      <c r="A249" s="22" t="n"/>
      <c r="G249" s="21" t="n"/>
      <c r="H249" s="11" t="n"/>
      <c r="I249" s="21">
        <f>IF(OR(H249="",H249=0),"",1/H249)</f>
        <v/>
      </c>
      <c r="J249" s="11">
        <f>IF(OR(G249="",H249=""),"",H249*G249-1)</f>
        <v/>
      </c>
      <c r="K249" s="10">
        <f>IF(OR(G249="",H249="",G249&lt;=1),"",IF(J249&lt;IF(D249="Builder",MinEdgeBuilder,IF(D249="Player",MinEdgePlayer,MinEdgeSingle)),0,ROUND(MIN(IF(D249="Single",KellySingle,KellyBuilder)*(StartBank+SUM(P$1:P248))*J249/(G249-1),IF(D249="Builder",CapBuilder,CapSingle)*Unit),2)))</f>
        <v/>
      </c>
      <c r="L249" s="10" t="n"/>
      <c r="N249" s="10" t="n"/>
      <c r="O249" s="10">
        <f>IF(L249="","",IF(M249="Won",L249*G249,IF(M249="Void",L249,IF(M249="Cash out",N(N249),IF(M249="Lost",0,"")))))</f>
        <v/>
      </c>
      <c r="P249" s="10">
        <f>IF(OR(L249="",M249="",M249="Pending"),"",O249-L249)</f>
        <v/>
      </c>
      <c r="Q249" s="21" t="n"/>
      <c r="R249" s="11">
        <f>IF(OR(G249="",Q249=""),"",G249/Q249-1)</f>
        <v/>
      </c>
      <c r="S249" s="10">
        <f>IF(OR(L249="",J249=""),"",L249*J249)</f>
        <v/>
      </c>
      <c r="T249" s="10">
        <f>IF(P249="","",StartBank+SUM(P$2:P249))</f>
        <v/>
      </c>
    </row>
    <row r="250">
      <c r="A250" s="22" t="n"/>
      <c r="G250" s="21" t="n"/>
      <c r="H250" s="11" t="n"/>
      <c r="I250" s="21">
        <f>IF(OR(H250="",H250=0),"",1/H250)</f>
        <v/>
      </c>
      <c r="J250" s="11">
        <f>IF(OR(G250="",H250=""),"",H250*G250-1)</f>
        <v/>
      </c>
      <c r="K250" s="10">
        <f>IF(OR(G250="",H250="",G250&lt;=1),"",IF(J250&lt;IF(D250="Builder",MinEdgeBuilder,IF(D250="Player",MinEdgePlayer,MinEdgeSingle)),0,ROUND(MIN(IF(D250="Single",KellySingle,KellyBuilder)*(StartBank+SUM(P$1:P249))*J250/(G250-1),IF(D250="Builder",CapBuilder,CapSingle)*Unit),2)))</f>
        <v/>
      </c>
      <c r="L250" s="10" t="n"/>
      <c r="N250" s="10" t="n"/>
      <c r="O250" s="10">
        <f>IF(L250="","",IF(M250="Won",L250*G250,IF(M250="Void",L250,IF(M250="Cash out",N(N250),IF(M250="Lost",0,"")))))</f>
        <v/>
      </c>
      <c r="P250" s="10">
        <f>IF(OR(L250="",M250="",M250="Pending"),"",O250-L250)</f>
        <v/>
      </c>
      <c r="Q250" s="21" t="n"/>
      <c r="R250" s="11">
        <f>IF(OR(G250="",Q250=""),"",G250/Q250-1)</f>
        <v/>
      </c>
      <c r="S250" s="10">
        <f>IF(OR(L250="",J250=""),"",L250*J250)</f>
        <v/>
      </c>
      <c r="T250" s="10">
        <f>IF(P250="","",StartBank+SUM(P$2:P250))</f>
        <v/>
      </c>
    </row>
    <row r="251">
      <c r="A251" s="22" t="n"/>
      <c r="G251" s="21" t="n"/>
      <c r="H251" s="11" t="n"/>
      <c r="I251" s="21">
        <f>IF(OR(H251="",H251=0),"",1/H251)</f>
        <v/>
      </c>
      <c r="J251" s="11">
        <f>IF(OR(G251="",H251=""),"",H251*G251-1)</f>
        <v/>
      </c>
      <c r="K251" s="10">
        <f>IF(OR(G251="",H251="",G251&lt;=1),"",IF(J251&lt;IF(D251="Builder",MinEdgeBuilder,IF(D251="Player",MinEdgePlayer,MinEdgeSingle)),0,ROUND(MIN(IF(D251="Single",KellySingle,KellyBuilder)*(StartBank+SUM(P$1:P250))*J251/(G251-1),IF(D251="Builder",CapBuilder,CapSingle)*Unit),2)))</f>
        <v/>
      </c>
      <c r="L251" s="10" t="n"/>
      <c r="N251" s="10" t="n"/>
      <c r="O251" s="10">
        <f>IF(L251="","",IF(M251="Won",L251*G251,IF(M251="Void",L251,IF(M251="Cash out",N(N251),IF(M251="Lost",0,"")))))</f>
        <v/>
      </c>
      <c r="P251" s="10">
        <f>IF(OR(L251="",M251="",M251="Pending"),"",O251-L251)</f>
        <v/>
      </c>
      <c r="Q251" s="21" t="n"/>
      <c r="R251" s="11">
        <f>IF(OR(G251="",Q251=""),"",G251/Q251-1)</f>
        <v/>
      </c>
      <c r="S251" s="10">
        <f>IF(OR(L251="",J251=""),"",L251*J251)</f>
        <v/>
      </c>
      <c r="T251" s="10">
        <f>IF(P251="","",StartBank+SUM(P$2:P251))</f>
        <v/>
      </c>
    </row>
    <row r="252">
      <c r="A252" s="22" t="n"/>
      <c r="G252" s="21" t="n"/>
      <c r="H252" s="11" t="n"/>
      <c r="I252" s="21">
        <f>IF(OR(H252="",H252=0),"",1/H252)</f>
        <v/>
      </c>
      <c r="J252" s="11">
        <f>IF(OR(G252="",H252=""),"",H252*G252-1)</f>
        <v/>
      </c>
      <c r="K252" s="10">
        <f>IF(OR(G252="",H252="",G252&lt;=1),"",IF(J252&lt;IF(D252="Builder",MinEdgeBuilder,IF(D252="Player",MinEdgePlayer,MinEdgeSingle)),0,ROUND(MIN(IF(D252="Single",KellySingle,KellyBuilder)*(StartBank+SUM(P$1:P251))*J252/(G252-1),IF(D252="Builder",CapBuilder,CapSingle)*Unit),2)))</f>
        <v/>
      </c>
      <c r="L252" s="10" t="n"/>
      <c r="N252" s="10" t="n"/>
      <c r="O252" s="10">
        <f>IF(L252="","",IF(M252="Won",L252*G252,IF(M252="Void",L252,IF(M252="Cash out",N(N252),IF(M252="Lost",0,"")))))</f>
        <v/>
      </c>
      <c r="P252" s="10">
        <f>IF(OR(L252="",M252="",M252="Pending"),"",O252-L252)</f>
        <v/>
      </c>
      <c r="Q252" s="21" t="n"/>
      <c r="R252" s="11">
        <f>IF(OR(G252="",Q252=""),"",G252/Q252-1)</f>
        <v/>
      </c>
      <c r="S252" s="10">
        <f>IF(OR(L252="",J252=""),"",L252*J252)</f>
        <v/>
      </c>
      <c r="T252" s="10">
        <f>IF(P252="","",StartBank+SUM(P$2:P252))</f>
        <v/>
      </c>
    </row>
    <row r="253">
      <c r="A253" s="22" t="n"/>
      <c r="G253" s="21" t="n"/>
      <c r="H253" s="11" t="n"/>
      <c r="I253" s="21">
        <f>IF(OR(H253="",H253=0),"",1/H253)</f>
        <v/>
      </c>
      <c r="J253" s="11">
        <f>IF(OR(G253="",H253=""),"",H253*G253-1)</f>
        <v/>
      </c>
      <c r="K253" s="10">
        <f>IF(OR(G253="",H253="",G253&lt;=1),"",IF(J253&lt;IF(D253="Builder",MinEdgeBuilder,IF(D253="Player",MinEdgePlayer,MinEdgeSingle)),0,ROUND(MIN(IF(D253="Single",KellySingle,KellyBuilder)*(StartBank+SUM(P$1:P252))*J253/(G253-1),IF(D253="Builder",CapBuilder,CapSingle)*Unit),2)))</f>
        <v/>
      </c>
      <c r="L253" s="10" t="n"/>
      <c r="N253" s="10" t="n"/>
      <c r="O253" s="10">
        <f>IF(L253="","",IF(M253="Won",L253*G253,IF(M253="Void",L253,IF(M253="Cash out",N(N253),IF(M253="Lost",0,"")))))</f>
        <v/>
      </c>
      <c r="P253" s="10">
        <f>IF(OR(L253="",M253="",M253="Pending"),"",O253-L253)</f>
        <v/>
      </c>
      <c r="Q253" s="21" t="n"/>
      <c r="R253" s="11">
        <f>IF(OR(G253="",Q253=""),"",G253/Q253-1)</f>
        <v/>
      </c>
      <c r="S253" s="10">
        <f>IF(OR(L253="",J253=""),"",L253*J253)</f>
        <v/>
      </c>
      <c r="T253" s="10">
        <f>IF(P253="","",StartBank+SUM(P$2:P253))</f>
        <v/>
      </c>
    </row>
    <row r="254">
      <c r="A254" s="22" t="n"/>
      <c r="G254" s="21" t="n"/>
      <c r="H254" s="11" t="n"/>
      <c r="I254" s="21">
        <f>IF(OR(H254="",H254=0),"",1/H254)</f>
        <v/>
      </c>
      <c r="J254" s="11">
        <f>IF(OR(G254="",H254=""),"",H254*G254-1)</f>
        <v/>
      </c>
      <c r="K254" s="10">
        <f>IF(OR(G254="",H254="",G254&lt;=1),"",IF(J254&lt;IF(D254="Builder",MinEdgeBuilder,IF(D254="Player",MinEdgePlayer,MinEdgeSingle)),0,ROUND(MIN(IF(D254="Single",KellySingle,KellyBuilder)*(StartBank+SUM(P$1:P253))*J254/(G254-1),IF(D254="Builder",CapBuilder,CapSingle)*Unit),2)))</f>
        <v/>
      </c>
      <c r="L254" s="10" t="n"/>
      <c r="N254" s="10" t="n"/>
      <c r="O254" s="10">
        <f>IF(L254="","",IF(M254="Won",L254*G254,IF(M254="Void",L254,IF(M254="Cash out",N(N254),IF(M254="Lost",0,"")))))</f>
        <v/>
      </c>
      <c r="P254" s="10">
        <f>IF(OR(L254="",M254="",M254="Pending"),"",O254-L254)</f>
        <v/>
      </c>
      <c r="Q254" s="21" t="n"/>
      <c r="R254" s="11">
        <f>IF(OR(G254="",Q254=""),"",G254/Q254-1)</f>
        <v/>
      </c>
      <c r="S254" s="10">
        <f>IF(OR(L254="",J254=""),"",L254*J254)</f>
        <v/>
      </c>
      <c r="T254" s="10">
        <f>IF(P254="","",StartBank+SUM(P$2:P254))</f>
        <v/>
      </c>
    </row>
    <row r="255">
      <c r="A255" s="22" t="n"/>
      <c r="G255" s="21" t="n"/>
      <c r="H255" s="11" t="n"/>
      <c r="I255" s="21">
        <f>IF(OR(H255="",H255=0),"",1/H255)</f>
        <v/>
      </c>
      <c r="J255" s="11">
        <f>IF(OR(G255="",H255=""),"",H255*G255-1)</f>
        <v/>
      </c>
      <c r="K255" s="10">
        <f>IF(OR(G255="",H255="",G255&lt;=1),"",IF(J255&lt;IF(D255="Builder",MinEdgeBuilder,IF(D255="Player",MinEdgePlayer,MinEdgeSingle)),0,ROUND(MIN(IF(D255="Single",KellySingle,KellyBuilder)*(StartBank+SUM(P$1:P254))*J255/(G255-1),IF(D255="Builder",CapBuilder,CapSingle)*Unit),2)))</f>
        <v/>
      </c>
      <c r="L255" s="10" t="n"/>
      <c r="N255" s="10" t="n"/>
      <c r="O255" s="10">
        <f>IF(L255="","",IF(M255="Won",L255*G255,IF(M255="Void",L255,IF(M255="Cash out",N(N255),IF(M255="Lost",0,"")))))</f>
        <v/>
      </c>
      <c r="P255" s="10">
        <f>IF(OR(L255="",M255="",M255="Pending"),"",O255-L255)</f>
        <v/>
      </c>
      <c r="Q255" s="21" t="n"/>
      <c r="R255" s="11">
        <f>IF(OR(G255="",Q255=""),"",G255/Q255-1)</f>
        <v/>
      </c>
      <c r="S255" s="10">
        <f>IF(OR(L255="",J255=""),"",L255*J255)</f>
        <v/>
      </c>
      <c r="T255" s="10">
        <f>IF(P255="","",StartBank+SUM(P$2:P255))</f>
        <v/>
      </c>
    </row>
    <row r="256">
      <c r="A256" s="22" t="n"/>
      <c r="G256" s="21" t="n"/>
      <c r="H256" s="11" t="n"/>
      <c r="I256" s="21">
        <f>IF(OR(H256="",H256=0),"",1/H256)</f>
        <v/>
      </c>
      <c r="J256" s="11">
        <f>IF(OR(G256="",H256=""),"",H256*G256-1)</f>
        <v/>
      </c>
      <c r="K256" s="10">
        <f>IF(OR(G256="",H256="",G256&lt;=1),"",IF(J256&lt;IF(D256="Builder",MinEdgeBuilder,IF(D256="Player",MinEdgePlayer,MinEdgeSingle)),0,ROUND(MIN(IF(D256="Single",KellySingle,KellyBuilder)*(StartBank+SUM(P$1:P255))*J256/(G256-1),IF(D256="Builder",CapBuilder,CapSingle)*Unit),2)))</f>
        <v/>
      </c>
      <c r="L256" s="10" t="n"/>
      <c r="N256" s="10" t="n"/>
      <c r="O256" s="10">
        <f>IF(L256="","",IF(M256="Won",L256*G256,IF(M256="Void",L256,IF(M256="Cash out",N(N256),IF(M256="Lost",0,"")))))</f>
        <v/>
      </c>
      <c r="P256" s="10">
        <f>IF(OR(L256="",M256="",M256="Pending"),"",O256-L256)</f>
        <v/>
      </c>
      <c r="Q256" s="21" t="n"/>
      <c r="R256" s="11">
        <f>IF(OR(G256="",Q256=""),"",G256/Q256-1)</f>
        <v/>
      </c>
      <c r="S256" s="10">
        <f>IF(OR(L256="",J256=""),"",L256*J256)</f>
        <v/>
      </c>
      <c r="T256" s="10">
        <f>IF(P256="","",StartBank+SUM(P$2:P256))</f>
        <v/>
      </c>
    </row>
    <row r="257">
      <c r="A257" s="22" t="n"/>
      <c r="G257" s="21" t="n"/>
      <c r="H257" s="11" t="n"/>
      <c r="I257" s="21">
        <f>IF(OR(H257="",H257=0),"",1/H257)</f>
        <v/>
      </c>
      <c r="J257" s="11">
        <f>IF(OR(G257="",H257=""),"",H257*G257-1)</f>
        <v/>
      </c>
      <c r="K257" s="10">
        <f>IF(OR(G257="",H257="",G257&lt;=1),"",IF(J257&lt;IF(D257="Builder",MinEdgeBuilder,IF(D257="Player",MinEdgePlayer,MinEdgeSingle)),0,ROUND(MIN(IF(D257="Single",KellySingle,KellyBuilder)*(StartBank+SUM(P$1:P256))*J257/(G257-1),IF(D257="Builder",CapBuilder,CapSingle)*Unit),2)))</f>
        <v/>
      </c>
      <c r="L257" s="10" t="n"/>
      <c r="N257" s="10" t="n"/>
      <c r="O257" s="10">
        <f>IF(L257="","",IF(M257="Won",L257*G257,IF(M257="Void",L257,IF(M257="Cash out",N(N257),IF(M257="Lost",0,"")))))</f>
        <v/>
      </c>
      <c r="P257" s="10">
        <f>IF(OR(L257="",M257="",M257="Pending"),"",O257-L257)</f>
        <v/>
      </c>
      <c r="Q257" s="21" t="n"/>
      <c r="R257" s="11">
        <f>IF(OR(G257="",Q257=""),"",G257/Q257-1)</f>
        <v/>
      </c>
      <c r="S257" s="10">
        <f>IF(OR(L257="",J257=""),"",L257*J257)</f>
        <v/>
      </c>
      <c r="T257" s="10">
        <f>IF(P257="","",StartBank+SUM(P$2:P257))</f>
        <v/>
      </c>
    </row>
    <row r="258">
      <c r="A258" s="22" t="n"/>
      <c r="G258" s="21" t="n"/>
      <c r="H258" s="11" t="n"/>
      <c r="I258" s="21">
        <f>IF(OR(H258="",H258=0),"",1/H258)</f>
        <v/>
      </c>
      <c r="J258" s="11">
        <f>IF(OR(G258="",H258=""),"",H258*G258-1)</f>
        <v/>
      </c>
      <c r="K258" s="10">
        <f>IF(OR(G258="",H258="",G258&lt;=1),"",IF(J258&lt;IF(D258="Builder",MinEdgeBuilder,IF(D258="Player",MinEdgePlayer,MinEdgeSingle)),0,ROUND(MIN(IF(D258="Single",KellySingle,KellyBuilder)*(StartBank+SUM(P$1:P257))*J258/(G258-1),IF(D258="Builder",CapBuilder,CapSingle)*Unit),2)))</f>
        <v/>
      </c>
      <c r="L258" s="10" t="n"/>
      <c r="N258" s="10" t="n"/>
      <c r="O258" s="10">
        <f>IF(L258="","",IF(M258="Won",L258*G258,IF(M258="Void",L258,IF(M258="Cash out",N(N258),IF(M258="Lost",0,"")))))</f>
        <v/>
      </c>
      <c r="P258" s="10">
        <f>IF(OR(L258="",M258="",M258="Pending"),"",O258-L258)</f>
        <v/>
      </c>
      <c r="Q258" s="21" t="n"/>
      <c r="R258" s="11">
        <f>IF(OR(G258="",Q258=""),"",G258/Q258-1)</f>
        <v/>
      </c>
      <c r="S258" s="10">
        <f>IF(OR(L258="",J258=""),"",L258*J258)</f>
        <v/>
      </c>
      <c r="T258" s="10">
        <f>IF(P258="","",StartBank+SUM(P$2:P258))</f>
        <v/>
      </c>
    </row>
    <row r="259">
      <c r="A259" s="22" t="n"/>
      <c r="G259" s="21" t="n"/>
      <c r="H259" s="11" t="n"/>
      <c r="I259" s="21">
        <f>IF(OR(H259="",H259=0),"",1/H259)</f>
        <v/>
      </c>
      <c r="J259" s="11">
        <f>IF(OR(G259="",H259=""),"",H259*G259-1)</f>
        <v/>
      </c>
      <c r="K259" s="10">
        <f>IF(OR(G259="",H259="",G259&lt;=1),"",IF(J259&lt;IF(D259="Builder",MinEdgeBuilder,IF(D259="Player",MinEdgePlayer,MinEdgeSingle)),0,ROUND(MIN(IF(D259="Single",KellySingle,KellyBuilder)*(StartBank+SUM(P$1:P258))*J259/(G259-1),IF(D259="Builder",CapBuilder,CapSingle)*Unit),2)))</f>
        <v/>
      </c>
      <c r="L259" s="10" t="n"/>
      <c r="N259" s="10" t="n"/>
      <c r="O259" s="10">
        <f>IF(L259="","",IF(M259="Won",L259*G259,IF(M259="Void",L259,IF(M259="Cash out",N(N259),IF(M259="Lost",0,"")))))</f>
        <v/>
      </c>
      <c r="P259" s="10">
        <f>IF(OR(L259="",M259="",M259="Pending"),"",O259-L259)</f>
        <v/>
      </c>
      <c r="Q259" s="21" t="n"/>
      <c r="R259" s="11">
        <f>IF(OR(G259="",Q259=""),"",G259/Q259-1)</f>
        <v/>
      </c>
      <c r="S259" s="10">
        <f>IF(OR(L259="",J259=""),"",L259*J259)</f>
        <v/>
      </c>
      <c r="T259" s="10">
        <f>IF(P259="","",StartBank+SUM(P$2:P259))</f>
        <v/>
      </c>
    </row>
    <row r="260">
      <c r="A260" s="22" t="n"/>
      <c r="G260" s="21" t="n"/>
      <c r="H260" s="11" t="n"/>
      <c r="I260" s="21">
        <f>IF(OR(H260="",H260=0),"",1/H260)</f>
        <v/>
      </c>
      <c r="J260" s="11">
        <f>IF(OR(G260="",H260=""),"",H260*G260-1)</f>
        <v/>
      </c>
      <c r="K260" s="10">
        <f>IF(OR(G260="",H260="",G260&lt;=1),"",IF(J260&lt;IF(D260="Builder",MinEdgeBuilder,IF(D260="Player",MinEdgePlayer,MinEdgeSingle)),0,ROUND(MIN(IF(D260="Single",KellySingle,KellyBuilder)*(StartBank+SUM(P$1:P259))*J260/(G260-1),IF(D260="Builder",CapBuilder,CapSingle)*Unit),2)))</f>
        <v/>
      </c>
      <c r="L260" s="10" t="n"/>
      <c r="N260" s="10" t="n"/>
      <c r="O260" s="10">
        <f>IF(L260="","",IF(M260="Won",L260*G260,IF(M260="Void",L260,IF(M260="Cash out",N(N260),IF(M260="Lost",0,"")))))</f>
        <v/>
      </c>
      <c r="P260" s="10">
        <f>IF(OR(L260="",M260="",M260="Pending"),"",O260-L260)</f>
        <v/>
      </c>
      <c r="Q260" s="21" t="n"/>
      <c r="R260" s="11">
        <f>IF(OR(G260="",Q260=""),"",G260/Q260-1)</f>
        <v/>
      </c>
      <c r="S260" s="10">
        <f>IF(OR(L260="",J260=""),"",L260*J260)</f>
        <v/>
      </c>
      <c r="T260" s="10">
        <f>IF(P260="","",StartBank+SUM(P$2:P260))</f>
        <v/>
      </c>
    </row>
    <row r="261">
      <c r="A261" s="22" t="n"/>
      <c r="G261" s="21" t="n"/>
      <c r="H261" s="11" t="n"/>
      <c r="I261" s="21">
        <f>IF(OR(H261="",H261=0),"",1/H261)</f>
        <v/>
      </c>
      <c r="J261" s="11">
        <f>IF(OR(G261="",H261=""),"",H261*G261-1)</f>
        <v/>
      </c>
      <c r="K261" s="10">
        <f>IF(OR(G261="",H261="",G261&lt;=1),"",IF(J261&lt;IF(D261="Builder",MinEdgeBuilder,IF(D261="Player",MinEdgePlayer,MinEdgeSingle)),0,ROUND(MIN(IF(D261="Single",KellySingle,KellyBuilder)*(StartBank+SUM(P$1:P260))*J261/(G261-1),IF(D261="Builder",CapBuilder,CapSingle)*Unit),2)))</f>
        <v/>
      </c>
      <c r="L261" s="10" t="n"/>
      <c r="N261" s="10" t="n"/>
      <c r="O261" s="10">
        <f>IF(L261="","",IF(M261="Won",L261*G261,IF(M261="Void",L261,IF(M261="Cash out",N(N261),IF(M261="Lost",0,"")))))</f>
        <v/>
      </c>
      <c r="P261" s="10">
        <f>IF(OR(L261="",M261="",M261="Pending"),"",O261-L261)</f>
        <v/>
      </c>
      <c r="Q261" s="21" t="n"/>
      <c r="R261" s="11">
        <f>IF(OR(G261="",Q261=""),"",G261/Q261-1)</f>
        <v/>
      </c>
      <c r="S261" s="10">
        <f>IF(OR(L261="",J261=""),"",L261*J261)</f>
        <v/>
      </c>
      <c r="T261" s="10">
        <f>IF(P261="","",StartBank+SUM(P$2:P261))</f>
        <v/>
      </c>
    </row>
    <row r="262">
      <c r="A262" s="22" t="n"/>
      <c r="G262" s="21" t="n"/>
      <c r="H262" s="11" t="n"/>
      <c r="I262" s="21">
        <f>IF(OR(H262="",H262=0),"",1/H262)</f>
        <v/>
      </c>
      <c r="J262" s="11">
        <f>IF(OR(G262="",H262=""),"",H262*G262-1)</f>
        <v/>
      </c>
      <c r="K262" s="10">
        <f>IF(OR(G262="",H262="",G262&lt;=1),"",IF(J262&lt;IF(D262="Builder",MinEdgeBuilder,IF(D262="Player",MinEdgePlayer,MinEdgeSingle)),0,ROUND(MIN(IF(D262="Single",KellySingle,KellyBuilder)*(StartBank+SUM(P$1:P261))*J262/(G262-1),IF(D262="Builder",CapBuilder,CapSingle)*Unit),2)))</f>
        <v/>
      </c>
      <c r="L262" s="10" t="n"/>
      <c r="N262" s="10" t="n"/>
      <c r="O262" s="10">
        <f>IF(L262="","",IF(M262="Won",L262*G262,IF(M262="Void",L262,IF(M262="Cash out",N(N262),IF(M262="Lost",0,"")))))</f>
        <v/>
      </c>
      <c r="P262" s="10">
        <f>IF(OR(L262="",M262="",M262="Pending"),"",O262-L262)</f>
        <v/>
      </c>
      <c r="Q262" s="21" t="n"/>
      <c r="R262" s="11">
        <f>IF(OR(G262="",Q262=""),"",G262/Q262-1)</f>
        <v/>
      </c>
      <c r="S262" s="10">
        <f>IF(OR(L262="",J262=""),"",L262*J262)</f>
        <v/>
      </c>
      <c r="T262" s="10">
        <f>IF(P262="","",StartBank+SUM(P$2:P262))</f>
        <v/>
      </c>
    </row>
    <row r="263">
      <c r="A263" s="22" t="n"/>
      <c r="G263" s="21" t="n"/>
      <c r="H263" s="11" t="n"/>
      <c r="I263" s="21">
        <f>IF(OR(H263="",H263=0),"",1/H263)</f>
        <v/>
      </c>
      <c r="J263" s="11">
        <f>IF(OR(G263="",H263=""),"",H263*G263-1)</f>
        <v/>
      </c>
      <c r="K263" s="10">
        <f>IF(OR(G263="",H263="",G263&lt;=1),"",IF(J263&lt;IF(D263="Builder",MinEdgeBuilder,IF(D263="Player",MinEdgePlayer,MinEdgeSingle)),0,ROUND(MIN(IF(D263="Single",KellySingle,KellyBuilder)*(StartBank+SUM(P$1:P262))*J263/(G263-1),IF(D263="Builder",CapBuilder,CapSingle)*Unit),2)))</f>
        <v/>
      </c>
      <c r="L263" s="10" t="n"/>
      <c r="N263" s="10" t="n"/>
      <c r="O263" s="10">
        <f>IF(L263="","",IF(M263="Won",L263*G263,IF(M263="Void",L263,IF(M263="Cash out",N(N263),IF(M263="Lost",0,"")))))</f>
        <v/>
      </c>
      <c r="P263" s="10">
        <f>IF(OR(L263="",M263="",M263="Pending"),"",O263-L263)</f>
        <v/>
      </c>
      <c r="Q263" s="21" t="n"/>
      <c r="R263" s="11">
        <f>IF(OR(G263="",Q263=""),"",G263/Q263-1)</f>
        <v/>
      </c>
      <c r="S263" s="10">
        <f>IF(OR(L263="",J263=""),"",L263*J263)</f>
        <v/>
      </c>
      <c r="T263" s="10">
        <f>IF(P263="","",StartBank+SUM(P$2:P263))</f>
        <v/>
      </c>
    </row>
    <row r="264">
      <c r="A264" s="22" t="n"/>
      <c r="G264" s="21" t="n"/>
      <c r="H264" s="11" t="n"/>
      <c r="I264" s="21">
        <f>IF(OR(H264="",H264=0),"",1/H264)</f>
        <v/>
      </c>
      <c r="J264" s="11">
        <f>IF(OR(G264="",H264=""),"",H264*G264-1)</f>
        <v/>
      </c>
      <c r="K264" s="10">
        <f>IF(OR(G264="",H264="",G264&lt;=1),"",IF(J264&lt;IF(D264="Builder",MinEdgeBuilder,IF(D264="Player",MinEdgePlayer,MinEdgeSingle)),0,ROUND(MIN(IF(D264="Single",KellySingle,KellyBuilder)*(StartBank+SUM(P$1:P263))*J264/(G264-1),IF(D264="Builder",CapBuilder,CapSingle)*Unit),2)))</f>
        <v/>
      </c>
      <c r="L264" s="10" t="n"/>
      <c r="N264" s="10" t="n"/>
      <c r="O264" s="10">
        <f>IF(L264="","",IF(M264="Won",L264*G264,IF(M264="Void",L264,IF(M264="Cash out",N(N264),IF(M264="Lost",0,"")))))</f>
        <v/>
      </c>
      <c r="P264" s="10">
        <f>IF(OR(L264="",M264="",M264="Pending"),"",O264-L264)</f>
        <v/>
      </c>
      <c r="Q264" s="21" t="n"/>
      <c r="R264" s="11">
        <f>IF(OR(G264="",Q264=""),"",G264/Q264-1)</f>
        <v/>
      </c>
      <c r="S264" s="10">
        <f>IF(OR(L264="",J264=""),"",L264*J264)</f>
        <v/>
      </c>
      <c r="T264" s="10">
        <f>IF(P264="","",StartBank+SUM(P$2:P264))</f>
        <v/>
      </c>
    </row>
    <row r="265">
      <c r="A265" s="22" t="n"/>
      <c r="G265" s="21" t="n"/>
      <c r="H265" s="11" t="n"/>
      <c r="I265" s="21">
        <f>IF(OR(H265="",H265=0),"",1/H265)</f>
        <v/>
      </c>
      <c r="J265" s="11">
        <f>IF(OR(G265="",H265=""),"",H265*G265-1)</f>
        <v/>
      </c>
      <c r="K265" s="10">
        <f>IF(OR(G265="",H265="",G265&lt;=1),"",IF(J265&lt;IF(D265="Builder",MinEdgeBuilder,IF(D265="Player",MinEdgePlayer,MinEdgeSingle)),0,ROUND(MIN(IF(D265="Single",KellySingle,KellyBuilder)*(StartBank+SUM(P$1:P264))*J265/(G265-1),IF(D265="Builder",CapBuilder,CapSingle)*Unit),2)))</f>
        <v/>
      </c>
      <c r="L265" s="10" t="n"/>
      <c r="N265" s="10" t="n"/>
      <c r="O265" s="10">
        <f>IF(L265="","",IF(M265="Won",L265*G265,IF(M265="Void",L265,IF(M265="Cash out",N(N265),IF(M265="Lost",0,"")))))</f>
        <v/>
      </c>
      <c r="P265" s="10">
        <f>IF(OR(L265="",M265="",M265="Pending"),"",O265-L265)</f>
        <v/>
      </c>
      <c r="Q265" s="21" t="n"/>
      <c r="R265" s="11">
        <f>IF(OR(G265="",Q265=""),"",G265/Q265-1)</f>
        <v/>
      </c>
      <c r="S265" s="10">
        <f>IF(OR(L265="",J265=""),"",L265*J265)</f>
        <v/>
      </c>
      <c r="T265" s="10">
        <f>IF(P265="","",StartBank+SUM(P$2:P265))</f>
        <v/>
      </c>
    </row>
    <row r="266">
      <c r="A266" s="22" t="n"/>
      <c r="G266" s="21" t="n"/>
      <c r="H266" s="11" t="n"/>
      <c r="I266" s="21">
        <f>IF(OR(H266="",H266=0),"",1/H266)</f>
        <v/>
      </c>
      <c r="J266" s="11">
        <f>IF(OR(G266="",H266=""),"",H266*G266-1)</f>
        <v/>
      </c>
      <c r="K266" s="10">
        <f>IF(OR(G266="",H266="",G266&lt;=1),"",IF(J266&lt;IF(D266="Builder",MinEdgeBuilder,IF(D266="Player",MinEdgePlayer,MinEdgeSingle)),0,ROUND(MIN(IF(D266="Single",KellySingle,KellyBuilder)*(StartBank+SUM(P$1:P265))*J266/(G266-1),IF(D266="Builder",CapBuilder,CapSingle)*Unit),2)))</f>
        <v/>
      </c>
      <c r="L266" s="10" t="n"/>
      <c r="N266" s="10" t="n"/>
      <c r="O266" s="10">
        <f>IF(L266="","",IF(M266="Won",L266*G266,IF(M266="Void",L266,IF(M266="Cash out",N(N266),IF(M266="Lost",0,"")))))</f>
        <v/>
      </c>
      <c r="P266" s="10">
        <f>IF(OR(L266="",M266="",M266="Pending"),"",O266-L266)</f>
        <v/>
      </c>
      <c r="Q266" s="21" t="n"/>
      <c r="R266" s="11">
        <f>IF(OR(G266="",Q266=""),"",G266/Q266-1)</f>
        <v/>
      </c>
      <c r="S266" s="10">
        <f>IF(OR(L266="",J266=""),"",L266*J266)</f>
        <v/>
      </c>
      <c r="T266" s="10">
        <f>IF(P266="","",StartBank+SUM(P$2:P266))</f>
        <v/>
      </c>
    </row>
    <row r="267">
      <c r="A267" s="22" t="n"/>
      <c r="G267" s="21" t="n"/>
      <c r="H267" s="11" t="n"/>
      <c r="I267" s="21">
        <f>IF(OR(H267="",H267=0),"",1/H267)</f>
        <v/>
      </c>
      <c r="J267" s="11">
        <f>IF(OR(G267="",H267=""),"",H267*G267-1)</f>
        <v/>
      </c>
      <c r="K267" s="10">
        <f>IF(OR(G267="",H267="",G267&lt;=1),"",IF(J267&lt;IF(D267="Builder",MinEdgeBuilder,IF(D267="Player",MinEdgePlayer,MinEdgeSingle)),0,ROUND(MIN(IF(D267="Single",KellySingle,KellyBuilder)*(StartBank+SUM(P$1:P266))*J267/(G267-1),IF(D267="Builder",CapBuilder,CapSingle)*Unit),2)))</f>
        <v/>
      </c>
      <c r="L267" s="10" t="n"/>
      <c r="N267" s="10" t="n"/>
      <c r="O267" s="10">
        <f>IF(L267="","",IF(M267="Won",L267*G267,IF(M267="Void",L267,IF(M267="Cash out",N(N267),IF(M267="Lost",0,"")))))</f>
        <v/>
      </c>
      <c r="P267" s="10">
        <f>IF(OR(L267="",M267="",M267="Pending"),"",O267-L267)</f>
        <v/>
      </c>
      <c r="Q267" s="21" t="n"/>
      <c r="R267" s="11">
        <f>IF(OR(G267="",Q267=""),"",G267/Q267-1)</f>
        <v/>
      </c>
      <c r="S267" s="10">
        <f>IF(OR(L267="",J267=""),"",L267*J267)</f>
        <v/>
      </c>
      <c r="T267" s="10">
        <f>IF(P267="","",StartBank+SUM(P$2:P267))</f>
        <v/>
      </c>
    </row>
    <row r="268">
      <c r="A268" s="22" t="n"/>
      <c r="G268" s="21" t="n"/>
      <c r="H268" s="11" t="n"/>
      <c r="I268" s="21">
        <f>IF(OR(H268="",H268=0),"",1/H268)</f>
        <v/>
      </c>
      <c r="J268" s="11">
        <f>IF(OR(G268="",H268=""),"",H268*G268-1)</f>
        <v/>
      </c>
      <c r="K268" s="10">
        <f>IF(OR(G268="",H268="",G268&lt;=1),"",IF(J268&lt;IF(D268="Builder",MinEdgeBuilder,IF(D268="Player",MinEdgePlayer,MinEdgeSingle)),0,ROUND(MIN(IF(D268="Single",KellySingle,KellyBuilder)*(StartBank+SUM(P$1:P267))*J268/(G268-1),IF(D268="Builder",CapBuilder,CapSingle)*Unit),2)))</f>
        <v/>
      </c>
      <c r="L268" s="10" t="n"/>
      <c r="N268" s="10" t="n"/>
      <c r="O268" s="10">
        <f>IF(L268="","",IF(M268="Won",L268*G268,IF(M268="Void",L268,IF(M268="Cash out",N(N268),IF(M268="Lost",0,"")))))</f>
        <v/>
      </c>
      <c r="P268" s="10">
        <f>IF(OR(L268="",M268="",M268="Pending"),"",O268-L268)</f>
        <v/>
      </c>
      <c r="Q268" s="21" t="n"/>
      <c r="R268" s="11">
        <f>IF(OR(G268="",Q268=""),"",G268/Q268-1)</f>
        <v/>
      </c>
      <c r="S268" s="10">
        <f>IF(OR(L268="",J268=""),"",L268*J268)</f>
        <v/>
      </c>
      <c r="T268" s="10">
        <f>IF(P268="","",StartBank+SUM(P$2:P268))</f>
        <v/>
      </c>
    </row>
    <row r="269">
      <c r="A269" s="22" t="n"/>
      <c r="G269" s="21" t="n"/>
      <c r="H269" s="11" t="n"/>
      <c r="I269" s="21">
        <f>IF(OR(H269="",H269=0),"",1/H269)</f>
        <v/>
      </c>
      <c r="J269" s="11">
        <f>IF(OR(G269="",H269=""),"",H269*G269-1)</f>
        <v/>
      </c>
      <c r="K269" s="10">
        <f>IF(OR(G269="",H269="",G269&lt;=1),"",IF(J269&lt;IF(D269="Builder",MinEdgeBuilder,IF(D269="Player",MinEdgePlayer,MinEdgeSingle)),0,ROUND(MIN(IF(D269="Single",KellySingle,KellyBuilder)*(StartBank+SUM(P$1:P268))*J269/(G269-1),IF(D269="Builder",CapBuilder,CapSingle)*Unit),2)))</f>
        <v/>
      </c>
      <c r="L269" s="10" t="n"/>
      <c r="N269" s="10" t="n"/>
      <c r="O269" s="10">
        <f>IF(L269="","",IF(M269="Won",L269*G269,IF(M269="Void",L269,IF(M269="Cash out",N(N269),IF(M269="Lost",0,"")))))</f>
        <v/>
      </c>
      <c r="P269" s="10">
        <f>IF(OR(L269="",M269="",M269="Pending"),"",O269-L269)</f>
        <v/>
      </c>
      <c r="Q269" s="21" t="n"/>
      <c r="R269" s="11">
        <f>IF(OR(G269="",Q269=""),"",G269/Q269-1)</f>
        <v/>
      </c>
      <c r="S269" s="10">
        <f>IF(OR(L269="",J269=""),"",L269*J269)</f>
        <v/>
      </c>
      <c r="T269" s="10">
        <f>IF(P269="","",StartBank+SUM(P$2:P269))</f>
        <v/>
      </c>
    </row>
    <row r="270">
      <c r="A270" s="22" t="n"/>
      <c r="G270" s="21" t="n"/>
      <c r="H270" s="11" t="n"/>
      <c r="I270" s="21">
        <f>IF(OR(H270="",H270=0),"",1/H270)</f>
        <v/>
      </c>
      <c r="J270" s="11">
        <f>IF(OR(G270="",H270=""),"",H270*G270-1)</f>
        <v/>
      </c>
      <c r="K270" s="10">
        <f>IF(OR(G270="",H270="",G270&lt;=1),"",IF(J270&lt;IF(D270="Builder",MinEdgeBuilder,IF(D270="Player",MinEdgePlayer,MinEdgeSingle)),0,ROUND(MIN(IF(D270="Single",KellySingle,KellyBuilder)*(StartBank+SUM(P$1:P269))*J270/(G270-1),IF(D270="Builder",CapBuilder,CapSingle)*Unit),2)))</f>
        <v/>
      </c>
      <c r="L270" s="10" t="n"/>
      <c r="N270" s="10" t="n"/>
      <c r="O270" s="10">
        <f>IF(L270="","",IF(M270="Won",L270*G270,IF(M270="Void",L270,IF(M270="Cash out",N(N270),IF(M270="Lost",0,"")))))</f>
        <v/>
      </c>
      <c r="P270" s="10">
        <f>IF(OR(L270="",M270="",M270="Pending"),"",O270-L270)</f>
        <v/>
      </c>
      <c r="Q270" s="21" t="n"/>
      <c r="R270" s="11">
        <f>IF(OR(G270="",Q270=""),"",G270/Q270-1)</f>
        <v/>
      </c>
      <c r="S270" s="10">
        <f>IF(OR(L270="",J270=""),"",L270*J270)</f>
        <v/>
      </c>
      <c r="T270" s="10">
        <f>IF(P270="","",StartBank+SUM(P$2:P270))</f>
        <v/>
      </c>
    </row>
    <row r="271">
      <c r="A271" s="22" t="n"/>
      <c r="G271" s="21" t="n"/>
      <c r="H271" s="11" t="n"/>
      <c r="I271" s="21">
        <f>IF(OR(H271="",H271=0),"",1/H271)</f>
        <v/>
      </c>
      <c r="J271" s="11">
        <f>IF(OR(G271="",H271=""),"",H271*G271-1)</f>
        <v/>
      </c>
      <c r="K271" s="10">
        <f>IF(OR(G271="",H271="",G271&lt;=1),"",IF(J271&lt;IF(D271="Builder",MinEdgeBuilder,IF(D271="Player",MinEdgePlayer,MinEdgeSingle)),0,ROUND(MIN(IF(D271="Single",KellySingle,KellyBuilder)*(StartBank+SUM(P$1:P270))*J271/(G271-1),IF(D271="Builder",CapBuilder,CapSingle)*Unit),2)))</f>
        <v/>
      </c>
      <c r="L271" s="10" t="n"/>
      <c r="N271" s="10" t="n"/>
      <c r="O271" s="10">
        <f>IF(L271="","",IF(M271="Won",L271*G271,IF(M271="Void",L271,IF(M271="Cash out",N(N271),IF(M271="Lost",0,"")))))</f>
        <v/>
      </c>
      <c r="P271" s="10">
        <f>IF(OR(L271="",M271="",M271="Pending"),"",O271-L271)</f>
        <v/>
      </c>
      <c r="Q271" s="21" t="n"/>
      <c r="R271" s="11">
        <f>IF(OR(G271="",Q271=""),"",G271/Q271-1)</f>
        <v/>
      </c>
      <c r="S271" s="10">
        <f>IF(OR(L271="",J271=""),"",L271*J271)</f>
        <v/>
      </c>
      <c r="T271" s="10">
        <f>IF(P271="","",StartBank+SUM(P$2:P271))</f>
        <v/>
      </c>
    </row>
    <row r="272">
      <c r="A272" s="22" t="n"/>
      <c r="G272" s="21" t="n"/>
      <c r="H272" s="11" t="n"/>
      <c r="I272" s="21">
        <f>IF(OR(H272="",H272=0),"",1/H272)</f>
        <v/>
      </c>
      <c r="J272" s="11">
        <f>IF(OR(G272="",H272=""),"",H272*G272-1)</f>
        <v/>
      </c>
      <c r="K272" s="10">
        <f>IF(OR(G272="",H272="",G272&lt;=1),"",IF(J272&lt;IF(D272="Builder",MinEdgeBuilder,IF(D272="Player",MinEdgePlayer,MinEdgeSingle)),0,ROUND(MIN(IF(D272="Single",KellySingle,KellyBuilder)*(StartBank+SUM(P$1:P271))*J272/(G272-1),IF(D272="Builder",CapBuilder,CapSingle)*Unit),2)))</f>
        <v/>
      </c>
      <c r="L272" s="10" t="n"/>
      <c r="N272" s="10" t="n"/>
      <c r="O272" s="10">
        <f>IF(L272="","",IF(M272="Won",L272*G272,IF(M272="Void",L272,IF(M272="Cash out",N(N272),IF(M272="Lost",0,"")))))</f>
        <v/>
      </c>
      <c r="P272" s="10">
        <f>IF(OR(L272="",M272="",M272="Pending"),"",O272-L272)</f>
        <v/>
      </c>
      <c r="Q272" s="21" t="n"/>
      <c r="R272" s="11">
        <f>IF(OR(G272="",Q272=""),"",G272/Q272-1)</f>
        <v/>
      </c>
      <c r="S272" s="10">
        <f>IF(OR(L272="",J272=""),"",L272*J272)</f>
        <v/>
      </c>
      <c r="T272" s="10">
        <f>IF(P272="","",StartBank+SUM(P$2:P272))</f>
        <v/>
      </c>
    </row>
    <row r="273">
      <c r="A273" s="22" t="n"/>
      <c r="G273" s="21" t="n"/>
      <c r="H273" s="11" t="n"/>
      <c r="I273" s="21">
        <f>IF(OR(H273="",H273=0),"",1/H273)</f>
        <v/>
      </c>
      <c r="J273" s="11">
        <f>IF(OR(G273="",H273=""),"",H273*G273-1)</f>
        <v/>
      </c>
      <c r="K273" s="10">
        <f>IF(OR(G273="",H273="",G273&lt;=1),"",IF(J273&lt;IF(D273="Builder",MinEdgeBuilder,IF(D273="Player",MinEdgePlayer,MinEdgeSingle)),0,ROUND(MIN(IF(D273="Single",KellySingle,KellyBuilder)*(StartBank+SUM(P$1:P272))*J273/(G273-1),IF(D273="Builder",CapBuilder,CapSingle)*Unit),2)))</f>
        <v/>
      </c>
      <c r="L273" s="10" t="n"/>
      <c r="N273" s="10" t="n"/>
      <c r="O273" s="10">
        <f>IF(L273="","",IF(M273="Won",L273*G273,IF(M273="Void",L273,IF(M273="Cash out",N(N273),IF(M273="Lost",0,"")))))</f>
        <v/>
      </c>
      <c r="P273" s="10">
        <f>IF(OR(L273="",M273="",M273="Pending"),"",O273-L273)</f>
        <v/>
      </c>
      <c r="Q273" s="21" t="n"/>
      <c r="R273" s="11">
        <f>IF(OR(G273="",Q273=""),"",G273/Q273-1)</f>
        <v/>
      </c>
      <c r="S273" s="10">
        <f>IF(OR(L273="",J273=""),"",L273*J273)</f>
        <v/>
      </c>
      <c r="T273" s="10">
        <f>IF(P273="","",StartBank+SUM(P$2:P273))</f>
        <v/>
      </c>
    </row>
    <row r="274">
      <c r="A274" s="22" t="n"/>
      <c r="G274" s="21" t="n"/>
      <c r="H274" s="11" t="n"/>
      <c r="I274" s="21">
        <f>IF(OR(H274="",H274=0),"",1/H274)</f>
        <v/>
      </c>
      <c r="J274" s="11">
        <f>IF(OR(G274="",H274=""),"",H274*G274-1)</f>
        <v/>
      </c>
      <c r="K274" s="10">
        <f>IF(OR(G274="",H274="",G274&lt;=1),"",IF(J274&lt;IF(D274="Builder",MinEdgeBuilder,IF(D274="Player",MinEdgePlayer,MinEdgeSingle)),0,ROUND(MIN(IF(D274="Single",KellySingle,KellyBuilder)*(StartBank+SUM(P$1:P273))*J274/(G274-1),IF(D274="Builder",CapBuilder,CapSingle)*Unit),2)))</f>
        <v/>
      </c>
      <c r="L274" s="10" t="n"/>
      <c r="N274" s="10" t="n"/>
      <c r="O274" s="10">
        <f>IF(L274="","",IF(M274="Won",L274*G274,IF(M274="Void",L274,IF(M274="Cash out",N(N274),IF(M274="Lost",0,"")))))</f>
        <v/>
      </c>
      <c r="P274" s="10">
        <f>IF(OR(L274="",M274="",M274="Pending"),"",O274-L274)</f>
        <v/>
      </c>
      <c r="Q274" s="21" t="n"/>
      <c r="R274" s="11">
        <f>IF(OR(G274="",Q274=""),"",G274/Q274-1)</f>
        <v/>
      </c>
      <c r="S274" s="10">
        <f>IF(OR(L274="",J274=""),"",L274*J274)</f>
        <v/>
      </c>
      <c r="T274" s="10">
        <f>IF(P274="","",StartBank+SUM(P$2:P274))</f>
        <v/>
      </c>
    </row>
    <row r="275">
      <c r="A275" s="22" t="n"/>
      <c r="G275" s="21" t="n"/>
      <c r="H275" s="11" t="n"/>
      <c r="I275" s="21">
        <f>IF(OR(H275="",H275=0),"",1/H275)</f>
        <v/>
      </c>
      <c r="J275" s="11">
        <f>IF(OR(G275="",H275=""),"",H275*G275-1)</f>
        <v/>
      </c>
      <c r="K275" s="10">
        <f>IF(OR(G275="",H275="",G275&lt;=1),"",IF(J275&lt;IF(D275="Builder",MinEdgeBuilder,IF(D275="Player",MinEdgePlayer,MinEdgeSingle)),0,ROUND(MIN(IF(D275="Single",KellySingle,KellyBuilder)*(StartBank+SUM(P$1:P274))*J275/(G275-1),IF(D275="Builder",CapBuilder,CapSingle)*Unit),2)))</f>
        <v/>
      </c>
      <c r="L275" s="10" t="n"/>
      <c r="N275" s="10" t="n"/>
      <c r="O275" s="10">
        <f>IF(L275="","",IF(M275="Won",L275*G275,IF(M275="Void",L275,IF(M275="Cash out",N(N275),IF(M275="Lost",0,"")))))</f>
        <v/>
      </c>
      <c r="P275" s="10">
        <f>IF(OR(L275="",M275="",M275="Pending"),"",O275-L275)</f>
        <v/>
      </c>
      <c r="Q275" s="21" t="n"/>
      <c r="R275" s="11">
        <f>IF(OR(G275="",Q275=""),"",G275/Q275-1)</f>
        <v/>
      </c>
      <c r="S275" s="10">
        <f>IF(OR(L275="",J275=""),"",L275*J275)</f>
        <v/>
      </c>
      <c r="T275" s="10">
        <f>IF(P275="","",StartBank+SUM(P$2:P275))</f>
        <v/>
      </c>
    </row>
    <row r="276">
      <c r="A276" s="22" t="n"/>
      <c r="G276" s="21" t="n"/>
      <c r="H276" s="11" t="n"/>
      <c r="I276" s="21">
        <f>IF(OR(H276="",H276=0),"",1/H276)</f>
        <v/>
      </c>
      <c r="J276" s="11">
        <f>IF(OR(G276="",H276=""),"",H276*G276-1)</f>
        <v/>
      </c>
      <c r="K276" s="10">
        <f>IF(OR(G276="",H276="",G276&lt;=1),"",IF(J276&lt;IF(D276="Builder",MinEdgeBuilder,IF(D276="Player",MinEdgePlayer,MinEdgeSingle)),0,ROUND(MIN(IF(D276="Single",KellySingle,KellyBuilder)*(StartBank+SUM(P$1:P275))*J276/(G276-1),IF(D276="Builder",CapBuilder,CapSingle)*Unit),2)))</f>
        <v/>
      </c>
      <c r="L276" s="10" t="n"/>
      <c r="N276" s="10" t="n"/>
      <c r="O276" s="10">
        <f>IF(L276="","",IF(M276="Won",L276*G276,IF(M276="Void",L276,IF(M276="Cash out",N(N276),IF(M276="Lost",0,"")))))</f>
        <v/>
      </c>
      <c r="P276" s="10">
        <f>IF(OR(L276="",M276="",M276="Pending"),"",O276-L276)</f>
        <v/>
      </c>
      <c r="Q276" s="21" t="n"/>
      <c r="R276" s="11">
        <f>IF(OR(G276="",Q276=""),"",G276/Q276-1)</f>
        <v/>
      </c>
      <c r="S276" s="10">
        <f>IF(OR(L276="",J276=""),"",L276*J276)</f>
        <v/>
      </c>
      <c r="T276" s="10">
        <f>IF(P276="","",StartBank+SUM(P$2:P276))</f>
        <v/>
      </c>
    </row>
    <row r="277">
      <c r="A277" s="22" t="n"/>
      <c r="G277" s="21" t="n"/>
      <c r="H277" s="11" t="n"/>
      <c r="I277" s="21">
        <f>IF(OR(H277="",H277=0),"",1/H277)</f>
        <v/>
      </c>
      <c r="J277" s="11">
        <f>IF(OR(G277="",H277=""),"",H277*G277-1)</f>
        <v/>
      </c>
      <c r="K277" s="10">
        <f>IF(OR(G277="",H277="",G277&lt;=1),"",IF(J277&lt;IF(D277="Builder",MinEdgeBuilder,IF(D277="Player",MinEdgePlayer,MinEdgeSingle)),0,ROUND(MIN(IF(D277="Single",KellySingle,KellyBuilder)*(StartBank+SUM(P$1:P276))*J277/(G277-1),IF(D277="Builder",CapBuilder,CapSingle)*Unit),2)))</f>
        <v/>
      </c>
      <c r="L277" s="10" t="n"/>
      <c r="N277" s="10" t="n"/>
      <c r="O277" s="10">
        <f>IF(L277="","",IF(M277="Won",L277*G277,IF(M277="Void",L277,IF(M277="Cash out",N(N277),IF(M277="Lost",0,"")))))</f>
        <v/>
      </c>
      <c r="P277" s="10">
        <f>IF(OR(L277="",M277="",M277="Pending"),"",O277-L277)</f>
        <v/>
      </c>
      <c r="Q277" s="21" t="n"/>
      <c r="R277" s="11">
        <f>IF(OR(G277="",Q277=""),"",G277/Q277-1)</f>
        <v/>
      </c>
      <c r="S277" s="10">
        <f>IF(OR(L277="",J277=""),"",L277*J277)</f>
        <v/>
      </c>
      <c r="T277" s="10">
        <f>IF(P277="","",StartBank+SUM(P$2:P277))</f>
        <v/>
      </c>
    </row>
    <row r="278">
      <c r="A278" s="22" t="n"/>
      <c r="G278" s="21" t="n"/>
      <c r="H278" s="11" t="n"/>
      <c r="I278" s="21">
        <f>IF(OR(H278="",H278=0),"",1/H278)</f>
        <v/>
      </c>
      <c r="J278" s="11">
        <f>IF(OR(G278="",H278=""),"",H278*G278-1)</f>
        <v/>
      </c>
      <c r="K278" s="10">
        <f>IF(OR(G278="",H278="",G278&lt;=1),"",IF(J278&lt;IF(D278="Builder",MinEdgeBuilder,IF(D278="Player",MinEdgePlayer,MinEdgeSingle)),0,ROUND(MIN(IF(D278="Single",KellySingle,KellyBuilder)*(StartBank+SUM(P$1:P277))*J278/(G278-1),IF(D278="Builder",CapBuilder,CapSingle)*Unit),2)))</f>
        <v/>
      </c>
      <c r="L278" s="10" t="n"/>
      <c r="N278" s="10" t="n"/>
      <c r="O278" s="10">
        <f>IF(L278="","",IF(M278="Won",L278*G278,IF(M278="Void",L278,IF(M278="Cash out",N(N278),IF(M278="Lost",0,"")))))</f>
        <v/>
      </c>
      <c r="P278" s="10">
        <f>IF(OR(L278="",M278="",M278="Pending"),"",O278-L278)</f>
        <v/>
      </c>
      <c r="Q278" s="21" t="n"/>
      <c r="R278" s="11">
        <f>IF(OR(G278="",Q278=""),"",G278/Q278-1)</f>
        <v/>
      </c>
      <c r="S278" s="10">
        <f>IF(OR(L278="",J278=""),"",L278*J278)</f>
        <v/>
      </c>
      <c r="T278" s="10">
        <f>IF(P278="","",StartBank+SUM(P$2:P278))</f>
        <v/>
      </c>
    </row>
    <row r="279">
      <c r="A279" s="22" t="n"/>
      <c r="G279" s="21" t="n"/>
      <c r="H279" s="11" t="n"/>
      <c r="I279" s="21">
        <f>IF(OR(H279="",H279=0),"",1/H279)</f>
        <v/>
      </c>
      <c r="J279" s="11">
        <f>IF(OR(G279="",H279=""),"",H279*G279-1)</f>
        <v/>
      </c>
      <c r="K279" s="10">
        <f>IF(OR(G279="",H279="",G279&lt;=1),"",IF(J279&lt;IF(D279="Builder",MinEdgeBuilder,IF(D279="Player",MinEdgePlayer,MinEdgeSingle)),0,ROUND(MIN(IF(D279="Single",KellySingle,KellyBuilder)*(StartBank+SUM(P$1:P278))*J279/(G279-1),IF(D279="Builder",CapBuilder,CapSingle)*Unit),2)))</f>
        <v/>
      </c>
      <c r="L279" s="10" t="n"/>
      <c r="N279" s="10" t="n"/>
      <c r="O279" s="10">
        <f>IF(L279="","",IF(M279="Won",L279*G279,IF(M279="Void",L279,IF(M279="Cash out",N(N279),IF(M279="Lost",0,"")))))</f>
        <v/>
      </c>
      <c r="P279" s="10">
        <f>IF(OR(L279="",M279="",M279="Pending"),"",O279-L279)</f>
        <v/>
      </c>
      <c r="Q279" s="21" t="n"/>
      <c r="R279" s="11">
        <f>IF(OR(G279="",Q279=""),"",G279/Q279-1)</f>
        <v/>
      </c>
      <c r="S279" s="10">
        <f>IF(OR(L279="",J279=""),"",L279*J279)</f>
        <v/>
      </c>
      <c r="T279" s="10">
        <f>IF(P279="","",StartBank+SUM(P$2:P279))</f>
        <v/>
      </c>
    </row>
    <row r="280">
      <c r="A280" s="22" t="n"/>
      <c r="G280" s="21" t="n"/>
      <c r="H280" s="11" t="n"/>
      <c r="I280" s="21">
        <f>IF(OR(H280="",H280=0),"",1/H280)</f>
        <v/>
      </c>
      <c r="J280" s="11">
        <f>IF(OR(G280="",H280=""),"",H280*G280-1)</f>
        <v/>
      </c>
      <c r="K280" s="10">
        <f>IF(OR(G280="",H280="",G280&lt;=1),"",IF(J280&lt;IF(D280="Builder",MinEdgeBuilder,IF(D280="Player",MinEdgePlayer,MinEdgeSingle)),0,ROUND(MIN(IF(D280="Single",KellySingle,KellyBuilder)*(StartBank+SUM(P$1:P279))*J280/(G280-1),IF(D280="Builder",CapBuilder,CapSingle)*Unit),2)))</f>
        <v/>
      </c>
      <c r="L280" s="10" t="n"/>
      <c r="N280" s="10" t="n"/>
      <c r="O280" s="10">
        <f>IF(L280="","",IF(M280="Won",L280*G280,IF(M280="Void",L280,IF(M280="Cash out",N(N280),IF(M280="Lost",0,"")))))</f>
        <v/>
      </c>
      <c r="P280" s="10">
        <f>IF(OR(L280="",M280="",M280="Pending"),"",O280-L280)</f>
        <v/>
      </c>
      <c r="Q280" s="21" t="n"/>
      <c r="R280" s="11">
        <f>IF(OR(G280="",Q280=""),"",G280/Q280-1)</f>
        <v/>
      </c>
      <c r="S280" s="10">
        <f>IF(OR(L280="",J280=""),"",L280*J280)</f>
        <v/>
      </c>
      <c r="T280" s="10">
        <f>IF(P280="","",StartBank+SUM(P$2:P280))</f>
        <v/>
      </c>
    </row>
    <row r="281">
      <c r="A281" s="22" t="n"/>
      <c r="G281" s="21" t="n"/>
      <c r="H281" s="11" t="n"/>
      <c r="I281" s="21">
        <f>IF(OR(H281="",H281=0),"",1/H281)</f>
        <v/>
      </c>
      <c r="J281" s="11">
        <f>IF(OR(G281="",H281=""),"",H281*G281-1)</f>
        <v/>
      </c>
      <c r="K281" s="10">
        <f>IF(OR(G281="",H281="",G281&lt;=1),"",IF(J281&lt;IF(D281="Builder",MinEdgeBuilder,IF(D281="Player",MinEdgePlayer,MinEdgeSingle)),0,ROUND(MIN(IF(D281="Single",KellySingle,KellyBuilder)*(StartBank+SUM(P$1:P280))*J281/(G281-1),IF(D281="Builder",CapBuilder,CapSingle)*Unit),2)))</f>
        <v/>
      </c>
      <c r="L281" s="10" t="n"/>
      <c r="N281" s="10" t="n"/>
      <c r="O281" s="10">
        <f>IF(L281="","",IF(M281="Won",L281*G281,IF(M281="Void",L281,IF(M281="Cash out",N(N281),IF(M281="Lost",0,"")))))</f>
        <v/>
      </c>
      <c r="P281" s="10">
        <f>IF(OR(L281="",M281="",M281="Pending"),"",O281-L281)</f>
        <v/>
      </c>
      <c r="Q281" s="21" t="n"/>
      <c r="R281" s="11">
        <f>IF(OR(G281="",Q281=""),"",G281/Q281-1)</f>
        <v/>
      </c>
      <c r="S281" s="10">
        <f>IF(OR(L281="",J281=""),"",L281*J281)</f>
        <v/>
      </c>
      <c r="T281" s="10">
        <f>IF(P281="","",StartBank+SUM(P$2:P281))</f>
        <v/>
      </c>
    </row>
    <row r="282">
      <c r="A282" s="22" t="n"/>
      <c r="G282" s="21" t="n"/>
      <c r="H282" s="11" t="n"/>
      <c r="I282" s="21">
        <f>IF(OR(H282="",H282=0),"",1/H282)</f>
        <v/>
      </c>
      <c r="J282" s="11">
        <f>IF(OR(G282="",H282=""),"",H282*G282-1)</f>
        <v/>
      </c>
      <c r="K282" s="10">
        <f>IF(OR(G282="",H282="",G282&lt;=1),"",IF(J282&lt;IF(D282="Builder",MinEdgeBuilder,IF(D282="Player",MinEdgePlayer,MinEdgeSingle)),0,ROUND(MIN(IF(D282="Single",KellySingle,KellyBuilder)*(StartBank+SUM(P$1:P281))*J282/(G282-1),IF(D282="Builder",CapBuilder,CapSingle)*Unit),2)))</f>
        <v/>
      </c>
      <c r="L282" s="10" t="n"/>
      <c r="N282" s="10" t="n"/>
      <c r="O282" s="10">
        <f>IF(L282="","",IF(M282="Won",L282*G282,IF(M282="Void",L282,IF(M282="Cash out",N(N282),IF(M282="Lost",0,"")))))</f>
        <v/>
      </c>
      <c r="P282" s="10">
        <f>IF(OR(L282="",M282="",M282="Pending"),"",O282-L282)</f>
        <v/>
      </c>
      <c r="Q282" s="21" t="n"/>
      <c r="R282" s="11">
        <f>IF(OR(G282="",Q282=""),"",G282/Q282-1)</f>
        <v/>
      </c>
      <c r="S282" s="10">
        <f>IF(OR(L282="",J282=""),"",L282*J282)</f>
        <v/>
      </c>
      <c r="T282" s="10">
        <f>IF(P282="","",StartBank+SUM(P$2:P282))</f>
        <v/>
      </c>
    </row>
    <row r="283">
      <c r="A283" s="22" t="n"/>
      <c r="G283" s="21" t="n"/>
      <c r="H283" s="11" t="n"/>
      <c r="I283" s="21">
        <f>IF(OR(H283="",H283=0),"",1/H283)</f>
        <v/>
      </c>
      <c r="J283" s="11">
        <f>IF(OR(G283="",H283=""),"",H283*G283-1)</f>
        <v/>
      </c>
      <c r="K283" s="10">
        <f>IF(OR(G283="",H283="",G283&lt;=1),"",IF(J283&lt;IF(D283="Builder",MinEdgeBuilder,IF(D283="Player",MinEdgePlayer,MinEdgeSingle)),0,ROUND(MIN(IF(D283="Single",KellySingle,KellyBuilder)*(StartBank+SUM(P$1:P282))*J283/(G283-1),IF(D283="Builder",CapBuilder,CapSingle)*Unit),2)))</f>
        <v/>
      </c>
      <c r="L283" s="10" t="n"/>
      <c r="N283" s="10" t="n"/>
      <c r="O283" s="10">
        <f>IF(L283="","",IF(M283="Won",L283*G283,IF(M283="Void",L283,IF(M283="Cash out",N(N283),IF(M283="Lost",0,"")))))</f>
        <v/>
      </c>
      <c r="P283" s="10">
        <f>IF(OR(L283="",M283="",M283="Pending"),"",O283-L283)</f>
        <v/>
      </c>
      <c r="Q283" s="21" t="n"/>
      <c r="R283" s="11">
        <f>IF(OR(G283="",Q283=""),"",G283/Q283-1)</f>
        <v/>
      </c>
      <c r="S283" s="10">
        <f>IF(OR(L283="",J283=""),"",L283*J283)</f>
        <v/>
      </c>
      <c r="T283" s="10">
        <f>IF(P283="","",StartBank+SUM(P$2:P283))</f>
        <v/>
      </c>
    </row>
    <row r="284">
      <c r="A284" s="22" t="n"/>
      <c r="G284" s="21" t="n"/>
      <c r="H284" s="11" t="n"/>
      <c r="I284" s="21">
        <f>IF(OR(H284="",H284=0),"",1/H284)</f>
        <v/>
      </c>
      <c r="J284" s="11">
        <f>IF(OR(G284="",H284=""),"",H284*G284-1)</f>
        <v/>
      </c>
      <c r="K284" s="10">
        <f>IF(OR(G284="",H284="",G284&lt;=1),"",IF(J284&lt;IF(D284="Builder",MinEdgeBuilder,IF(D284="Player",MinEdgePlayer,MinEdgeSingle)),0,ROUND(MIN(IF(D284="Single",KellySingle,KellyBuilder)*(StartBank+SUM(P$1:P283))*J284/(G284-1),IF(D284="Builder",CapBuilder,CapSingle)*Unit),2)))</f>
        <v/>
      </c>
      <c r="L284" s="10" t="n"/>
      <c r="N284" s="10" t="n"/>
      <c r="O284" s="10">
        <f>IF(L284="","",IF(M284="Won",L284*G284,IF(M284="Void",L284,IF(M284="Cash out",N(N284),IF(M284="Lost",0,"")))))</f>
        <v/>
      </c>
      <c r="P284" s="10">
        <f>IF(OR(L284="",M284="",M284="Pending"),"",O284-L284)</f>
        <v/>
      </c>
      <c r="Q284" s="21" t="n"/>
      <c r="R284" s="11">
        <f>IF(OR(G284="",Q284=""),"",G284/Q284-1)</f>
        <v/>
      </c>
      <c r="S284" s="10">
        <f>IF(OR(L284="",J284=""),"",L284*J284)</f>
        <v/>
      </c>
      <c r="T284" s="10">
        <f>IF(P284="","",StartBank+SUM(P$2:P284))</f>
        <v/>
      </c>
    </row>
    <row r="285">
      <c r="A285" s="22" t="n"/>
      <c r="G285" s="21" t="n"/>
      <c r="H285" s="11" t="n"/>
      <c r="I285" s="21">
        <f>IF(OR(H285="",H285=0),"",1/H285)</f>
        <v/>
      </c>
      <c r="J285" s="11">
        <f>IF(OR(G285="",H285=""),"",H285*G285-1)</f>
        <v/>
      </c>
      <c r="K285" s="10">
        <f>IF(OR(G285="",H285="",G285&lt;=1),"",IF(J285&lt;IF(D285="Builder",MinEdgeBuilder,IF(D285="Player",MinEdgePlayer,MinEdgeSingle)),0,ROUND(MIN(IF(D285="Single",KellySingle,KellyBuilder)*(StartBank+SUM(P$1:P284))*J285/(G285-1),IF(D285="Builder",CapBuilder,CapSingle)*Unit),2)))</f>
        <v/>
      </c>
      <c r="L285" s="10" t="n"/>
      <c r="N285" s="10" t="n"/>
      <c r="O285" s="10">
        <f>IF(L285="","",IF(M285="Won",L285*G285,IF(M285="Void",L285,IF(M285="Cash out",N(N285),IF(M285="Lost",0,"")))))</f>
        <v/>
      </c>
      <c r="P285" s="10">
        <f>IF(OR(L285="",M285="",M285="Pending"),"",O285-L285)</f>
        <v/>
      </c>
      <c r="Q285" s="21" t="n"/>
      <c r="R285" s="11">
        <f>IF(OR(G285="",Q285=""),"",G285/Q285-1)</f>
        <v/>
      </c>
      <c r="S285" s="10">
        <f>IF(OR(L285="",J285=""),"",L285*J285)</f>
        <v/>
      </c>
      <c r="T285" s="10">
        <f>IF(P285="","",StartBank+SUM(P$2:P285))</f>
        <v/>
      </c>
    </row>
    <row r="286">
      <c r="A286" s="22" t="n"/>
      <c r="G286" s="21" t="n"/>
      <c r="H286" s="11" t="n"/>
      <c r="I286" s="21">
        <f>IF(OR(H286="",H286=0),"",1/H286)</f>
        <v/>
      </c>
      <c r="J286" s="11">
        <f>IF(OR(G286="",H286=""),"",H286*G286-1)</f>
        <v/>
      </c>
      <c r="K286" s="10">
        <f>IF(OR(G286="",H286="",G286&lt;=1),"",IF(J286&lt;IF(D286="Builder",MinEdgeBuilder,IF(D286="Player",MinEdgePlayer,MinEdgeSingle)),0,ROUND(MIN(IF(D286="Single",KellySingle,KellyBuilder)*(StartBank+SUM(P$1:P285))*J286/(G286-1),IF(D286="Builder",CapBuilder,CapSingle)*Unit),2)))</f>
        <v/>
      </c>
      <c r="L286" s="10" t="n"/>
      <c r="N286" s="10" t="n"/>
      <c r="O286" s="10">
        <f>IF(L286="","",IF(M286="Won",L286*G286,IF(M286="Void",L286,IF(M286="Cash out",N(N286),IF(M286="Lost",0,"")))))</f>
        <v/>
      </c>
      <c r="P286" s="10">
        <f>IF(OR(L286="",M286="",M286="Pending"),"",O286-L286)</f>
        <v/>
      </c>
      <c r="Q286" s="21" t="n"/>
      <c r="R286" s="11">
        <f>IF(OR(G286="",Q286=""),"",G286/Q286-1)</f>
        <v/>
      </c>
      <c r="S286" s="10">
        <f>IF(OR(L286="",J286=""),"",L286*J286)</f>
        <v/>
      </c>
      <c r="T286" s="10">
        <f>IF(P286="","",StartBank+SUM(P$2:P286))</f>
        <v/>
      </c>
    </row>
    <row r="287">
      <c r="A287" s="22" t="n"/>
      <c r="G287" s="21" t="n"/>
      <c r="H287" s="11" t="n"/>
      <c r="I287" s="21">
        <f>IF(OR(H287="",H287=0),"",1/H287)</f>
        <v/>
      </c>
      <c r="J287" s="11">
        <f>IF(OR(G287="",H287=""),"",H287*G287-1)</f>
        <v/>
      </c>
      <c r="K287" s="10">
        <f>IF(OR(G287="",H287="",G287&lt;=1),"",IF(J287&lt;IF(D287="Builder",MinEdgeBuilder,IF(D287="Player",MinEdgePlayer,MinEdgeSingle)),0,ROUND(MIN(IF(D287="Single",KellySingle,KellyBuilder)*(StartBank+SUM(P$1:P286))*J287/(G287-1),IF(D287="Builder",CapBuilder,CapSingle)*Unit),2)))</f>
        <v/>
      </c>
      <c r="L287" s="10" t="n"/>
      <c r="N287" s="10" t="n"/>
      <c r="O287" s="10">
        <f>IF(L287="","",IF(M287="Won",L287*G287,IF(M287="Void",L287,IF(M287="Cash out",N(N287),IF(M287="Lost",0,"")))))</f>
        <v/>
      </c>
      <c r="P287" s="10">
        <f>IF(OR(L287="",M287="",M287="Pending"),"",O287-L287)</f>
        <v/>
      </c>
      <c r="Q287" s="21" t="n"/>
      <c r="R287" s="11">
        <f>IF(OR(G287="",Q287=""),"",G287/Q287-1)</f>
        <v/>
      </c>
      <c r="S287" s="10">
        <f>IF(OR(L287="",J287=""),"",L287*J287)</f>
        <v/>
      </c>
      <c r="T287" s="10">
        <f>IF(P287="","",StartBank+SUM(P$2:P287))</f>
        <v/>
      </c>
    </row>
    <row r="288">
      <c r="A288" s="22" t="n"/>
      <c r="G288" s="21" t="n"/>
      <c r="H288" s="11" t="n"/>
      <c r="I288" s="21">
        <f>IF(OR(H288="",H288=0),"",1/H288)</f>
        <v/>
      </c>
      <c r="J288" s="11">
        <f>IF(OR(G288="",H288=""),"",H288*G288-1)</f>
        <v/>
      </c>
      <c r="K288" s="10">
        <f>IF(OR(G288="",H288="",G288&lt;=1),"",IF(J288&lt;IF(D288="Builder",MinEdgeBuilder,IF(D288="Player",MinEdgePlayer,MinEdgeSingle)),0,ROUND(MIN(IF(D288="Single",KellySingle,KellyBuilder)*(StartBank+SUM(P$1:P287))*J288/(G288-1),IF(D288="Builder",CapBuilder,CapSingle)*Unit),2)))</f>
        <v/>
      </c>
      <c r="L288" s="10" t="n"/>
      <c r="N288" s="10" t="n"/>
      <c r="O288" s="10">
        <f>IF(L288="","",IF(M288="Won",L288*G288,IF(M288="Void",L288,IF(M288="Cash out",N(N288),IF(M288="Lost",0,"")))))</f>
        <v/>
      </c>
      <c r="P288" s="10">
        <f>IF(OR(L288="",M288="",M288="Pending"),"",O288-L288)</f>
        <v/>
      </c>
      <c r="Q288" s="21" t="n"/>
      <c r="R288" s="11">
        <f>IF(OR(G288="",Q288=""),"",G288/Q288-1)</f>
        <v/>
      </c>
      <c r="S288" s="10">
        <f>IF(OR(L288="",J288=""),"",L288*J288)</f>
        <v/>
      </c>
      <c r="T288" s="10">
        <f>IF(P288="","",StartBank+SUM(P$2:P288))</f>
        <v/>
      </c>
    </row>
    <row r="289">
      <c r="A289" s="22" t="n"/>
      <c r="G289" s="21" t="n"/>
      <c r="H289" s="11" t="n"/>
      <c r="I289" s="21">
        <f>IF(OR(H289="",H289=0),"",1/H289)</f>
        <v/>
      </c>
      <c r="J289" s="11">
        <f>IF(OR(G289="",H289=""),"",H289*G289-1)</f>
        <v/>
      </c>
      <c r="K289" s="10">
        <f>IF(OR(G289="",H289="",G289&lt;=1),"",IF(J289&lt;IF(D289="Builder",MinEdgeBuilder,IF(D289="Player",MinEdgePlayer,MinEdgeSingle)),0,ROUND(MIN(IF(D289="Single",KellySingle,KellyBuilder)*(StartBank+SUM(P$1:P288))*J289/(G289-1),IF(D289="Builder",CapBuilder,CapSingle)*Unit),2)))</f>
        <v/>
      </c>
      <c r="L289" s="10" t="n"/>
      <c r="N289" s="10" t="n"/>
      <c r="O289" s="10">
        <f>IF(L289="","",IF(M289="Won",L289*G289,IF(M289="Void",L289,IF(M289="Cash out",N(N289),IF(M289="Lost",0,"")))))</f>
        <v/>
      </c>
      <c r="P289" s="10">
        <f>IF(OR(L289="",M289="",M289="Pending"),"",O289-L289)</f>
        <v/>
      </c>
      <c r="Q289" s="21" t="n"/>
      <c r="R289" s="11">
        <f>IF(OR(G289="",Q289=""),"",G289/Q289-1)</f>
        <v/>
      </c>
      <c r="S289" s="10">
        <f>IF(OR(L289="",J289=""),"",L289*J289)</f>
        <v/>
      </c>
      <c r="T289" s="10">
        <f>IF(P289="","",StartBank+SUM(P$2:P289))</f>
        <v/>
      </c>
    </row>
    <row r="290">
      <c r="A290" s="22" t="n"/>
      <c r="G290" s="21" t="n"/>
      <c r="H290" s="11" t="n"/>
      <c r="I290" s="21">
        <f>IF(OR(H290="",H290=0),"",1/H290)</f>
        <v/>
      </c>
      <c r="J290" s="11">
        <f>IF(OR(G290="",H290=""),"",H290*G290-1)</f>
        <v/>
      </c>
      <c r="K290" s="10">
        <f>IF(OR(G290="",H290="",G290&lt;=1),"",IF(J290&lt;IF(D290="Builder",MinEdgeBuilder,IF(D290="Player",MinEdgePlayer,MinEdgeSingle)),0,ROUND(MIN(IF(D290="Single",KellySingle,KellyBuilder)*(StartBank+SUM(P$1:P289))*J290/(G290-1),IF(D290="Builder",CapBuilder,CapSingle)*Unit),2)))</f>
        <v/>
      </c>
      <c r="L290" s="10" t="n"/>
      <c r="N290" s="10" t="n"/>
      <c r="O290" s="10">
        <f>IF(L290="","",IF(M290="Won",L290*G290,IF(M290="Void",L290,IF(M290="Cash out",N(N290),IF(M290="Lost",0,"")))))</f>
        <v/>
      </c>
      <c r="P290" s="10">
        <f>IF(OR(L290="",M290="",M290="Pending"),"",O290-L290)</f>
        <v/>
      </c>
      <c r="Q290" s="21" t="n"/>
      <c r="R290" s="11">
        <f>IF(OR(G290="",Q290=""),"",G290/Q290-1)</f>
        <v/>
      </c>
      <c r="S290" s="10">
        <f>IF(OR(L290="",J290=""),"",L290*J290)</f>
        <v/>
      </c>
      <c r="T290" s="10">
        <f>IF(P290="","",StartBank+SUM(P$2:P290))</f>
        <v/>
      </c>
    </row>
    <row r="291">
      <c r="A291" s="22" t="n"/>
      <c r="G291" s="21" t="n"/>
      <c r="H291" s="11" t="n"/>
      <c r="I291" s="21">
        <f>IF(OR(H291="",H291=0),"",1/H291)</f>
        <v/>
      </c>
      <c r="J291" s="11">
        <f>IF(OR(G291="",H291=""),"",H291*G291-1)</f>
        <v/>
      </c>
      <c r="K291" s="10">
        <f>IF(OR(G291="",H291="",G291&lt;=1),"",IF(J291&lt;IF(D291="Builder",MinEdgeBuilder,IF(D291="Player",MinEdgePlayer,MinEdgeSingle)),0,ROUND(MIN(IF(D291="Single",KellySingle,KellyBuilder)*(StartBank+SUM(P$1:P290))*J291/(G291-1),IF(D291="Builder",CapBuilder,CapSingle)*Unit),2)))</f>
        <v/>
      </c>
      <c r="L291" s="10" t="n"/>
      <c r="N291" s="10" t="n"/>
      <c r="O291" s="10">
        <f>IF(L291="","",IF(M291="Won",L291*G291,IF(M291="Void",L291,IF(M291="Cash out",N(N291),IF(M291="Lost",0,"")))))</f>
        <v/>
      </c>
      <c r="P291" s="10">
        <f>IF(OR(L291="",M291="",M291="Pending"),"",O291-L291)</f>
        <v/>
      </c>
      <c r="Q291" s="21" t="n"/>
      <c r="R291" s="11">
        <f>IF(OR(G291="",Q291=""),"",G291/Q291-1)</f>
        <v/>
      </c>
      <c r="S291" s="10">
        <f>IF(OR(L291="",J291=""),"",L291*J291)</f>
        <v/>
      </c>
      <c r="T291" s="10">
        <f>IF(P291="","",StartBank+SUM(P$2:P291))</f>
        <v/>
      </c>
    </row>
    <row r="292">
      <c r="A292" s="22" t="n"/>
      <c r="G292" s="21" t="n"/>
      <c r="H292" s="11" t="n"/>
      <c r="I292" s="21">
        <f>IF(OR(H292="",H292=0),"",1/H292)</f>
        <v/>
      </c>
      <c r="J292" s="11">
        <f>IF(OR(G292="",H292=""),"",H292*G292-1)</f>
        <v/>
      </c>
      <c r="K292" s="10">
        <f>IF(OR(G292="",H292="",G292&lt;=1),"",IF(J292&lt;IF(D292="Builder",MinEdgeBuilder,IF(D292="Player",MinEdgePlayer,MinEdgeSingle)),0,ROUND(MIN(IF(D292="Single",KellySingle,KellyBuilder)*(StartBank+SUM(P$1:P291))*J292/(G292-1),IF(D292="Builder",CapBuilder,CapSingle)*Unit),2)))</f>
        <v/>
      </c>
      <c r="L292" s="10" t="n"/>
      <c r="N292" s="10" t="n"/>
      <c r="O292" s="10">
        <f>IF(L292="","",IF(M292="Won",L292*G292,IF(M292="Void",L292,IF(M292="Cash out",N(N292),IF(M292="Lost",0,"")))))</f>
        <v/>
      </c>
      <c r="P292" s="10">
        <f>IF(OR(L292="",M292="",M292="Pending"),"",O292-L292)</f>
        <v/>
      </c>
      <c r="Q292" s="21" t="n"/>
      <c r="R292" s="11">
        <f>IF(OR(G292="",Q292=""),"",G292/Q292-1)</f>
        <v/>
      </c>
      <c r="S292" s="10">
        <f>IF(OR(L292="",J292=""),"",L292*J292)</f>
        <v/>
      </c>
      <c r="T292" s="10">
        <f>IF(P292="","",StartBank+SUM(P$2:P292))</f>
        <v/>
      </c>
    </row>
    <row r="293">
      <c r="A293" s="22" t="n"/>
      <c r="G293" s="21" t="n"/>
      <c r="H293" s="11" t="n"/>
      <c r="I293" s="21">
        <f>IF(OR(H293="",H293=0),"",1/H293)</f>
        <v/>
      </c>
      <c r="J293" s="11">
        <f>IF(OR(G293="",H293=""),"",H293*G293-1)</f>
        <v/>
      </c>
      <c r="K293" s="10">
        <f>IF(OR(G293="",H293="",G293&lt;=1),"",IF(J293&lt;IF(D293="Builder",MinEdgeBuilder,IF(D293="Player",MinEdgePlayer,MinEdgeSingle)),0,ROUND(MIN(IF(D293="Single",KellySingle,KellyBuilder)*(StartBank+SUM(P$1:P292))*J293/(G293-1),IF(D293="Builder",CapBuilder,CapSingle)*Unit),2)))</f>
        <v/>
      </c>
      <c r="L293" s="10" t="n"/>
      <c r="N293" s="10" t="n"/>
      <c r="O293" s="10">
        <f>IF(L293="","",IF(M293="Won",L293*G293,IF(M293="Void",L293,IF(M293="Cash out",N(N293),IF(M293="Lost",0,"")))))</f>
        <v/>
      </c>
      <c r="P293" s="10">
        <f>IF(OR(L293="",M293="",M293="Pending"),"",O293-L293)</f>
        <v/>
      </c>
      <c r="Q293" s="21" t="n"/>
      <c r="R293" s="11">
        <f>IF(OR(G293="",Q293=""),"",G293/Q293-1)</f>
        <v/>
      </c>
      <c r="S293" s="10">
        <f>IF(OR(L293="",J293=""),"",L293*J293)</f>
        <v/>
      </c>
      <c r="T293" s="10">
        <f>IF(P293="","",StartBank+SUM(P$2:P293))</f>
        <v/>
      </c>
    </row>
    <row r="294">
      <c r="A294" s="22" t="n"/>
      <c r="G294" s="21" t="n"/>
      <c r="H294" s="11" t="n"/>
      <c r="I294" s="21">
        <f>IF(OR(H294="",H294=0),"",1/H294)</f>
        <v/>
      </c>
      <c r="J294" s="11">
        <f>IF(OR(G294="",H294=""),"",H294*G294-1)</f>
        <v/>
      </c>
      <c r="K294" s="10">
        <f>IF(OR(G294="",H294="",G294&lt;=1),"",IF(J294&lt;IF(D294="Builder",MinEdgeBuilder,IF(D294="Player",MinEdgePlayer,MinEdgeSingle)),0,ROUND(MIN(IF(D294="Single",KellySingle,KellyBuilder)*(StartBank+SUM(P$1:P293))*J294/(G294-1),IF(D294="Builder",CapBuilder,CapSingle)*Unit),2)))</f>
        <v/>
      </c>
      <c r="L294" s="10" t="n"/>
      <c r="N294" s="10" t="n"/>
      <c r="O294" s="10">
        <f>IF(L294="","",IF(M294="Won",L294*G294,IF(M294="Void",L294,IF(M294="Cash out",N(N294),IF(M294="Lost",0,"")))))</f>
        <v/>
      </c>
      <c r="P294" s="10">
        <f>IF(OR(L294="",M294="",M294="Pending"),"",O294-L294)</f>
        <v/>
      </c>
      <c r="Q294" s="21" t="n"/>
      <c r="R294" s="11">
        <f>IF(OR(G294="",Q294=""),"",G294/Q294-1)</f>
        <v/>
      </c>
      <c r="S294" s="10">
        <f>IF(OR(L294="",J294=""),"",L294*J294)</f>
        <v/>
      </c>
      <c r="T294" s="10">
        <f>IF(P294="","",StartBank+SUM(P$2:P294))</f>
        <v/>
      </c>
    </row>
    <row r="295">
      <c r="A295" s="22" t="n"/>
      <c r="G295" s="21" t="n"/>
      <c r="H295" s="11" t="n"/>
      <c r="I295" s="21">
        <f>IF(OR(H295="",H295=0),"",1/H295)</f>
        <v/>
      </c>
      <c r="J295" s="11">
        <f>IF(OR(G295="",H295=""),"",H295*G295-1)</f>
        <v/>
      </c>
      <c r="K295" s="10">
        <f>IF(OR(G295="",H295="",G295&lt;=1),"",IF(J295&lt;IF(D295="Builder",MinEdgeBuilder,IF(D295="Player",MinEdgePlayer,MinEdgeSingle)),0,ROUND(MIN(IF(D295="Single",KellySingle,KellyBuilder)*(StartBank+SUM(P$1:P294))*J295/(G295-1),IF(D295="Builder",CapBuilder,CapSingle)*Unit),2)))</f>
        <v/>
      </c>
      <c r="L295" s="10" t="n"/>
      <c r="N295" s="10" t="n"/>
      <c r="O295" s="10">
        <f>IF(L295="","",IF(M295="Won",L295*G295,IF(M295="Void",L295,IF(M295="Cash out",N(N295),IF(M295="Lost",0,"")))))</f>
        <v/>
      </c>
      <c r="P295" s="10">
        <f>IF(OR(L295="",M295="",M295="Pending"),"",O295-L295)</f>
        <v/>
      </c>
      <c r="Q295" s="21" t="n"/>
      <c r="R295" s="11">
        <f>IF(OR(G295="",Q295=""),"",G295/Q295-1)</f>
        <v/>
      </c>
      <c r="S295" s="10">
        <f>IF(OR(L295="",J295=""),"",L295*J295)</f>
        <v/>
      </c>
      <c r="T295" s="10">
        <f>IF(P295="","",StartBank+SUM(P$2:P295))</f>
        <v/>
      </c>
    </row>
    <row r="296">
      <c r="A296" s="22" t="n"/>
      <c r="G296" s="21" t="n"/>
      <c r="H296" s="11" t="n"/>
      <c r="I296" s="21">
        <f>IF(OR(H296="",H296=0),"",1/H296)</f>
        <v/>
      </c>
      <c r="J296" s="11">
        <f>IF(OR(G296="",H296=""),"",H296*G296-1)</f>
        <v/>
      </c>
      <c r="K296" s="10">
        <f>IF(OR(G296="",H296="",G296&lt;=1),"",IF(J296&lt;IF(D296="Builder",MinEdgeBuilder,IF(D296="Player",MinEdgePlayer,MinEdgeSingle)),0,ROUND(MIN(IF(D296="Single",KellySingle,KellyBuilder)*(StartBank+SUM(P$1:P295))*J296/(G296-1),IF(D296="Builder",CapBuilder,CapSingle)*Unit),2)))</f>
        <v/>
      </c>
      <c r="L296" s="10" t="n"/>
      <c r="N296" s="10" t="n"/>
      <c r="O296" s="10">
        <f>IF(L296="","",IF(M296="Won",L296*G296,IF(M296="Void",L296,IF(M296="Cash out",N(N296),IF(M296="Lost",0,"")))))</f>
        <v/>
      </c>
      <c r="P296" s="10">
        <f>IF(OR(L296="",M296="",M296="Pending"),"",O296-L296)</f>
        <v/>
      </c>
      <c r="Q296" s="21" t="n"/>
      <c r="R296" s="11">
        <f>IF(OR(G296="",Q296=""),"",G296/Q296-1)</f>
        <v/>
      </c>
      <c r="S296" s="10">
        <f>IF(OR(L296="",J296=""),"",L296*J296)</f>
        <v/>
      </c>
      <c r="T296" s="10">
        <f>IF(P296="","",StartBank+SUM(P$2:P296))</f>
        <v/>
      </c>
    </row>
    <row r="297">
      <c r="A297" s="22" t="n"/>
      <c r="G297" s="21" t="n"/>
      <c r="H297" s="11" t="n"/>
      <c r="I297" s="21">
        <f>IF(OR(H297="",H297=0),"",1/H297)</f>
        <v/>
      </c>
      <c r="J297" s="11">
        <f>IF(OR(G297="",H297=""),"",H297*G297-1)</f>
        <v/>
      </c>
      <c r="K297" s="10">
        <f>IF(OR(G297="",H297="",G297&lt;=1),"",IF(J297&lt;IF(D297="Builder",MinEdgeBuilder,IF(D297="Player",MinEdgePlayer,MinEdgeSingle)),0,ROUND(MIN(IF(D297="Single",KellySingle,KellyBuilder)*(StartBank+SUM(P$1:P296))*J297/(G297-1),IF(D297="Builder",CapBuilder,CapSingle)*Unit),2)))</f>
        <v/>
      </c>
      <c r="L297" s="10" t="n"/>
      <c r="N297" s="10" t="n"/>
      <c r="O297" s="10">
        <f>IF(L297="","",IF(M297="Won",L297*G297,IF(M297="Void",L297,IF(M297="Cash out",N(N297),IF(M297="Lost",0,"")))))</f>
        <v/>
      </c>
      <c r="P297" s="10">
        <f>IF(OR(L297="",M297="",M297="Pending"),"",O297-L297)</f>
        <v/>
      </c>
      <c r="Q297" s="21" t="n"/>
      <c r="R297" s="11">
        <f>IF(OR(G297="",Q297=""),"",G297/Q297-1)</f>
        <v/>
      </c>
      <c r="S297" s="10">
        <f>IF(OR(L297="",J297=""),"",L297*J297)</f>
        <v/>
      </c>
      <c r="T297" s="10">
        <f>IF(P297="","",StartBank+SUM(P$2:P297))</f>
        <v/>
      </c>
    </row>
    <row r="298">
      <c r="A298" s="22" t="n"/>
      <c r="G298" s="21" t="n"/>
      <c r="H298" s="11" t="n"/>
      <c r="I298" s="21">
        <f>IF(OR(H298="",H298=0),"",1/H298)</f>
        <v/>
      </c>
      <c r="J298" s="11">
        <f>IF(OR(G298="",H298=""),"",H298*G298-1)</f>
        <v/>
      </c>
      <c r="K298" s="10">
        <f>IF(OR(G298="",H298="",G298&lt;=1),"",IF(J298&lt;IF(D298="Builder",MinEdgeBuilder,IF(D298="Player",MinEdgePlayer,MinEdgeSingle)),0,ROUND(MIN(IF(D298="Single",KellySingle,KellyBuilder)*(StartBank+SUM(P$1:P297))*J298/(G298-1),IF(D298="Builder",CapBuilder,CapSingle)*Unit),2)))</f>
        <v/>
      </c>
      <c r="L298" s="10" t="n"/>
      <c r="N298" s="10" t="n"/>
      <c r="O298" s="10">
        <f>IF(L298="","",IF(M298="Won",L298*G298,IF(M298="Void",L298,IF(M298="Cash out",N(N298),IF(M298="Lost",0,"")))))</f>
        <v/>
      </c>
      <c r="P298" s="10">
        <f>IF(OR(L298="",M298="",M298="Pending"),"",O298-L298)</f>
        <v/>
      </c>
      <c r="Q298" s="21" t="n"/>
      <c r="R298" s="11">
        <f>IF(OR(G298="",Q298=""),"",G298/Q298-1)</f>
        <v/>
      </c>
      <c r="S298" s="10">
        <f>IF(OR(L298="",J298=""),"",L298*J298)</f>
        <v/>
      </c>
      <c r="T298" s="10">
        <f>IF(P298="","",StartBank+SUM(P$2:P298))</f>
        <v/>
      </c>
    </row>
    <row r="299">
      <c r="A299" s="22" t="n"/>
      <c r="G299" s="21" t="n"/>
      <c r="H299" s="11" t="n"/>
      <c r="I299" s="21">
        <f>IF(OR(H299="",H299=0),"",1/H299)</f>
        <v/>
      </c>
      <c r="J299" s="11">
        <f>IF(OR(G299="",H299=""),"",H299*G299-1)</f>
        <v/>
      </c>
      <c r="K299" s="10">
        <f>IF(OR(G299="",H299="",G299&lt;=1),"",IF(J299&lt;IF(D299="Builder",MinEdgeBuilder,IF(D299="Player",MinEdgePlayer,MinEdgeSingle)),0,ROUND(MIN(IF(D299="Single",KellySingle,KellyBuilder)*(StartBank+SUM(P$1:P298))*J299/(G299-1),IF(D299="Builder",CapBuilder,CapSingle)*Unit),2)))</f>
        <v/>
      </c>
      <c r="L299" s="10" t="n"/>
      <c r="N299" s="10" t="n"/>
      <c r="O299" s="10">
        <f>IF(L299="","",IF(M299="Won",L299*G299,IF(M299="Void",L299,IF(M299="Cash out",N(N299),IF(M299="Lost",0,"")))))</f>
        <v/>
      </c>
      <c r="P299" s="10">
        <f>IF(OR(L299="",M299="",M299="Pending"),"",O299-L299)</f>
        <v/>
      </c>
      <c r="Q299" s="21" t="n"/>
      <c r="R299" s="11">
        <f>IF(OR(G299="",Q299=""),"",G299/Q299-1)</f>
        <v/>
      </c>
      <c r="S299" s="10">
        <f>IF(OR(L299="",J299=""),"",L299*J299)</f>
        <v/>
      </c>
      <c r="T299" s="10">
        <f>IF(P299="","",StartBank+SUM(P$2:P299))</f>
        <v/>
      </c>
    </row>
    <row r="300">
      <c r="A300" s="22" t="n"/>
      <c r="G300" s="21" t="n"/>
      <c r="H300" s="11" t="n"/>
      <c r="I300" s="21">
        <f>IF(OR(H300="",H300=0),"",1/H300)</f>
        <v/>
      </c>
      <c r="J300" s="11">
        <f>IF(OR(G300="",H300=""),"",H300*G300-1)</f>
        <v/>
      </c>
      <c r="K300" s="10">
        <f>IF(OR(G300="",H300="",G300&lt;=1),"",IF(J300&lt;IF(D300="Builder",MinEdgeBuilder,IF(D300="Player",MinEdgePlayer,MinEdgeSingle)),0,ROUND(MIN(IF(D300="Single",KellySingle,KellyBuilder)*(StartBank+SUM(P$1:P299))*J300/(G300-1),IF(D300="Builder",CapBuilder,CapSingle)*Unit),2)))</f>
        <v/>
      </c>
      <c r="L300" s="10" t="n"/>
      <c r="N300" s="10" t="n"/>
      <c r="O300" s="10">
        <f>IF(L300="","",IF(M300="Won",L300*G300,IF(M300="Void",L300,IF(M300="Cash out",N(N300),IF(M300="Lost",0,"")))))</f>
        <v/>
      </c>
      <c r="P300" s="10">
        <f>IF(OR(L300="",M300="",M300="Pending"),"",O300-L300)</f>
        <v/>
      </c>
      <c r="Q300" s="21" t="n"/>
      <c r="R300" s="11">
        <f>IF(OR(G300="",Q300=""),"",G300/Q300-1)</f>
        <v/>
      </c>
      <c r="S300" s="10">
        <f>IF(OR(L300="",J300=""),"",L300*J300)</f>
        <v/>
      </c>
      <c r="T300" s="10">
        <f>IF(P300="","",StartBank+SUM(P$2:P300))</f>
        <v/>
      </c>
    </row>
    <row r="301">
      <c r="A301" s="22" t="n"/>
      <c r="G301" s="21" t="n"/>
      <c r="H301" s="11" t="n"/>
      <c r="I301" s="21">
        <f>IF(OR(H301="",H301=0),"",1/H301)</f>
        <v/>
      </c>
      <c r="J301" s="11">
        <f>IF(OR(G301="",H301=""),"",H301*G301-1)</f>
        <v/>
      </c>
      <c r="K301" s="10">
        <f>IF(OR(G301="",H301="",G301&lt;=1),"",IF(J301&lt;IF(D301="Builder",MinEdgeBuilder,IF(D301="Player",MinEdgePlayer,MinEdgeSingle)),0,ROUND(MIN(IF(D301="Single",KellySingle,KellyBuilder)*(StartBank+SUM(P$1:P300))*J301/(G301-1),IF(D301="Builder",CapBuilder,CapSingle)*Unit),2)))</f>
        <v/>
      </c>
      <c r="L301" s="10" t="n"/>
      <c r="N301" s="10" t="n"/>
      <c r="O301" s="10">
        <f>IF(L301="","",IF(M301="Won",L301*G301,IF(M301="Void",L301,IF(M301="Cash out",N(N301),IF(M301="Lost",0,"")))))</f>
        <v/>
      </c>
      <c r="P301" s="10">
        <f>IF(OR(L301="",M301="",M301="Pending"),"",O301-L301)</f>
        <v/>
      </c>
      <c r="Q301" s="21" t="n"/>
      <c r="R301" s="11">
        <f>IF(OR(G301="",Q301=""),"",G301/Q301-1)</f>
        <v/>
      </c>
      <c r="S301" s="10">
        <f>IF(OR(L301="",J301=""),"",L301*J301)</f>
        <v/>
      </c>
      <c r="T301" s="10">
        <f>IF(P301="","",StartBank+SUM(P$2:P301))</f>
        <v/>
      </c>
    </row>
    <row r="302">
      <c r="A302" s="22" t="n"/>
      <c r="G302" s="21" t="n"/>
      <c r="H302" s="11" t="n"/>
      <c r="I302" s="21">
        <f>IF(OR(H302="",H302=0),"",1/H302)</f>
        <v/>
      </c>
      <c r="J302" s="11">
        <f>IF(OR(G302="",H302=""),"",H302*G302-1)</f>
        <v/>
      </c>
      <c r="K302" s="10">
        <f>IF(OR(G302="",H302="",G302&lt;=1),"",IF(J302&lt;IF(D302="Builder",MinEdgeBuilder,IF(D302="Player",MinEdgePlayer,MinEdgeSingle)),0,ROUND(MIN(IF(D302="Single",KellySingle,KellyBuilder)*(StartBank+SUM(P$1:P301))*J302/(G302-1),IF(D302="Builder",CapBuilder,CapSingle)*Unit),2)))</f>
        <v/>
      </c>
      <c r="L302" s="10" t="n"/>
      <c r="N302" s="10" t="n"/>
      <c r="O302" s="10">
        <f>IF(L302="","",IF(M302="Won",L302*G302,IF(M302="Void",L302,IF(M302="Cash out",N(N302),IF(M302="Lost",0,"")))))</f>
        <v/>
      </c>
      <c r="P302" s="10">
        <f>IF(OR(L302="",M302="",M302="Pending"),"",O302-L302)</f>
        <v/>
      </c>
      <c r="Q302" s="21" t="n"/>
      <c r="R302" s="11">
        <f>IF(OR(G302="",Q302=""),"",G302/Q302-1)</f>
        <v/>
      </c>
      <c r="S302" s="10">
        <f>IF(OR(L302="",J302=""),"",L302*J302)</f>
        <v/>
      </c>
      <c r="T302" s="10">
        <f>IF(P302="","",StartBank+SUM(P$2:P302))</f>
        <v/>
      </c>
    </row>
    <row r="303">
      <c r="A303" s="22" t="n"/>
      <c r="G303" s="21" t="n"/>
      <c r="H303" s="11" t="n"/>
      <c r="I303" s="21">
        <f>IF(OR(H303="",H303=0),"",1/H303)</f>
        <v/>
      </c>
      <c r="J303" s="11">
        <f>IF(OR(G303="",H303=""),"",H303*G303-1)</f>
        <v/>
      </c>
      <c r="K303" s="10">
        <f>IF(OR(G303="",H303="",G303&lt;=1),"",IF(J303&lt;IF(D303="Builder",MinEdgeBuilder,IF(D303="Player",MinEdgePlayer,MinEdgeSingle)),0,ROUND(MIN(IF(D303="Single",KellySingle,KellyBuilder)*(StartBank+SUM(P$1:P302))*J303/(G303-1),IF(D303="Builder",CapBuilder,CapSingle)*Unit),2)))</f>
        <v/>
      </c>
      <c r="L303" s="10" t="n"/>
      <c r="N303" s="10" t="n"/>
      <c r="O303" s="10">
        <f>IF(L303="","",IF(M303="Won",L303*G303,IF(M303="Void",L303,IF(M303="Cash out",N(N303),IF(M303="Lost",0,"")))))</f>
        <v/>
      </c>
      <c r="P303" s="10">
        <f>IF(OR(L303="",M303="",M303="Pending"),"",O303-L303)</f>
        <v/>
      </c>
      <c r="Q303" s="21" t="n"/>
      <c r="R303" s="11">
        <f>IF(OR(G303="",Q303=""),"",G303/Q303-1)</f>
        <v/>
      </c>
      <c r="S303" s="10">
        <f>IF(OR(L303="",J303=""),"",L303*J303)</f>
        <v/>
      </c>
      <c r="T303" s="10">
        <f>IF(P303="","",StartBank+SUM(P$2:P303))</f>
        <v/>
      </c>
    </row>
    <row r="304">
      <c r="A304" s="22" t="n"/>
      <c r="G304" s="21" t="n"/>
      <c r="H304" s="11" t="n"/>
      <c r="I304" s="21">
        <f>IF(OR(H304="",H304=0),"",1/H304)</f>
        <v/>
      </c>
      <c r="J304" s="11">
        <f>IF(OR(G304="",H304=""),"",H304*G304-1)</f>
        <v/>
      </c>
      <c r="K304" s="10">
        <f>IF(OR(G304="",H304="",G304&lt;=1),"",IF(J304&lt;IF(D304="Builder",MinEdgeBuilder,IF(D304="Player",MinEdgePlayer,MinEdgeSingle)),0,ROUND(MIN(IF(D304="Single",KellySingle,KellyBuilder)*(StartBank+SUM(P$1:P303))*J304/(G304-1),IF(D304="Builder",CapBuilder,CapSingle)*Unit),2)))</f>
        <v/>
      </c>
      <c r="L304" s="10" t="n"/>
      <c r="N304" s="10" t="n"/>
      <c r="O304" s="10">
        <f>IF(L304="","",IF(M304="Won",L304*G304,IF(M304="Void",L304,IF(M304="Cash out",N(N304),IF(M304="Lost",0,"")))))</f>
        <v/>
      </c>
      <c r="P304" s="10">
        <f>IF(OR(L304="",M304="",M304="Pending"),"",O304-L304)</f>
        <v/>
      </c>
      <c r="Q304" s="21" t="n"/>
      <c r="R304" s="11">
        <f>IF(OR(G304="",Q304=""),"",G304/Q304-1)</f>
        <v/>
      </c>
      <c r="S304" s="10">
        <f>IF(OR(L304="",J304=""),"",L304*J304)</f>
        <v/>
      </c>
      <c r="T304" s="10">
        <f>IF(P304="","",StartBank+SUM(P$2:P304))</f>
        <v/>
      </c>
    </row>
    <row r="305">
      <c r="A305" s="22" t="n"/>
      <c r="G305" s="21" t="n"/>
      <c r="H305" s="11" t="n"/>
      <c r="I305" s="21">
        <f>IF(OR(H305="",H305=0),"",1/H305)</f>
        <v/>
      </c>
      <c r="J305" s="11">
        <f>IF(OR(G305="",H305=""),"",H305*G305-1)</f>
        <v/>
      </c>
      <c r="K305" s="10">
        <f>IF(OR(G305="",H305="",G305&lt;=1),"",IF(J305&lt;IF(D305="Builder",MinEdgeBuilder,IF(D305="Player",MinEdgePlayer,MinEdgeSingle)),0,ROUND(MIN(IF(D305="Single",KellySingle,KellyBuilder)*(StartBank+SUM(P$1:P304))*J305/(G305-1),IF(D305="Builder",CapBuilder,CapSingle)*Unit),2)))</f>
        <v/>
      </c>
      <c r="L305" s="10" t="n"/>
      <c r="N305" s="10" t="n"/>
      <c r="O305" s="10">
        <f>IF(L305="","",IF(M305="Won",L305*G305,IF(M305="Void",L305,IF(M305="Cash out",N(N305),IF(M305="Lost",0,"")))))</f>
        <v/>
      </c>
      <c r="P305" s="10">
        <f>IF(OR(L305="",M305="",M305="Pending"),"",O305-L305)</f>
        <v/>
      </c>
      <c r="Q305" s="21" t="n"/>
      <c r="R305" s="11">
        <f>IF(OR(G305="",Q305=""),"",G305/Q305-1)</f>
        <v/>
      </c>
      <c r="S305" s="10">
        <f>IF(OR(L305="",J305=""),"",L305*J305)</f>
        <v/>
      </c>
      <c r="T305" s="10">
        <f>IF(P305="","",StartBank+SUM(P$2:P305))</f>
        <v/>
      </c>
    </row>
    <row r="306">
      <c r="A306" s="22" t="n"/>
      <c r="G306" s="21" t="n"/>
      <c r="H306" s="11" t="n"/>
      <c r="I306" s="21">
        <f>IF(OR(H306="",H306=0),"",1/H306)</f>
        <v/>
      </c>
      <c r="J306" s="11">
        <f>IF(OR(G306="",H306=""),"",H306*G306-1)</f>
        <v/>
      </c>
      <c r="K306" s="10">
        <f>IF(OR(G306="",H306="",G306&lt;=1),"",IF(J306&lt;IF(D306="Builder",MinEdgeBuilder,IF(D306="Player",MinEdgePlayer,MinEdgeSingle)),0,ROUND(MIN(IF(D306="Single",KellySingle,KellyBuilder)*(StartBank+SUM(P$1:P305))*J306/(G306-1),IF(D306="Builder",CapBuilder,CapSingle)*Unit),2)))</f>
        <v/>
      </c>
      <c r="L306" s="10" t="n"/>
      <c r="N306" s="10" t="n"/>
      <c r="O306" s="10">
        <f>IF(L306="","",IF(M306="Won",L306*G306,IF(M306="Void",L306,IF(M306="Cash out",N(N306),IF(M306="Lost",0,"")))))</f>
        <v/>
      </c>
      <c r="P306" s="10">
        <f>IF(OR(L306="",M306="",M306="Pending"),"",O306-L306)</f>
        <v/>
      </c>
      <c r="Q306" s="21" t="n"/>
      <c r="R306" s="11">
        <f>IF(OR(G306="",Q306=""),"",G306/Q306-1)</f>
        <v/>
      </c>
      <c r="S306" s="10">
        <f>IF(OR(L306="",J306=""),"",L306*J306)</f>
        <v/>
      </c>
      <c r="T306" s="10">
        <f>IF(P306="","",StartBank+SUM(P$2:P306))</f>
        <v/>
      </c>
    </row>
    <row r="307">
      <c r="A307" s="22" t="n"/>
      <c r="G307" s="21" t="n"/>
      <c r="H307" s="11" t="n"/>
      <c r="I307" s="21">
        <f>IF(OR(H307="",H307=0),"",1/H307)</f>
        <v/>
      </c>
      <c r="J307" s="11">
        <f>IF(OR(G307="",H307=""),"",H307*G307-1)</f>
        <v/>
      </c>
      <c r="K307" s="10">
        <f>IF(OR(G307="",H307="",G307&lt;=1),"",IF(J307&lt;IF(D307="Builder",MinEdgeBuilder,IF(D307="Player",MinEdgePlayer,MinEdgeSingle)),0,ROUND(MIN(IF(D307="Single",KellySingle,KellyBuilder)*(StartBank+SUM(P$1:P306))*J307/(G307-1),IF(D307="Builder",CapBuilder,CapSingle)*Unit),2)))</f>
        <v/>
      </c>
      <c r="L307" s="10" t="n"/>
      <c r="N307" s="10" t="n"/>
      <c r="O307" s="10">
        <f>IF(L307="","",IF(M307="Won",L307*G307,IF(M307="Void",L307,IF(M307="Cash out",N(N307),IF(M307="Lost",0,"")))))</f>
        <v/>
      </c>
      <c r="P307" s="10">
        <f>IF(OR(L307="",M307="",M307="Pending"),"",O307-L307)</f>
        <v/>
      </c>
      <c r="Q307" s="21" t="n"/>
      <c r="R307" s="11">
        <f>IF(OR(G307="",Q307=""),"",G307/Q307-1)</f>
        <v/>
      </c>
      <c r="S307" s="10">
        <f>IF(OR(L307="",J307=""),"",L307*J307)</f>
        <v/>
      </c>
      <c r="T307" s="10">
        <f>IF(P307="","",StartBank+SUM(P$2:P307))</f>
        <v/>
      </c>
    </row>
    <row r="308">
      <c r="A308" s="22" t="n"/>
      <c r="G308" s="21" t="n"/>
      <c r="H308" s="11" t="n"/>
      <c r="I308" s="21">
        <f>IF(OR(H308="",H308=0),"",1/H308)</f>
        <v/>
      </c>
      <c r="J308" s="11">
        <f>IF(OR(G308="",H308=""),"",H308*G308-1)</f>
        <v/>
      </c>
      <c r="K308" s="10">
        <f>IF(OR(G308="",H308="",G308&lt;=1),"",IF(J308&lt;IF(D308="Builder",MinEdgeBuilder,IF(D308="Player",MinEdgePlayer,MinEdgeSingle)),0,ROUND(MIN(IF(D308="Single",KellySingle,KellyBuilder)*(StartBank+SUM(P$1:P307))*J308/(G308-1),IF(D308="Builder",CapBuilder,CapSingle)*Unit),2)))</f>
        <v/>
      </c>
      <c r="L308" s="10" t="n"/>
      <c r="N308" s="10" t="n"/>
      <c r="O308" s="10">
        <f>IF(L308="","",IF(M308="Won",L308*G308,IF(M308="Void",L308,IF(M308="Cash out",N(N308),IF(M308="Lost",0,"")))))</f>
        <v/>
      </c>
      <c r="P308" s="10">
        <f>IF(OR(L308="",M308="",M308="Pending"),"",O308-L308)</f>
        <v/>
      </c>
      <c r="Q308" s="21" t="n"/>
      <c r="R308" s="11">
        <f>IF(OR(G308="",Q308=""),"",G308/Q308-1)</f>
        <v/>
      </c>
      <c r="S308" s="10">
        <f>IF(OR(L308="",J308=""),"",L308*J308)</f>
        <v/>
      </c>
      <c r="T308" s="10">
        <f>IF(P308="","",StartBank+SUM(P$2:P308))</f>
        <v/>
      </c>
    </row>
    <row r="309">
      <c r="A309" s="22" t="n"/>
      <c r="G309" s="21" t="n"/>
      <c r="H309" s="11" t="n"/>
      <c r="I309" s="21">
        <f>IF(OR(H309="",H309=0),"",1/H309)</f>
        <v/>
      </c>
      <c r="J309" s="11">
        <f>IF(OR(G309="",H309=""),"",H309*G309-1)</f>
        <v/>
      </c>
      <c r="K309" s="10">
        <f>IF(OR(G309="",H309="",G309&lt;=1),"",IF(J309&lt;IF(D309="Builder",MinEdgeBuilder,IF(D309="Player",MinEdgePlayer,MinEdgeSingle)),0,ROUND(MIN(IF(D309="Single",KellySingle,KellyBuilder)*(StartBank+SUM(P$1:P308))*J309/(G309-1),IF(D309="Builder",CapBuilder,CapSingle)*Unit),2)))</f>
        <v/>
      </c>
      <c r="L309" s="10" t="n"/>
      <c r="N309" s="10" t="n"/>
      <c r="O309" s="10">
        <f>IF(L309="","",IF(M309="Won",L309*G309,IF(M309="Void",L309,IF(M309="Cash out",N(N309),IF(M309="Lost",0,"")))))</f>
        <v/>
      </c>
      <c r="P309" s="10">
        <f>IF(OR(L309="",M309="",M309="Pending"),"",O309-L309)</f>
        <v/>
      </c>
      <c r="Q309" s="21" t="n"/>
      <c r="R309" s="11">
        <f>IF(OR(G309="",Q309=""),"",G309/Q309-1)</f>
        <v/>
      </c>
      <c r="S309" s="10">
        <f>IF(OR(L309="",J309=""),"",L309*J309)</f>
        <v/>
      </c>
      <c r="T309" s="10">
        <f>IF(P309="","",StartBank+SUM(P$2:P309))</f>
        <v/>
      </c>
    </row>
    <row r="310">
      <c r="A310" s="22" t="n"/>
      <c r="G310" s="21" t="n"/>
      <c r="H310" s="11" t="n"/>
      <c r="I310" s="21">
        <f>IF(OR(H310="",H310=0),"",1/H310)</f>
        <v/>
      </c>
      <c r="J310" s="11">
        <f>IF(OR(G310="",H310=""),"",H310*G310-1)</f>
        <v/>
      </c>
      <c r="K310" s="10">
        <f>IF(OR(G310="",H310="",G310&lt;=1),"",IF(J310&lt;IF(D310="Builder",MinEdgeBuilder,IF(D310="Player",MinEdgePlayer,MinEdgeSingle)),0,ROUND(MIN(IF(D310="Single",KellySingle,KellyBuilder)*(StartBank+SUM(P$1:P309))*J310/(G310-1),IF(D310="Builder",CapBuilder,CapSingle)*Unit),2)))</f>
        <v/>
      </c>
      <c r="L310" s="10" t="n"/>
      <c r="N310" s="10" t="n"/>
      <c r="O310" s="10">
        <f>IF(L310="","",IF(M310="Won",L310*G310,IF(M310="Void",L310,IF(M310="Cash out",N(N310),IF(M310="Lost",0,"")))))</f>
        <v/>
      </c>
      <c r="P310" s="10">
        <f>IF(OR(L310="",M310="",M310="Pending"),"",O310-L310)</f>
        <v/>
      </c>
      <c r="Q310" s="21" t="n"/>
      <c r="R310" s="11">
        <f>IF(OR(G310="",Q310=""),"",G310/Q310-1)</f>
        <v/>
      </c>
      <c r="S310" s="10">
        <f>IF(OR(L310="",J310=""),"",L310*J310)</f>
        <v/>
      </c>
      <c r="T310" s="10">
        <f>IF(P310="","",StartBank+SUM(P$2:P310))</f>
        <v/>
      </c>
    </row>
    <row r="311">
      <c r="A311" s="22" t="n"/>
      <c r="G311" s="21" t="n"/>
      <c r="H311" s="11" t="n"/>
      <c r="I311" s="21">
        <f>IF(OR(H311="",H311=0),"",1/H311)</f>
        <v/>
      </c>
      <c r="J311" s="11">
        <f>IF(OR(G311="",H311=""),"",H311*G311-1)</f>
        <v/>
      </c>
      <c r="K311" s="10">
        <f>IF(OR(G311="",H311="",G311&lt;=1),"",IF(J311&lt;IF(D311="Builder",MinEdgeBuilder,IF(D311="Player",MinEdgePlayer,MinEdgeSingle)),0,ROUND(MIN(IF(D311="Single",KellySingle,KellyBuilder)*(StartBank+SUM(P$1:P310))*J311/(G311-1),IF(D311="Builder",CapBuilder,CapSingle)*Unit),2)))</f>
        <v/>
      </c>
      <c r="L311" s="10" t="n"/>
      <c r="N311" s="10" t="n"/>
      <c r="O311" s="10">
        <f>IF(L311="","",IF(M311="Won",L311*G311,IF(M311="Void",L311,IF(M311="Cash out",N(N311),IF(M311="Lost",0,"")))))</f>
        <v/>
      </c>
      <c r="P311" s="10">
        <f>IF(OR(L311="",M311="",M311="Pending"),"",O311-L311)</f>
        <v/>
      </c>
      <c r="Q311" s="21" t="n"/>
      <c r="R311" s="11">
        <f>IF(OR(G311="",Q311=""),"",G311/Q311-1)</f>
        <v/>
      </c>
      <c r="S311" s="10">
        <f>IF(OR(L311="",J311=""),"",L311*J311)</f>
        <v/>
      </c>
      <c r="T311" s="10">
        <f>IF(P311="","",StartBank+SUM(P$2:P311))</f>
        <v/>
      </c>
    </row>
    <row r="312">
      <c r="A312" s="22" t="n"/>
      <c r="G312" s="21" t="n"/>
      <c r="H312" s="11" t="n"/>
      <c r="I312" s="21">
        <f>IF(OR(H312="",H312=0),"",1/H312)</f>
        <v/>
      </c>
      <c r="J312" s="11">
        <f>IF(OR(G312="",H312=""),"",H312*G312-1)</f>
        <v/>
      </c>
      <c r="K312" s="10">
        <f>IF(OR(G312="",H312="",G312&lt;=1),"",IF(J312&lt;IF(D312="Builder",MinEdgeBuilder,IF(D312="Player",MinEdgePlayer,MinEdgeSingle)),0,ROUND(MIN(IF(D312="Single",KellySingle,KellyBuilder)*(StartBank+SUM(P$1:P311))*J312/(G312-1),IF(D312="Builder",CapBuilder,CapSingle)*Unit),2)))</f>
        <v/>
      </c>
      <c r="L312" s="10" t="n"/>
      <c r="N312" s="10" t="n"/>
      <c r="O312" s="10">
        <f>IF(L312="","",IF(M312="Won",L312*G312,IF(M312="Void",L312,IF(M312="Cash out",N(N312),IF(M312="Lost",0,"")))))</f>
        <v/>
      </c>
      <c r="P312" s="10">
        <f>IF(OR(L312="",M312="",M312="Pending"),"",O312-L312)</f>
        <v/>
      </c>
      <c r="Q312" s="21" t="n"/>
      <c r="R312" s="11">
        <f>IF(OR(G312="",Q312=""),"",G312/Q312-1)</f>
        <v/>
      </c>
      <c r="S312" s="10">
        <f>IF(OR(L312="",J312=""),"",L312*J312)</f>
        <v/>
      </c>
      <c r="T312" s="10">
        <f>IF(P312="","",StartBank+SUM(P$2:P312))</f>
        <v/>
      </c>
    </row>
    <row r="313">
      <c r="A313" s="22" t="n"/>
      <c r="G313" s="21" t="n"/>
      <c r="H313" s="11" t="n"/>
      <c r="I313" s="21">
        <f>IF(OR(H313="",H313=0),"",1/H313)</f>
        <v/>
      </c>
      <c r="J313" s="11">
        <f>IF(OR(G313="",H313=""),"",H313*G313-1)</f>
        <v/>
      </c>
      <c r="K313" s="10">
        <f>IF(OR(G313="",H313="",G313&lt;=1),"",IF(J313&lt;IF(D313="Builder",MinEdgeBuilder,IF(D313="Player",MinEdgePlayer,MinEdgeSingle)),0,ROUND(MIN(IF(D313="Single",KellySingle,KellyBuilder)*(StartBank+SUM(P$1:P312))*J313/(G313-1),IF(D313="Builder",CapBuilder,CapSingle)*Unit),2)))</f>
        <v/>
      </c>
      <c r="L313" s="10" t="n"/>
      <c r="N313" s="10" t="n"/>
      <c r="O313" s="10">
        <f>IF(L313="","",IF(M313="Won",L313*G313,IF(M313="Void",L313,IF(M313="Cash out",N(N313),IF(M313="Lost",0,"")))))</f>
        <v/>
      </c>
      <c r="P313" s="10">
        <f>IF(OR(L313="",M313="",M313="Pending"),"",O313-L313)</f>
        <v/>
      </c>
      <c r="Q313" s="21" t="n"/>
      <c r="R313" s="11">
        <f>IF(OR(G313="",Q313=""),"",G313/Q313-1)</f>
        <v/>
      </c>
      <c r="S313" s="10">
        <f>IF(OR(L313="",J313=""),"",L313*J313)</f>
        <v/>
      </c>
      <c r="T313" s="10">
        <f>IF(P313="","",StartBank+SUM(P$2:P313))</f>
        <v/>
      </c>
    </row>
    <row r="314">
      <c r="A314" s="22" t="n"/>
      <c r="G314" s="21" t="n"/>
      <c r="H314" s="11" t="n"/>
      <c r="I314" s="21">
        <f>IF(OR(H314="",H314=0),"",1/H314)</f>
        <v/>
      </c>
      <c r="J314" s="11">
        <f>IF(OR(G314="",H314=""),"",H314*G314-1)</f>
        <v/>
      </c>
      <c r="K314" s="10">
        <f>IF(OR(G314="",H314="",G314&lt;=1),"",IF(J314&lt;IF(D314="Builder",MinEdgeBuilder,IF(D314="Player",MinEdgePlayer,MinEdgeSingle)),0,ROUND(MIN(IF(D314="Single",KellySingle,KellyBuilder)*(StartBank+SUM(P$1:P313))*J314/(G314-1),IF(D314="Builder",CapBuilder,CapSingle)*Unit),2)))</f>
        <v/>
      </c>
      <c r="L314" s="10" t="n"/>
      <c r="N314" s="10" t="n"/>
      <c r="O314" s="10">
        <f>IF(L314="","",IF(M314="Won",L314*G314,IF(M314="Void",L314,IF(M314="Cash out",N(N314),IF(M314="Lost",0,"")))))</f>
        <v/>
      </c>
      <c r="P314" s="10">
        <f>IF(OR(L314="",M314="",M314="Pending"),"",O314-L314)</f>
        <v/>
      </c>
      <c r="Q314" s="21" t="n"/>
      <c r="R314" s="11">
        <f>IF(OR(G314="",Q314=""),"",G314/Q314-1)</f>
        <v/>
      </c>
      <c r="S314" s="10">
        <f>IF(OR(L314="",J314=""),"",L314*J314)</f>
        <v/>
      </c>
      <c r="T314" s="10">
        <f>IF(P314="","",StartBank+SUM(P$2:P314))</f>
        <v/>
      </c>
    </row>
    <row r="315">
      <c r="A315" s="22" t="n"/>
      <c r="G315" s="21" t="n"/>
      <c r="H315" s="11" t="n"/>
      <c r="I315" s="21">
        <f>IF(OR(H315="",H315=0),"",1/H315)</f>
        <v/>
      </c>
      <c r="J315" s="11">
        <f>IF(OR(G315="",H315=""),"",H315*G315-1)</f>
        <v/>
      </c>
      <c r="K315" s="10">
        <f>IF(OR(G315="",H315="",G315&lt;=1),"",IF(J315&lt;IF(D315="Builder",MinEdgeBuilder,IF(D315="Player",MinEdgePlayer,MinEdgeSingle)),0,ROUND(MIN(IF(D315="Single",KellySingle,KellyBuilder)*(StartBank+SUM(P$1:P314))*J315/(G315-1),IF(D315="Builder",CapBuilder,CapSingle)*Unit),2)))</f>
        <v/>
      </c>
      <c r="L315" s="10" t="n"/>
      <c r="N315" s="10" t="n"/>
      <c r="O315" s="10">
        <f>IF(L315="","",IF(M315="Won",L315*G315,IF(M315="Void",L315,IF(M315="Cash out",N(N315),IF(M315="Lost",0,"")))))</f>
        <v/>
      </c>
      <c r="P315" s="10">
        <f>IF(OR(L315="",M315="",M315="Pending"),"",O315-L315)</f>
        <v/>
      </c>
      <c r="Q315" s="21" t="n"/>
      <c r="R315" s="11">
        <f>IF(OR(G315="",Q315=""),"",G315/Q315-1)</f>
        <v/>
      </c>
      <c r="S315" s="10">
        <f>IF(OR(L315="",J315=""),"",L315*J315)</f>
        <v/>
      </c>
      <c r="T315" s="10">
        <f>IF(P315="","",StartBank+SUM(P$2:P315))</f>
        <v/>
      </c>
    </row>
    <row r="316">
      <c r="A316" s="22" t="n"/>
      <c r="G316" s="21" t="n"/>
      <c r="H316" s="11" t="n"/>
      <c r="I316" s="21">
        <f>IF(OR(H316="",H316=0),"",1/H316)</f>
        <v/>
      </c>
      <c r="J316" s="11">
        <f>IF(OR(G316="",H316=""),"",H316*G316-1)</f>
        <v/>
      </c>
      <c r="K316" s="10">
        <f>IF(OR(G316="",H316="",G316&lt;=1),"",IF(J316&lt;IF(D316="Builder",MinEdgeBuilder,IF(D316="Player",MinEdgePlayer,MinEdgeSingle)),0,ROUND(MIN(IF(D316="Single",KellySingle,KellyBuilder)*(StartBank+SUM(P$1:P315))*J316/(G316-1),IF(D316="Builder",CapBuilder,CapSingle)*Unit),2)))</f>
        <v/>
      </c>
      <c r="L316" s="10" t="n"/>
      <c r="N316" s="10" t="n"/>
      <c r="O316" s="10">
        <f>IF(L316="","",IF(M316="Won",L316*G316,IF(M316="Void",L316,IF(M316="Cash out",N(N316),IF(M316="Lost",0,"")))))</f>
        <v/>
      </c>
      <c r="P316" s="10">
        <f>IF(OR(L316="",M316="",M316="Pending"),"",O316-L316)</f>
        <v/>
      </c>
      <c r="Q316" s="21" t="n"/>
      <c r="R316" s="11">
        <f>IF(OR(G316="",Q316=""),"",G316/Q316-1)</f>
        <v/>
      </c>
      <c r="S316" s="10">
        <f>IF(OR(L316="",J316=""),"",L316*J316)</f>
        <v/>
      </c>
      <c r="T316" s="10">
        <f>IF(P316="","",StartBank+SUM(P$2:P316))</f>
        <v/>
      </c>
    </row>
    <row r="317">
      <c r="A317" s="22" t="n"/>
      <c r="G317" s="21" t="n"/>
      <c r="H317" s="11" t="n"/>
      <c r="I317" s="21">
        <f>IF(OR(H317="",H317=0),"",1/H317)</f>
        <v/>
      </c>
      <c r="J317" s="11">
        <f>IF(OR(G317="",H317=""),"",H317*G317-1)</f>
        <v/>
      </c>
      <c r="K317" s="10">
        <f>IF(OR(G317="",H317="",G317&lt;=1),"",IF(J317&lt;IF(D317="Builder",MinEdgeBuilder,IF(D317="Player",MinEdgePlayer,MinEdgeSingle)),0,ROUND(MIN(IF(D317="Single",KellySingle,KellyBuilder)*(StartBank+SUM(P$1:P316))*J317/(G317-1),IF(D317="Builder",CapBuilder,CapSingle)*Unit),2)))</f>
        <v/>
      </c>
      <c r="L317" s="10" t="n"/>
      <c r="N317" s="10" t="n"/>
      <c r="O317" s="10">
        <f>IF(L317="","",IF(M317="Won",L317*G317,IF(M317="Void",L317,IF(M317="Cash out",N(N317),IF(M317="Lost",0,"")))))</f>
        <v/>
      </c>
      <c r="P317" s="10">
        <f>IF(OR(L317="",M317="",M317="Pending"),"",O317-L317)</f>
        <v/>
      </c>
      <c r="Q317" s="21" t="n"/>
      <c r="R317" s="11">
        <f>IF(OR(G317="",Q317=""),"",G317/Q317-1)</f>
        <v/>
      </c>
      <c r="S317" s="10">
        <f>IF(OR(L317="",J317=""),"",L317*J317)</f>
        <v/>
      </c>
      <c r="T317" s="10">
        <f>IF(P317="","",StartBank+SUM(P$2:P317))</f>
        <v/>
      </c>
    </row>
    <row r="318">
      <c r="A318" s="22" t="n"/>
      <c r="G318" s="21" t="n"/>
      <c r="H318" s="11" t="n"/>
      <c r="I318" s="21">
        <f>IF(OR(H318="",H318=0),"",1/H318)</f>
        <v/>
      </c>
      <c r="J318" s="11">
        <f>IF(OR(G318="",H318=""),"",H318*G318-1)</f>
        <v/>
      </c>
      <c r="K318" s="10">
        <f>IF(OR(G318="",H318="",G318&lt;=1),"",IF(J318&lt;IF(D318="Builder",MinEdgeBuilder,IF(D318="Player",MinEdgePlayer,MinEdgeSingle)),0,ROUND(MIN(IF(D318="Single",KellySingle,KellyBuilder)*(StartBank+SUM(P$1:P317))*J318/(G318-1),IF(D318="Builder",CapBuilder,CapSingle)*Unit),2)))</f>
        <v/>
      </c>
      <c r="L318" s="10" t="n"/>
      <c r="N318" s="10" t="n"/>
      <c r="O318" s="10">
        <f>IF(L318="","",IF(M318="Won",L318*G318,IF(M318="Void",L318,IF(M318="Cash out",N(N318),IF(M318="Lost",0,"")))))</f>
        <v/>
      </c>
      <c r="P318" s="10">
        <f>IF(OR(L318="",M318="",M318="Pending"),"",O318-L318)</f>
        <v/>
      </c>
      <c r="Q318" s="21" t="n"/>
      <c r="R318" s="11">
        <f>IF(OR(G318="",Q318=""),"",G318/Q318-1)</f>
        <v/>
      </c>
      <c r="S318" s="10">
        <f>IF(OR(L318="",J318=""),"",L318*J318)</f>
        <v/>
      </c>
      <c r="T318" s="10">
        <f>IF(P318="","",StartBank+SUM(P$2:P318))</f>
        <v/>
      </c>
    </row>
    <row r="319">
      <c r="A319" s="22" t="n"/>
      <c r="G319" s="21" t="n"/>
      <c r="H319" s="11" t="n"/>
      <c r="I319" s="21">
        <f>IF(OR(H319="",H319=0),"",1/H319)</f>
        <v/>
      </c>
      <c r="J319" s="11">
        <f>IF(OR(G319="",H319=""),"",H319*G319-1)</f>
        <v/>
      </c>
      <c r="K319" s="10">
        <f>IF(OR(G319="",H319="",G319&lt;=1),"",IF(J319&lt;IF(D319="Builder",MinEdgeBuilder,IF(D319="Player",MinEdgePlayer,MinEdgeSingle)),0,ROUND(MIN(IF(D319="Single",KellySingle,KellyBuilder)*(StartBank+SUM(P$1:P318))*J319/(G319-1),IF(D319="Builder",CapBuilder,CapSingle)*Unit),2)))</f>
        <v/>
      </c>
      <c r="L319" s="10" t="n"/>
      <c r="N319" s="10" t="n"/>
      <c r="O319" s="10">
        <f>IF(L319="","",IF(M319="Won",L319*G319,IF(M319="Void",L319,IF(M319="Cash out",N(N319),IF(M319="Lost",0,"")))))</f>
        <v/>
      </c>
      <c r="P319" s="10">
        <f>IF(OR(L319="",M319="",M319="Pending"),"",O319-L319)</f>
        <v/>
      </c>
      <c r="Q319" s="21" t="n"/>
      <c r="R319" s="11">
        <f>IF(OR(G319="",Q319=""),"",G319/Q319-1)</f>
        <v/>
      </c>
      <c r="S319" s="10">
        <f>IF(OR(L319="",J319=""),"",L319*J319)</f>
        <v/>
      </c>
      <c r="T319" s="10">
        <f>IF(P319="","",StartBank+SUM(P$2:P319))</f>
        <v/>
      </c>
    </row>
    <row r="320">
      <c r="A320" s="22" t="n"/>
      <c r="G320" s="21" t="n"/>
      <c r="H320" s="11" t="n"/>
      <c r="I320" s="21">
        <f>IF(OR(H320="",H320=0),"",1/H320)</f>
        <v/>
      </c>
      <c r="J320" s="11">
        <f>IF(OR(G320="",H320=""),"",H320*G320-1)</f>
        <v/>
      </c>
      <c r="K320" s="10">
        <f>IF(OR(G320="",H320="",G320&lt;=1),"",IF(J320&lt;IF(D320="Builder",MinEdgeBuilder,IF(D320="Player",MinEdgePlayer,MinEdgeSingle)),0,ROUND(MIN(IF(D320="Single",KellySingle,KellyBuilder)*(StartBank+SUM(P$1:P319))*J320/(G320-1),IF(D320="Builder",CapBuilder,CapSingle)*Unit),2)))</f>
        <v/>
      </c>
      <c r="L320" s="10" t="n"/>
      <c r="N320" s="10" t="n"/>
      <c r="O320" s="10">
        <f>IF(L320="","",IF(M320="Won",L320*G320,IF(M320="Void",L320,IF(M320="Cash out",N(N320),IF(M320="Lost",0,"")))))</f>
        <v/>
      </c>
      <c r="P320" s="10">
        <f>IF(OR(L320="",M320="",M320="Pending"),"",O320-L320)</f>
        <v/>
      </c>
      <c r="Q320" s="21" t="n"/>
      <c r="R320" s="11">
        <f>IF(OR(G320="",Q320=""),"",G320/Q320-1)</f>
        <v/>
      </c>
      <c r="S320" s="10">
        <f>IF(OR(L320="",J320=""),"",L320*J320)</f>
        <v/>
      </c>
      <c r="T320" s="10">
        <f>IF(P320="","",StartBank+SUM(P$2:P320))</f>
        <v/>
      </c>
    </row>
    <row r="321">
      <c r="A321" s="22" t="n"/>
      <c r="G321" s="21" t="n"/>
      <c r="H321" s="11" t="n"/>
      <c r="I321" s="21">
        <f>IF(OR(H321="",H321=0),"",1/H321)</f>
        <v/>
      </c>
      <c r="J321" s="11">
        <f>IF(OR(G321="",H321=""),"",H321*G321-1)</f>
        <v/>
      </c>
      <c r="K321" s="10">
        <f>IF(OR(G321="",H321="",G321&lt;=1),"",IF(J321&lt;IF(D321="Builder",MinEdgeBuilder,IF(D321="Player",MinEdgePlayer,MinEdgeSingle)),0,ROUND(MIN(IF(D321="Single",KellySingle,KellyBuilder)*(StartBank+SUM(P$1:P320))*J321/(G321-1),IF(D321="Builder",CapBuilder,CapSingle)*Unit),2)))</f>
        <v/>
      </c>
      <c r="L321" s="10" t="n"/>
      <c r="N321" s="10" t="n"/>
      <c r="O321" s="10">
        <f>IF(L321="","",IF(M321="Won",L321*G321,IF(M321="Void",L321,IF(M321="Cash out",N(N321),IF(M321="Lost",0,"")))))</f>
        <v/>
      </c>
      <c r="P321" s="10">
        <f>IF(OR(L321="",M321="",M321="Pending"),"",O321-L321)</f>
        <v/>
      </c>
      <c r="Q321" s="21" t="n"/>
      <c r="R321" s="11">
        <f>IF(OR(G321="",Q321=""),"",G321/Q321-1)</f>
        <v/>
      </c>
      <c r="S321" s="10">
        <f>IF(OR(L321="",J321=""),"",L321*J321)</f>
        <v/>
      </c>
      <c r="T321" s="10">
        <f>IF(P321="","",StartBank+SUM(P$2:P321))</f>
        <v/>
      </c>
    </row>
    <row r="322">
      <c r="A322" s="22" t="n"/>
      <c r="G322" s="21" t="n"/>
      <c r="H322" s="11" t="n"/>
      <c r="I322" s="21">
        <f>IF(OR(H322="",H322=0),"",1/H322)</f>
        <v/>
      </c>
      <c r="J322" s="11">
        <f>IF(OR(G322="",H322=""),"",H322*G322-1)</f>
        <v/>
      </c>
      <c r="K322" s="10">
        <f>IF(OR(G322="",H322="",G322&lt;=1),"",IF(J322&lt;IF(D322="Builder",MinEdgeBuilder,IF(D322="Player",MinEdgePlayer,MinEdgeSingle)),0,ROUND(MIN(IF(D322="Single",KellySingle,KellyBuilder)*(StartBank+SUM(P$1:P321))*J322/(G322-1),IF(D322="Builder",CapBuilder,CapSingle)*Unit),2)))</f>
        <v/>
      </c>
      <c r="L322" s="10" t="n"/>
      <c r="N322" s="10" t="n"/>
      <c r="O322" s="10">
        <f>IF(L322="","",IF(M322="Won",L322*G322,IF(M322="Void",L322,IF(M322="Cash out",N(N322),IF(M322="Lost",0,"")))))</f>
        <v/>
      </c>
      <c r="P322" s="10">
        <f>IF(OR(L322="",M322="",M322="Pending"),"",O322-L322)</f>
        <v/>
      </c>
      <c r="Q322" s="21" t="n"/>
      <c r="R322" s="11">
        <f>IF(OR(G322="",Q322=""),"",G322/Q322-1)</f>
        <v/>
      </c>
      <c r="S322" s="10">
        <f>IF(OR(L322="",J322=""),"",L322*J322)</f>
        <v/>
      </c>
      <c r="T322" s="10">
        <f>IF(P322="","",StartBank+SUM(P$2:P322))</f>
        <v/>
      </c>
    </row>
    <row r="323">
      <c r="A323" s="22" t="n"/>
      <c r="G323" s="21" t="n"/>
      <c r="H323" s="11" t="n"/>
      <c r="I323" s="21">
        <f>IF(OR(H323="",H323=0),"",1/H323)</f>
        <v/>
      </c>
      <c r="J323" s="11">
        <f>IF(OR(G323="",H323=""),"",H323*G323-1)</f>
        <v/>
      </c>
      <c r="K323" s="10">
        <f>IF(OR(G323="",H323="",G323&lt;=1),"",IF(J323&lt;IF(D323="Builder",MinEdgeBuilder,IF(D323="Player",MinEdgePlayer,MinEdgeSingle)),0,ROUND(MIN(IF(D323="Single",KellySingle,KellyBuilder)*(StartBank+SUM(P$1:P322))*J323/(G323-1),IF(D323="Builder",CapBuilder,CapSingle)*Unit),2)))</f>
        <v/>
      </c>
      <c r="L323" s="10" t="n"/>
      <c r="N323" s="10" t="n"/>
      <c r="O323" s="10">
        <f>IF(L323="","",IF(M323="Won",L323*G323,IF(M323="Void",L323,IF(M323="Cash out",N(N323),IF(M323="Lost",0,"")))))</f>
        <v/>
      </c>
      <c r="P323" s="10">
        <f>IF(OR(L323="",M323="",M323="Pending"),"",O323-L323)</f>
        <v/>
      </c>
      <c r="Q323" s="21" t="n"/>
      <c r="R323" s="11">
        <f>IF(OR(G323="",Q323=""),"",G323/Q323-1)</f>
        <v/>
      </c>
      <c r="S323" s="10">
        <f>IF(OR(L323="",J323=""),"",L323*J323)</f>
        <v/>
      </c>
      <c r="T323" s="10">
        <f>IF(P323="","",StartBank+SUM(P$2:P323))</f>
        <v/>
      </c>
    </row>
    <row r="324">
      <c r="A324" s="22" t="n"/>
      <c r="G324" s="21" t="n"/>
      <c r="H324" s="11" t="n"/>
      <c r="I324" s="21">
        <f>IF(OR(H324="",H324=0),"",1/H324)</f>
        <v/>
      </c>
      <c r="J324" s="11">
        <f>IF(OR(G324="",H324=""),"",H324*G324-1)</f>
        <v/>
      </c>
      <c r="K324" s="10">
        <f>IF(OR(G324="",H324="",G324&lt;=1),"",IF(J324&lt;IF(D324="Builder",MinEdgeBuilder,IF(D324="Player",MinEdgePlayer,MinEdgeSingle)),0,ROUND(MIN(IF(D324="Single",KellySingle,KellyBuilder)*(StartBank+SUM(P$1:P323))*J324/(G324-1),IF(D324="Builder",CapBuilder,CapSingle)*Unit),2)))</f>
        <v/>
      </c>
      <c r="L324" s="10" t="n"/>
      <c r="N324" s="10" t="n"/>
      <c r="O324" s="10">
        <f>IF(L324="","",IF(M324="Won",L324*G324,IF(M324="Void",L324,IF(M324="Cash out",N(N324),IF(M324="Lost",0,"")))))</f>
        <v/>
      </c>
      <c r="P324" s="10">
        <f>IF(OR(L324="",M324="",M324="Pending"),"",O324-L324)</f>
        <v/>
      </c>
      <c r="Q324" s="21" t="n"/>
      <c r="R324" s="11">
        <f>IF(OR(G324="",Q324=""),"",G324/Q324-1)</f>
        <v/>
      </c>
      <c r="S324" s="10">
        <f>IF(OR(L324="",J324=""),"",L324*J324)</f>
        <v/>
      </c>
      <c r="T324" s="10">
        <f>IF(P324="","",StartBank+SUM(P$2:P324))</f>
        <v/>
      </c>
    </row>
    <row r="325">
      <c r="A325" s="22" t="n"/>
      <c r="G325" s="21" t="n"/>
      <c r="H325" s="11" t="n"/>
      <c r="I325" s="21">
        <f>IF(OR(H325="",H325=0),"",1/H325)</f>
        <v/>
      </c>
      <c r="J325" s="11">
        <f>IF(OR(G325="",H325=""),"",H325*G325-1)</f>
        <v/>
      </c>
      <c r="K325" s="10">
        <f>IF(OR(G325="",H325="",G325&lt;=1),"",IF(J325&lt;IF(D325="Builder",MinEdgeBuilder,IF(D325="Player",MinEdgePlayer,MinEdgeSingle)),0,ROUND(MIN(IF(D325="Single",KellySingle,KellyBuilder)*(StartBank+SUM(P$1:P324))*J325/(G325-1),IF(D325="Builder",CapBuilder,CapSingle)*Unit),2)))</f>
        <v/>
      </c>
      <c r="L325" s="10" t="n"/>
      <c r="N325" s="10" t="n"/>
      <c r="O325" s="10">
        <f>IF(L325="","",IF(M325="Won",L325*G325,IF(M325="Void",L325,IF(M325="Cash out",N(N325),IF(M325="Lost",0,"")))))</f>
        <v/>
      </c>
      <c r="P325" s="10">
        <f>IF(OR(L325="",M325="",M325="Pending"),"",O325-L325)</f>
        <v/>
      </c>
      <c r="Q325" s="21" t="n"/>
      <c r="R325" s="11">
        <f>IF(OR(G325="",Q325=""),"",G325/Q325-1)</f>
        <v/>
      </c>
      <c r="S325" s="10">
        <f>IF(OR(L325="",J325=""),"",L325*J325)</f>
        <v/>
      </c>
      <c r="T325" s="10">
        <f>IF(P325="","",StartBank+SUM(P$2:P325))</f>
        <v/>
      </c>
    </row>
    <row r="326">
      <c r="A326" s="22" t="n"/>
      <c r="G326" s="21" t="n"/>
      <c r="H326" s="11" t="n"/>
      <c r="I326" s="21">
        <f>IF(OR(H326="",H326=0),"",1/H326)</f>
        <v/>
      </c>
      <c r="J326" s="11">
        <f>IF(OR(G326="",H326=""),"",H326*G326-1)</f>
        <v/>
      </c>
      <c r="K326" s="10">
        <f>IF(OR(G326="",H326="",G326&lt;=1),"",IF(J326&lt;IF(D326="Builder",MinEdgeBuilder,IF(D326="Player",MinEdgePlayer,MinEdgeSingle)),0,ROUND(MIN(IF(D326="Single",KellySingle,KellyBuilder)*(StartBank+SUM(P$1:P325))*J326/(G326-1),IF(D326="Builder",CapBuilder,CapSingle)*Unit),2)))</f>
        <v/>
      </c>
      <c r="L326" s="10" t="n"/>
      <c r="N326" s="10" t="n"/>
      <c r="O326" s="10">
        <f>IF(L326="","",IF(M326="Won",L326*G326,IF(M326="Void",L326,IF(M326="Cash out",N(N326),IF(M326="Lost",0,"")))))</f>
        <v/>
      </c>
      <c r="P326" s="10">
        <f>IF(OR(L326="",M326="",M326="Pending"),"",O326-L326)</f>
        <v/>
      </c>
      <c r="Q326" s="21" t="n"/>
      <c r="R326" s="11">
        <f>IF(OR(G326="",Q326=""),"",G326/Q326-1)</f>
        <v/>
      </c>
      <c r="S326" s="10">
        <f>IF(OR(L326="",J326=""),"",L326*J326)</f>
        <v/>
      </c>
      <c r="T326" s="10">
        <f>IF(P326="","",StartBank+SUM(P$2:P326))</f>
        <v/>
      </c>
    </row>
    <row r="327">
      <c r="A327" s="22" t="n"/>
      <c r="G327" s="21" t="n"/>
      <c r="H327" s="11" t="n"/>
      <c r="I327" s="21">
        <f>IF(OR(H327="",H327=0),"",1/H327)</f>
        <v/>
      </c>
      <c r="J327" s="11">
        <f>IF(OR(G327="",H327=""),"",H327*G327-1)</f>
        <v/>
      </c>
      <c r="K327" s="10">
        <f>IF(OR(G327="",H327="",G327&lt;=1),"",IF(J327&lt;IF(D327="Builder",MinEdgeBuilder,IF(D327="Player",MinEdgePlayer,MinEdgeSingle)),0,ROUND(MIN(IF(D327="Single",KellySingle,KellyBuilder)*(StartBank+SUM(P$1:P326))*J327/(G327-1),IF(D327="Builder",CapBuilder,CapSingle)*Unit),2)))</f>
        <v/>
      </c>
      <c r="L327" s="10" t="n"/>
      <c r="N327" s="10" t="n"/>
      <c r="O327" s="10">
        <f>IF(L327="","",IF(M327="Won",L327*G327,IF(M327="Void",L327,IF(M327="Cash out",N(N327),IF(M327="Lost",0,"")))))</f>
        <v/>
      </c>
      <c r="P327" s="10">
        <f>IF(OR(L327="",M327="",M327="Pending"),"",O327-L327)</f>
        <v/>
      </c>
      <c r="Q327" s="21" t="n"/>
      <c r="R327" s="11">
        <f>IF(OR(G327="",Q327=""),"",G327/Q327-1)</f>
        <v/>
      </c>
      <c r="S327" s="10">
        <f>IF(OR(L327="",J327=""),"",L327*J327)</f>
        <v/>
      </c>
      <c r="T327" s="10">
        <f>IF(P327="","",StartBank+SUM(P$2:P327))</f>
        <v/>
      </c>
    </row>
    <row r="328">
      <c r="A328" s="22" t="n"/>
      <c r="G328" s="21" t="n"/>
      <c r="H328" s="11" t="n"/>
      <c r="I328" s="21">
        <f>IF(OR(H328="",H328=0),"",1/H328)</f>
        <v/>
      </c>
      <c r="J328" s="11">
        <f>IF(OR(G328="",H328=""),"",H328*G328-1)</f>
        <v/>
      </c>
      <c r="K328" s="10">
        <f>IF(OR(G328="",H328="",G328&lt;=1),"",IF(J328&lt;IF(D328="Builder",MinEdgeBuilder,IF(D328="Player",MinEdgePlayer,MinEdgeSingle)),0,ROUND(MIN(IF(D328="Single",KellySingle,KellyBuilder)*(StartBank+SUM(P$1:P327))*J328/(G328-1),IF(D328="Builder",CapBuilder,CapSingle)*Unit),2)))</f>
        <v/>
      </c>
      <c r="L328" s="10" t="n"/>
      <c r="N328" s="10" t="n"/>
      <c r="O328" s="10">
        <f>IF(L328="","",IF(M328="Won",L328*G328,IF(M328="Void",L328,IF(M328="Cash out",N(N328),IF(M328="Lost",0,"")))))</f>
        <v/>
      </c>
      <c r="P328" s="10">
        <f>IF(OR(L328="",M328="",M328="Pending"),"",O328-L328)</f>
        <v/>
      </c>
      <c r="Q328" s="21" t="n"/>
      <c r="R328" s="11">
        <f>IF(OR(G328="",Q328=""),"",G328/Q328-1)</f>
        <v/>
      </c>
      <c r="S328" s="10">
        <f>IF(OR(L328="",J328=""),"",L328*J328)</f>
        <v/>
      </c>
      <c r="T328" s="10">
        <f>IF(P328="","",StartBank+SUM(P$2:P328))</f>
        <v/>
      </c>
    </row>
    <row r="329">
      <c r="A329" s="22" t="n"/>
      <c r="G329" s="21" t="n"/>
      <c r="H329" s="11" t="n"/>
      <c r="I329" s="21">
        <f>IF(OR(H329="",H329=0),"",1/H329)</f>
        <v/>
      </c>
      <c r="J329" s="11">
        <f>IF(OR(G329="",H329=""),"",H329*G329-1)</f>
        <v/>
      </c>
      <c r="K329" s="10">
        <f>IF(OR(G329="",H329="",G329&lt;=1),"",IF(J329&lt;IF(D329="Builder",MinEdgeBuilder,IF(D329="Player",MinEdgePlayer,MinEdgeSingle)),0,ROUND(MIN(IF(D329="Single",KellySingle,KellyBuilder)*(StartBank+SUM(P$1:P328))*J329/(G329-1),IF(D329="Builder",CapBuilder,CapSingle)*Unit),2)))</f>
        <v/>
      </c>
      <c r="L329" s="10" t="n"/>
      <c r="N329" s="10" t="n"/>
      <c r="O329" s="10">
        <f>IF(L329="","",IF(M329="Won",L329*G329,IF(M329="Void",L329,IF(M329="Cash out",N(N329),IF(M329="Lost",0,"")))))</f>
        <v/>
      </c>
      <c r="P329" s="10">
        <f>IF(OR(L329="",M329="",M329="Pending"),"",O329-L329)</f>
        <v/>
      </c>
      <c r="Q329" s="21" t="n"/>
      <c r="R329" s="11">
        <f>IF(OR(G329="",Q329=""),"",G329/Q329-1)</f>
        <v/>
      </c>
      <c r="S329" s="10">
        <f>IF(OR(L329="",J329=""),"",L329*J329)</f>
        <v/>
      </c>
      <c r="T329" s="10">
        <f>IF(P329="","",StartBank+SUM(P$2:P329))</f>
        <v/>
      </c>
    </row>
    <row r="330">
      <c r="A330" s="22" t="n"/>
      <c r="G330" s="21" t="n"/>
      <c r="H330" s="11" t="n"/>
      <c r="I330" s="21">
        <f>IF(OR(H330="",H330=0),"",1/H330)</f>
        <v/>
      </c>
      <c r="J330" s="11">
        <f>IF(OR(G330="",H330=""),"",H330*G330-1)</f>
        <v/>
      </c>
      <c r="K330" s="10">
        <f>IF(OR(G330="",H330="",G330&lt;=1),"",IF(J330&lt;IF(D330="Builder",MinEdgeBuilder,IF(D330="Player",MinEdgePlayer,MinEdgeSingle)),0,ROUND(MIN(IF(D330="Single",KellySingle,KellyBuilder)*(StartBank+SUM(P$1:P329))*J330/(G330-1),IF(D330="Builder",CapBuilder,CapSingle)*Unit),2)))</f>
        <v/>
      </c>
      <c r="L330" s="10" t="n"/>
      <c r="N330" s="10" t="n"/>
      <c r="O330" s="10">
        <f>IF(L330="","",IF(M330="Won",L330*G330,IF(M330="Void",L330,IF(M330="Cash out",N(N330),IF(M330="Lost",0,"")))))</f>
        <v/>
      </c>
      <c r="P330" s="10">
        <f>IF(OR(L330="",M330="",M330="Pending"),"",O330-L330)</f>
        <v/>
      </c>
      <c r="Q330" s="21" t="n"/>
      <c r="R330" s="11">
        <f>IF(OR(G330="",Q330=""),"",G330/Q330-1)</f>
        <v/>
      </c>
      <c r="S330" s="10">
        <f>IF(OR(L330="",J330=""),"",L330*J330)</f>
        <v/>
      </c>
      <c r="T330" s="10">
        <f>IF(P330="","",StartBank+SUM(P$2:P330))</f>
        <v/>
      </c>
    </row>
    <row r="331">
      <c r="A331" s="22" t="n"/>
      <c r="G331" s="21" t="n"/>
      <c r="H331" s="11" t="n"/>
      <c r="I331" s="21">
        <f>IF(OR(H331="",H331=0),"",1/H331)</f>
        <v/>
      </c>
      <c r="J331" s="11">
        <f>IF(OR(G331="",H331=""),"",H331*G331-1)</f>
        <v/>
      </c>
      <c r="K331" s="10">
        <f>IF(OR(G331="",H331="",G331&lt;=1),"",IF(J331&lt;IF(D331="Builder",MinEdgeBuilder,IF(D331="Player",MinEdgePlayer,MinEdgeSingle)),0,ROUND(MIN(IF(D331="Single",KellySingle,KellyBuilder)*(StartBank+SUM(P$1:P330))*J331/(G331-1),IF(D331="Builder",CapBuilder,CapSingle)*Unit),2)))</f>
        <v/>
      </c>
      <c r="L331" s="10" t="n"/>
      <c r="N331" s="10" t="n"/>
      <c r="O331" s="10">
        <f>IF(L331="","",IF(M331="Won",L331*G331,IF(M331="Void",L331,IF(M331="Cash out",N(N331),IF(M331="Lost",0,"")))))</f>
        <v/>
      </c>
      <c r="P331" s="10">
        <f>IF(OR(L331="",M331="",M331="Pending"),"",O331-L331)</f>
        <v/>
      </c>
      <c r="Q331" s="21" t="n"/>
      <c r="R331" s="11">
        <f>IF(OR(G331="",Q331=""),"",G331/Q331-1)</f>
        <v/>
      </c>
      <c r="S331" s="10">
        <f>IF(OR(L331="",J331=""),"",L331*J331)</f>
        <v/>
      </c>
      <c r="T331" s="10">
        <f>IF(P331="","",StartBank+SUM(P$2:P331))</f>
        <v/>
      </c>
    </row>
    <row r="332">
      <c r="A332" s="22" t="n"/>
      <c r="G332" s="21" t="n"/>
      <c r="H332" s="11" t="n"/>
      <c r="I332" s="21">
        <f>IF(OR(H332="",H332=0),"",1/H332)</f>
        <v/>
      </c>
      <c r="J332" s="11">
        <f>IF(OR(G332="",H332=""),"",H332*G332-1)</f>
        <v/>
      </c>
      <c r="K332" s="10">
        <f>IF(OR(G332="",H332="",G332&lt;=1),"",IF(J332&lt;IF(D332="Builder",MinEdgeBuilder,IF(D332="Player",MinEdgePlayer,MinEdgeSingle)),0,ROUND(MIN(IF(D332="Single",KellySingle,KellyBuilder)*(StartBank+SUM(P$1:P331))*J332/(G332-1),IF(D332="Builder",CapBuilder,CapSingle)*Unit),2)))</f>
        <v/>
      </c>
      <c r="L332" s="10" t="n"/>
      <c r="N332" s="10" t="n"/>
      <c r="O332" s="10">
        <f>IF(L332="","",IF(M332="Won",L332*G332,IF(M332="Void",L332,IF(M332="Cash out",N(N332),IF(M332="Lost",0,"")))))</f>
        <v/>
      </c>
      <c r="P332" s="10">
        <f>IF(OR(L332="",M332="",M332="Pending"),"",O332-L332)</f>
        <v/>
      </c>
      <c r="Q332" s="21" t="n"/>
      <c r="R332" s="11">
        <f>IF(OR(G332="",Q332=""),"",G332/Q332-1)</f>
        <v/>
      </c>
      <c r="S332" s="10">
        <f>IF(OR(L332="",J332=""),"",L332*J332)</f>
        <v/>
      </c>
      <c r="T332" s="10">
        <f>IF(P332="","",StartBank+SUM(P$2:P332))</f>
        <v/>
      </c>
    </row>
    <row r="333">
      <c r="A333" s="22" t="n"/>
      <c r="G333" s="21" t="n"/>
      <c r="H333" s="11" t="n"/>
      <c r="I333" s="21">
        <f>IF(OR(H333="",H333=0),"",1/H333)</f>
        <v/>
      </c>
      <c r="J333" s="11">
        <f>IF(OR(G333="",H333=""),"",H333*G333-1)</f>
        <v/>
      </c>
      <c r="K333" s="10">
        <f>IF(OR(G333="",H333="",G333&lt;=1),"",IF(J333&lt;IF(D333="Builder",MinEdgeBuilder,IF(D333="Player",MinEdgePlayer,MinEdgeSingle)),0,ROUND(MIN(IF(D333="Single",KellySingle,KellyBuilder)*(StartBank+SUM(P$1:P332))*J333/(G333-1),IF(D333="Builder",CapBuilder,CapSingle)*Unit),2)))</f>
        <v/>
      </c>
      <c r="L333" s="10" t="n"/>
      <c r="N333" s="10" t="n"/>
      <c r="O333" s="10">
        <f>IF(L333="","",IF(M333="Won",L333*G333,IF(M333="Void",L333,IF(M333="Cash out",N(N333),IF(M333="Lost",0,"")))))</f>
        <v/>
      </c>
      <c r="P333" s="10">
        <f>IF(OR(L333="",M333="",M333="Pending"),"",O333-L333)</f>
        <v/>
      </c>
      <c r="Q333" s="21" t="n"/>
      <c r="R333" s="11">
        <f>IF(OR(G333="",Q333=""),"",G333/Q333-1)</f>
        <v/>
      </c>
      <c r="S333" s="10">
        <f>IF(OR(L333="",J333=""),"",L333*J333)</f>
        <v/>
      </c>
      <c r="T333" s="10">
        <f>IF(P333="","",StartBank+SUM(P$2:P333))</f>
        <v/>
      </c>
    </row>
    <row r="334">
      <c r="A334" s="22" t="n"/>
      <c r="G334" s="21" t="n"/>
      <c r="H334" s="11" t="n"/>
      <c r="I334" s="21">
        <f>IF(OR(H334="",H334=0),"",1/H334)</f>
        <v/>
      </c>
      <c r="J334" s="11">
        <f>IF(OR(G334="",H334=""),"",H334*G334-1)</f>
        <v/>
      </c>
      <c r="K334" s="10">
        <f>IF(OR(G334="",H334="",G334&lt;=1),"",IF(J334&lt;IF(D334="Builder",MinEdgeBuilder,IF(D334="Player",MinEdgePlayer,MinEdgeSingle)),0,ROUND(MIN(IF(D334="Single",KellySingle,KellyBuilder)*(StartBank+SUM(P$1:P333))*J334/(G334-1),IF(D334="Builder",CapBuilder,CapSingle)*Unit),2)))</f>
        <v/>
      </c>
      <c r="L334" s="10" t="n"/>
      <c r="N334" s="10" t="n"/>
      <c r="O334" s="10">
        <f>IF(L334="","",IF(M334="Won",L334*G334,IF(M334="Void",L334,IF(M334="Cash out",N(N334),IF(M334="Lost",0,"")))))</f>
        <v/>
      </c>
      <c r="P334" s="10">
        <f>IF(OR(L334="",M334="",M334="Pending"),"",O334-L334)</f>
        <v/>
      </c>
      <c r="Q334" s="21" t="n"/>
      <c r="R334" s="11">
        <f>IF(OR(G334="",Q334=""),"",G334/Q334-1)</f>
        <v/>
      </c>
      <c r="S334" s="10">
        <f>IF(OR(L334="",J334=""),"",L334*J334)</f>
        <v/>
      </c>
      <c r="T334" s="10">
        <f>IF(P334="","",StartBank+SUM(P$2:P334))</f>
        <v/>
      </c>
    </row>
    <row r="335">
      <c r="A335" s="22" t="n"/>
      <c r="G335" s="21" t="n"/>
      <c r="H335" s="11" t="n"/>
      <c r="I335" s="21">
        <f>IF(OR(H335="",H335=0),"",1/H335)</f>
        <v/>
      </c>
      <c r="J335" s="11">
        <f>IF(OR(G335="",H335=""),"",H335*G335-1)</f>
        <v/>
      </c>
      <c r="K335" s="10">
        <f>IF(OR(G335="",H335="",G335&lt;=1),"",IF(J335&lt;IF(D335="Builder",MinEdgeBuilder,IF(D335="Player",MinEdgePlayer,MinEdgeSingle)),0,ROUND(MIN(IF(D335="Single",KellySingle,KellyBuilder)*(StartBank+SUM(P$1:P334))*J335/(G335-1),IF(D335="Builder",CapBuilder,CapSingle)*Unit),2)))</f>
        <v/>
      </c>
      <c r="L335" s="10" t="n"/>
      <c r="N335" s="10" t="n"/>
      <c r="O335" s="10">
        <f>IF(L335="","",IF(M335="Won",L335*G335,IF(M335="Void",L335,IF(M335="Cash out",N(N335),IF(M335="Lost",0,"")))))</f>
        <v/>
      </c>
      <c r="P335" s="10">
        <f>IF(OR(L335="",M335="",M335="Pending"),"",O335-L335)</f>
        <v/>
      </c>
      <c r="Q335" s="21" t="n"/>
      <c r="R335" s="11">
        <f>IF(OR(G335="",Q335=""),"",G335/Q335-1)</f>
        <v/>
      </c>
      <c r="S335" s="10">
        <f>IF(OR(L335="",J335=""),"",L335*J335)</f>
        <v/>
      </c>
      <c r="T335" s="10">
        <f>IF(P335="","",StartBank+SUM(P$2:P335))</f>
        <v/>
      </c>
    </row>
    <row r="336">
      <c r="A336" s="22" t="n"/>
      <c r="G336" s="21" t="n"/>
      <c r="H336" s="11" t="n"/>
      <c r="I336" s="21">
        <f>IF(OR(H336="",H336=0),"",1/H336)</f>
        <v/>
      </c>
      <c r="J336" s="11">
        <f>IF(OR(G336="",H336=""),"",H336*G336-1)</f>
        <v/>
      </c>
      <c r="K336" s="10">
        <f>IF(OR(G336="",H336="",G336&lt;=1),"",IF(J336&lt;IF(D336="Builder",MinEdgeBuilder,IF(D336="Player",MinEdgePlayer,MinEdgeSingle)),0,ROUND(MIN(IF(D336="Single",KellySingle,KellyBuilder)*(StartBank+SUM(P$1:P335))*J336/(G336-1),IF(D336="Builder",CapBuilder,CapSingle)*Unit),2)))</f>
        <v/>
      </c>
      <c r="L336" s="10" t="n"/>
      <c r="N336" s="10" t="n"/>
      <c r="O336" s="10">
        <f>IF(L336="","",IF(M336="Won",L336*G336,IF(M336="Void",L336,IF(M336="Cash out",N(N336),IF(M336="Lost",0,"")))))</f>
        <v/>
      </c>
      <c r="P336" s="10">
        <f>IF(OR(L336="",M336="",M336="Pending"),"",O336-L336)</f>
        <v/>
      </c>
      <c r="Q336" s="21" t="n"/>
      <c r="R336" s="11">
        <f>IF(OR(G336="",Q336=""),"",G336/Q336-1)</f>
        <v/>
      </c>
      <c r="S336" s="10">
        <f>IF(OR(L336="",J336=""),"",L336*J336)</f>
        <v/>
      </c>
      <c r="T336" s="10">
        <f>IF(P336="","",StartBank+SUM(P$2:P336))</f>
        <v/>
      </c>
    </row>
    <row r="337">
      <c r="A337" s="22" t="n"/>
      <c r="G337" s="21" t="n"/>
      <c r="H337" s="11" t="n"/>
      <c r="I337" s="21">
        <f>IF(OR(H337="",H337=0),"",1/H337)</f>
        <v/>
      </c>
      <c r="J337" s="11">
        <f>IF(OR(G337="",H337=""),"",H337*G337-1)</f>
        <v/>
      </c>
      <c r="K337" s="10">
        <f>IF(OR(G337="",H337="",G337&lt;=1),"",IF(J337&lt;IF(D337="Builder",MinEdgeBuilder,IF(D337="Player",MinEdgePlayer,MinEdgeSingle)),0,ROUND(MIN(IF(D337="Single",KellySingle,KellyBuilder)*(StartBank+SUM(P$1:P336))*J337/(G337-1),IF(D337="Builder",CapBuilder,CapSingle)*Unit),2)))</f>
        <v/>
      </c>
      <c r="L337" s="10" t="n"/>
      <c r="N337" s="10" t="n"/>
      <c r="O337" s="10">
        <f>IF(L337="","",IF(M337="Won",L337*G337,IF(M337="Void",L337,IF(M337="Cash out",N(N337),IF(M337="Lost",0,"")))))</f>
        <v/>
      </c>
      <c r="P337" s="10">
        <f>IF(OR(L337="",M337="",M337="Pending"),"",O337-L337)</f>
        <v/>
      </c>
      <c r="Q337" s="21" t="n"/>
      <c r="R337" s="11">
        <f>IF(OR(G337="",Q337=""),"",G337/Q337-1)</f>
        <v/>
      </c>
      <c r="S337" s="10">
        <f>IF(OR(L337="",J337=""),"",L337*J337)</f>
        <v/>
      </c>
      <c r="T337" s="10">
        <f>IF(P337="","",StartBank+SUM(P$2:P337))</f>
        <v/>
      </c>
    </row>
    <row r="338">
      <c r="A338" s="22" t="n"/>
      <c r="G338" s="21" t="n"/>
      <c r="H338" s="11" t="n"/>
      <c r="I338" s="21">
        <f>IF(OR(H338="",H338=0),"",1/H338)</f>
        <v/>
      </c>
      <c r="J338" s="11">
        <f>IF(OR(G338="",H338=""),"",H338*G338-1)</f>
        <v/>
      </c>
      <c r="K338" s="10">
        <f>IF(OR(G338="",H338="",G338&lt;=1),"",IF(J338&lt;IF(D338="Builder",MinEdgeBuilder,IF(D338="Player",MinEdgePlayer,MinEdgeSingle)),0,ROUND(MIN(IF(D338="Single",KellySingle,KellyBuilder)*(StartBank+SUM(P$1:P337))*J338/(G338-1),IF(D338="Builder",CapBuilder,CapSingle)*Unit),2)))</f>
        <v/>
      </c>
      <c r="L338" s="10" t="n"/>
      <c r="N338" s="10" t="n"/>
      <c r="O338" s="10">
        <f>IF(L338="","",IF(M338="Won",L338*G338,IF(M338="Void",L338,IF(M338="Cash out",N(N338),IF(M338="Lost",0,"")))))</f>
        <v/>
      </c>
      <c r="P338" s="10">
        <f>IF(OR(L338="",M338="",M338="Pending"),"",O338-L338)</f>
        <v/>
      </c>
      <c r="Q338" s="21" t="n"/>
      <c r="R338" s="11">
        <f>IF(OR(G338="",Q338=""),"",G338/Q338-1)</f>
        <v/>
      </c>
      <c r="S338" s="10">
        <f>IF(OR(L338="",J338=""),"",L338*J338)</f>
        <v/>
      </c>
      <c r="T338" s="10">
        <f>IF(P338="","",StartBank+SUM(P$2:P338))</f>
        <v/>
      </c>
    </row>
    <row r="339">
      <c r="A339" s="22" t="n"/>
      <c r="G339" s="21" t="n"/>
      <c r="H339" s="11" t="n"/>
      <c r="I339" s="21">
        <f>IF(OR(H339="",H339=0),"",1/H339)</f>
        <v/>
      </c>
      <c r="J339" s="11">
        <f>IF(OR(G339="",H339=""),"",H339*G339-1)</f>
        <v/>
      </c>
      <c r="K339" s="10">
        <f>IF(OR(G339="",H339="",G339&lt;=1),"",IF(J339&lt;IF(D339="Builder",MinEdgeBuilder,IF(D339="Player",MinEdgePlayer,MinEdgeSingle)),0,ROUND(MIN(IF(D339="Single",KellySingle,KellyBuilder)*(StartBank+SUM(P$1:P338))*J339/(G339-1),IF(D339="Builder",CapBuilder,CapSingle)*Unit),2)))</f>
        <v/>
      </c>
      <c r="L339" s="10" t="n"/>
      <c r="N339" s="10" t="n"/>
      <c r="O339" s="10">
        <f>IF(L339="","",IF(M339="Won",L339*G339,IF(M339="Void",L339,IF(M339="Cash out",N(N339),IF(M339="Lost",0,"")))))</f>
        <v/>
      </c>
      <c r="P339" s="10">
        <f>IF(OR(L339="",M339="",M339="Pending"),"",O339-L339)</f>
        <v/>
      </c>
      <c r="Q339" s="21" t="n"/>
      <c r="R339" s="11">
        <f>IF(OR(G339="",Q339=""),"",G339/Q339-1)</f>
        <v/>
      </c>
      <c r="S339" s="10">
        <f>IF(OR(L339="",J339=""),"",L339*J339)</f>
        <v/>
      </c>
      <c r="T339" s="10">
        <f>IF(P339="","",StartBank+SUM(P$2:P339))</f>
        <v/>
      </c>
    </row>
    <row r="340">
      <c r="A340" s="22" t="n"/>
      <c r="G340" s="21" t="n"/>
      <c r="H340" s="11" t="n"/>
      <c r="I340" s="21">
        <f>IF(OR(H340="",H340=0),"",1/H340)</f>
        <v/>
      </c>
      <c r="J340" s="11">
        <f>IF(OR(G340="",H340=""),"",H340*G340-1)</f>
        <v/>
      </c>
      <c r="K340" s="10">
        <f>IF(OR(G340="",H340="",G340&lt;=1),"",IF(J340&lt;IF(D340="Builder",MinEdgeBuilder,IF(D340="Player",MinEdgePlayer,MinEdgeSingle)),0,ROUND(MIN(IF(D340="Single",KellySingle,KellyBuilder)*(StartBank+SUM(P$1:P339))*J340/(G340-1),IF(D340="Builder",CapBuilder,CapSingle)*Unit),2)))</f>
        <v/>
      </c>
      <c r="L340" s="10" t="n"/>
      <c r="N340" s="10" t="n"/>
      <c r="O340" s="10">
        <f>IF(L340="","",IF(M340="Won",L340*G340,IF(M340="Void",L340,IF(M340="Cash out",N(N340),IF(M340="Lost",0,"")))))</f>
        <v/>
      </c>
      <c r="P340" s="10">
        <f>IF(OR(L340="",M340="",M340="Pending"),"",O340-L340)</f>
        <v/>
      </c>
      <c r="Q340" s="21" t="n"/>
      <c r="R340" s="11">
        <f>IF(OR(G340="",Q340=""),"",G340/Q340-1)</f>
        <v/>
      </c>
      <c r="S340" s="10">
        <f>IF(OR(L340="",J340=""),"",L340*J340)</f>
        <v/>
      </c>
      <c r="T340" s="10">
        <f>IF(P340="","",StartBank+SUM(P$2:P340))</f>
        <v/>
      </c>
    </row>
    <row r="341">
      <c r="A341" s="22" t="n"/>
      <c r="G341" s="21" t="n"/>
      <c r="H341" s="11" t="n"/>
      <c r="I341" s="21">
        <f>IF(OR(H341="",H341=0),"",1/H341)</f>
        <v/>
      </c>
      <c r="J341" s="11">
        <f>IF(OR(G341="",H341=""),"",H341*G341-1)</f>
        <v/>
      </c>
      <c r="K341" s="10">
        <f>IF(OR(G341="",H341="",G341&lt;=1),"",IF(J341&lt;IF(D341="Builder",MinEdgeBuilder,IF(D341="Player",MinEdgePlayer,MinEdgeSingle)),0,ROUND(MIN(IF(D341="Single",KellySingle,KellyBuilder)*(StartBank+SUM(P$1:P340))*J341/(G341-1),IF(D341="Builder",CapBuilder,CapSingle)*Unit),2)))</f>
        <v/>
      </c>
      <c r="L341" s="10" t="n"/>
      <c r="N341" s="10" t="n"/>
      <c r="O341" s="10">
        <f>IF(L341="","",IF(M341="Won",L341*G341,IF(M341="Void",L341,IF(M341="Cash out",N(N341),IF(M341="Lost",0,"")))))</f>
        <v/>
      </c>
      <c r="P341" s="10">
        <f>IF(OR(L341="",M341="",M341="Pending"),"",O341-L341)</f>
        <v/>
      </c>
      <c r="Q341" s="21" t="n"/>
      <c r="R341" s="11">
        <f>IF(OR(G341="",Q341=""),"",G341/Q341-1)</f>
        <v/>
      </c>
      <c r="S341" s="10">
        <f>IF(OR(L341="",J341=""),"",L341*J341)</f>
        <v/>
      </c>
      <c r="T341" s="10">
        <f>IF(P341="","",StartBank+SUM(P$2:P341))</f>
        <v/>
      </c>
    </row>
    <row r="342">
      <c r="A342" s="22" t="n"/>
      <c r="G342" s="21" t="n"/>
      <c r="H342" s="11" t="n"/>
      <c r="I342" s="21">
        <f>IF(OR(H342="",H342=0),"",1/H342)</f>
        <v/>
      </c>
      <c r="J342" s="11">
        <f>IF(OR(G342="",H342=""),"",H342*G342-1)</f>
        <v/>
      </c>
      <c r="K342" s="10">
        <f>IF(OR(G342="",H342="",G342&lt;=1),"",IF(J342&lt;IF(D342="Builder",MinEdgeBuilder,IF(D342="Player",MinEdgePlayer,MinEdgeSingle)),0,ROUND(MIN(IF(D342="Single",KellySingle,KellyBuilder)*(StartBank+SUM(P$1:P341))*J342/(G342-1),IF(D342="Builder",CapBuilder,CapSingle)*Unit),2)))</f>
        <v/>
      </c>
      <c r="L342" s="10" t="n"/>
      <c r="N342" s="10" t="n"/>
      <c r="O342" s="10">
        <f>IF(L342="","",IF(M342="Won",L342*G342,IF(M342="Void",L342,IF(M342="Cash out",N(N342),IF(M342="Lost",0,"")))))</f>
        <v/>
      </c>
      <c r="P342" s="10">
        <f>IF(OR(L342="",M342="",M342="Pending"),"",O342-L342)</f>
        <v/>
      </c>
      <c r="Q342" s="21" t="n"/>
      <c r="R342" s="11">
        <f>IF(OR(G342="",Q342=""),"",G342/Q342-1)</f>
        <v/>
      </c>
      <c r="S342" s="10">
        <f>IF(OR(L342="",J342=""),"",L342*J342)</f>
        <v/>
      </c>
      <c r="T342" s="10">
        <f>IF(P342="","",StartBank+SUM(P$2:P342))</f>
        <v/>
      </c>
    </row>
    <row r="343">
      <c r="A343" s="22" t="n"/>
      <c r="G343" s="21" t="n"/>
      <c r="H343" s="11" t="n"/>
      <c r="I343" s="21">
        <f>IF(OR(H343="",H343=0),"",1/H343)</f>
        <v/>
      </c>
      <c r="J343" s="11">
        <f>IF(OR(G343="",H343=""),"",H343*G343-1)</f>
        <v/>
      </c>
      <c r="K343" s="10">
        <f>IF(OR(G343="",H343="",G343&lt;=1),"",IF(J343&lt;IF(D343="Builder",MinEdgeBuilder,IF(D343="Player",MinEdgePlayer,MinEdgeSingle)),0,ROUND(MIN(IF(D343="Single",KellySingle,KellyBuilder)*(StartBank+SUM(P$1:P342))*J343/(G343-1),IF(D343="Builder",CapBuilder,CapSingle)*Unit),2)))</f>
        <v/>
      </c>
      <c r="L343" s="10" t="n"/>
      <c r="N343" s="10" t="n"/>
      <c r="O343" s="10">
        <f>IF(L343="","",IF(M343="Won",L343*G343,IF(M343="Void",L343,IF(M343="Cash out",N(N343),IF(M343="Lost",0,"")))))</f>
        <v/>
      </c>
      <c r="P343" s="10">
        <f>IF(OR(L343="",M343="",M343="Pending"),"",O343-L343)</f>
        <v/>
      </c>
      <c r="Q343" s="21" t="n"/>
      <c r="R343" s="11">
        <f>IF(OR(G343="",Q343=""),"",G343/Q343-1)</f>
        <v/>
      </c>
      <c r="S343" s="10">
        <f>IF(OR(L343="",J343=""),"",L343*J343)</f>
        <v/>
      </c>
      <c r="T343" s="10">
        <f>IF(P343="","",StartBank+SUM(P$2:P343))</f>
        <v/>
      </c>
    </row>
    <row r="344">
      <c r="A344" s="22" t="n"/>
      <c r="G344" s="21" t="n"/>
      <c r="H344" s="11" t="n"/>
      <c r="I344" s="21">
        <f>IF(OR(H344="",H344=0),"",1/H344)</f>
        <v/>
      </c>
      <c r="J344" s="11">
        <f>IF(OR(G344="",H344=""),"",H344*G344-1)</f>
        <v/>
      </c>
      <c r="K344" s="10">
        <f>IF(OR(G344="",H344="",G344&lt;=1),"",IF(J344&lt;IF(D344="Builder",MinEdgeBuilder,IF(D344="Player",MinEdgePlayer,MinEdgeSingle)),0,ROUND(MIN(IF(D344="Single",KellySingle,KellyBuilder)*(StartBank+SUM(P$1:P343))*J344/(G344-1),IF(D344="Builder",CapBuilder,CapSingle)*Unit),2)))</f>
        <v/>
      </c>
      <c r="L344" s="10" t="n"/>
      <c r="N344" s="10" t="n"/>
      <c r="O344" s="10">
        <f>IF(L344="","",IF(M344="Won",L344*G344,IF(M344="Void",L344,IF(M344="Cash out",N(N344),IF(M344="Lost",0,"")))))</f>
        <v/>
      </c>
      <c r="P344" s="10">
        <f>IF(OR(L344="",M344="",M344="Pending"),"",O344-L344)</f>
        <v/>
      </c>
      <c r="Q344" s="21" t="n"/>
      <c r="R344" s="11">
        <f>IF(OR(G344="",Q344=""),"",G344/Q344-1)</f>
        <v/>
      </c>
      <c r="S344" s="10">
        <f>IF(OR(L344="",J344=""),"",L344*J344)</f>
        <v/>
      </c>
      <c r="T344" s="10">
        <f>IF(P344="","",StartBank+SUM(P$2:P344))</f>
        <v/>
      </c>
    </row>
    <row r="345">
      <c r="A345" s="22" t="n"/>
      <c r="G345" s="21" t="n"/>
      <c r="H345" s="11" t="n"/>
      <c r="I345" s="21">
        <f>IF(OR(H345="",H345=0),"",1/H345)</f>
        <v/>
      </c>
      <c r="J345" s="11">
        <f>IF(OR(G345="",H345=""),"",H345*G345-1)</f>
        <v/>
      </c>
      <c r="K345" s="10">
        <f>IF(OR(G345="",H345="",G345&lt;=1),"",IF(J345&lt;IF(D345="Builder",MinEdgeBuilder,IF(D345="Player",MinEdgePlayer,MinEdgeSingle)),0,ROUND(MIN(IF(D345="Single",KellySingle,KellyBuilder)*(StartBank+SUM(P$1:P344))*J345/(G345-1),IF(D345="Builder",CapBuilder,CapSingle)*Unit),2)))</f>
        <v/>
      </c>
      <c r="L345" s="10" t="n"/>
      <c r="N345" s="10" t="n"/>
      <c r="O345" s="10">
        <f>IF(L345="","",IF(M345="Won",L345*G345,IF(M345="Void",L345,IF(M345="Cash out",N(N345),IF(M345="Lost",0,"")))))</f>
        <v/>
      </c>
      <c r="P345" s="10">
        <f>IF(OR(L345="",M345="",M345="Pending"),"",O345-L345)</f>
        <v/>
      </c>
      <c r="Q345" s="21" t="n"/>
      <c r="R345" s="11">
        <f>IF(OR(G345="",Q345=""),"",G345/Q345-1)</f>
        <v/>
      </c>
      <c r="S345" s="10">
        <f>IF(OR(L345="",J345=""),"",L345*J345)</f>
        <v/>
      </c>
      <c r="T345" s="10">
        <f>IF(P345="","",StartBank+SUM(P$2:P345))</f>
        <v/>
      </c>
    </row>
    <row r="346">
      <c r="A346" s="22" t="n"/>
      <c r="G346" s="21" t="n"/>
      <c r="H346" s="11" t="n"/>
      <c r="I346" s="21">
        <f>IF(OR(H346="",H346=0),"",1/H346)</f>
        <v/>
      </c>
      <c r="J346" s="11">
        <f>IF(OR(G346="",H346=""),"",H346*G346-1)</f>
        <v/>
      </c>
      <c r="K346" s="10">
        <f>IF(OR(G346="",H346="",G346&lt;=1),"",IF(J346&lt;IF(D346="Builder",MinEdgeBuilder,IF(D346="Player",MinEdgePlayer,MinEdgeSingle)),0,ROUND(MIN(IF(D346="Single",KellySingle,KellyBuilder)*(StartBank+SUM(P$1:P345))*J346/(G346-1),IF(D346="Builder",CapBuilder,CapSingle)*Unit),2)))</f>
        <v/>
      </c>
      <c r="L346" s="10" t="n"/>
      <c r="N346" s="10" t="n"/>
      <c r="O346" s="10">
        <f>IF(L346="","",IF(M346="Won",L346*G346,IF(M346="Void",L346,IF(M346="Cash out",N(N346),IF(M346="Lost",0,"")))))</f>
        <v/>
      </c>
      <c r="P346" s="10">
        <f>IF(OR(L346="",M346="",M346="Pending"),"",O346-L346)</f>
        <v/>
      </c>
      <c r="Q346" s="21" t="n"/>
      <c r="R346" s="11">
        <f>IF(OR(G346="",Q346=""),"",G346/Q346-1)</f>
        <v/>
      </c>
      <c r="S346" s="10">
        <f>IF(OR(L346="",J346=""),"",L346*J346)</f>
        <v/>
      </c>
      <c r="T346" s="10">
        <f>IF(P346="","",StartBank+SUM(P$2:P346))</f>
        <v/>
      </c>
    </row>
    <row r="347">
      <c r="A347" s="22" t="n"/>
      <c r="G347" s="21" t="n"/>
      <c r="H347" s="11" t="n"/>
      <c r="I347" s="21">
        <f>IF(OR(H347="",H347=0),"",1/H347)</f>
        <v/>
      </c>
      <c r="J347" s="11">
        <f>IF(OR(G347="",H347=""),"",H347*G347-1)</f>
        <v/>
      </c>
      <c r="K347" s="10">
        <f>IF(OR(G347="",H347="",G347&lt;=1),"",IF(J347&lt;IF(D347="Builder",MinEdgeBuilder,IF(D347="Player",MinEdgePlayer,MinEdgeSingle)),0,ROUND(MIN(IF(D347="Single",KellySingle,KellyBuilder)*(StartBank+SUM(P$1:P346))*J347/(G347-1),IF(D347="Builder",CapBuilder,CapSingle)*Unit),2)))</f>
        <v/>
      </c>
      <c r="L347" s="10" t="n"/>
      <c r="N347" s="10" t="n"/>
      <c r="O347" s="10">
        <f>IF(L347="","",IF(M347="Won",L347*G347,IF(M347="Void",L347,IF(M347="Cash out",N(N347),IF(M347="Lost",0,"")))))</f>
        <v/>
      </c>
      <c r="P347" s="10">
        <f>IF(OR(L347="",M347="",M347="Pending"),"",O347-L347)</f>
        <v/>
      </c>
      <c r="Q347" s="21" t="n"/>
      <c r="R347" s="11">
        <f>IF(OR(G347="",Q347=""),"",G347/Q347-1)</f>
        <v/>
      </c>
      <c r="S347" s="10">
        <f>IF(OR(L347="",J347=""),"",L347*J347)</f>
        <v/>
      </c>
      <c r="T347" s="10">
        <f>IF(P347="","",StartBank+SUM(P$2:P347))</f>
        <v/>
      </c>
    </row>
    <row r="348">
      <c r="A348" s="22" t="n"/>
      <c r="G348" s="21" t="n"/>
      <c r="H348" s="11" t="n"/>
      <c r="I348" s="21">
        <f>IF(OR(H348="",H348=0),"",1/H348)</f>
        <v/>
      </c>
      <c r="J348" s="11">
        <f>IF(OR(G348="",H348=""),"",H348*G348-1)</f>
        <v/>
      </c>
      <c r="K348" s="10">
        <f>IF(OR(G348="",H348="",G348&lt;=1),"",IF(J348&lt;IF(D348="Builder",MinEdgeBuilder,IF(D348="Player",MinEdgePlayer,MinEdgeSingle)),0,ROUND(MIN(IF(D348="Single",KellySingle,KellyBuilder)*(StartBank+SUM(P$1:P347))*J348/(G348-1),IF(D348="Builder",CapBuilder,CapSingle)*Unit),2)))</f>
        <v/>
      </c>
      <c r="L348" s="10" t="n"/>
      <c r="N348" s="10" t="n"/>
      <c r="O348" s="10">
        <f>IF(L348="","",IF(M348="Won",L348*G348,IF(M348="Void",L348,IF(M348="Cash out",N(N348),IF(M348="Lost",0,"")))))</f>
        <v/>
      </c>
      <c r="P348" s="10">
        <f>IF(OR(L348="",M348="",M348="Pending"),"",O348-L348)</f>
        <v/>
      </c>
      <c r="Q348" s="21" t="n"/>
      <c r="R348" s="11">
        <f>IF(OR(G348="",Q348=""),"",G348/Q348-1)</f>
        <v/>
      </c>
      <c r="S348" s="10">
        <f>IF(OR(L348="",J348=""),"",L348*J348)</f>
        <v/>
      </c>
      <c r="T348" s="10">
        <f>IF(P348="","",StartBank+SUM(P$2:P348))</f>
        <v/>
      </c>
    </row>
    <row r="349">
      <c r="A349" s="22" t="n"/>
      <c r="G349" s="21" t="n"/>
      <c r="H349" s="11" t="n"/>
      <c r="I349" s="21">
        <f>IF(OR(H349="",H349=0),"",1/H349)</f>
        <v/>
      </c>
      <c r="J349" s="11">
        <f>IF(OR(G349="",H349=""),"",H349*G349-1)</f>
        <v/>
      </c>
      <c r="K349" s="10">
        <f>IF(OR(G349="",H349="",G349&lt;=1),"",IF(J349&lt;IF(D349="Builder",MinEdgeBuilder,IF(D349="Player",MinEdgePlayer,MinEdgeSingle)),0,ROUND(MIN(IF(D349="Single",KellySingle,KellyBuilder)*(StartBank+SUM(P$1:P348))*J349/(G349-1),IF(D349="Builder",CapBuilder,CapSingle)*Unit),2)))</f>
        <v/>
      </c>
      <c r="L349" s="10" t="n"/>
      <c r="N349" s="10" t="n"/>
      <c r="O349" s="10">
        <f>IF(L349="","",IF(M349="Won",L349*G349,IF(M349="Void",L349,IF(M349="Cash out",N(N349),IF(M349="Lost",0,"")))))</f>
        <v/>
      </c>
      <c r="P349" s="10">
        <f>IF(OR(L349="",M349="",M349="Pending"),"",O349-L349)</f>
        <v/>
      </c>
      <c r="Q349" s="21" t="n"/>
      <c r="R349" s="11">
        <f>IF(OR(G349="",Q349=""),"",G349/Q349-1)</f>
        <v/>
      </c>
      <c r="S349" s="10">
        <f>IF(OR(L349="",J349=""),"",L349*J349)</f>
        <v/>
      </c>
      <c r="T349" s="10">
        <f>IF(P349="","",StartBank+SUM(P$2:P349))</f>
        <v/>
      </c>
    </row>
    <row r="350">
      <c r="A350" s="22" t="n"/>
      <c r="G350" s="21" t="n"/>
      <c r="H350" s="11" t="n"/>
      <c r="I350" s="21">
        <f>IF(OR(H350="",H350=0),"",1/H350)</f>
        <v/>
      </c>
      <c r="J350" s="11">
        <f>IF(OR(G350="",H350=""),"",H350*G350-1)</f>
        <v/>
      </c>
      <c r="K350" s="10">
        <f>IF(OR(G350="",H350="",G350&lt;=1),"",IF(J350&lt;IF(D350="Builder",MinEdgeBuilder,IF(D350="Player",MinEdgePlayer,MinEdgeSingle)),0,ROUND(MIN(IF(D350="Single",KellySingle,KellyBuilder)*(StartBank+SUM(P$1:P349))*J350/(G350-1),IF(D350="Builder",CapBuilder,CapSingle)*Unit),2)))</f>
        <v/>
      </c>
      <c r="L350" s="10" t="n"/>
      <c r="N350" s="10" t="n"/>
      <c r="O350" s="10">
        <f>IF(L350="","",IF(M350="Won",L350*G350,IF(M350="Void",L350,IF(M350="Cash out",N(N350),IF(M350="Lost",0,"")))))</f>
        <v/>
      </c>
      <c r="P350" s="10">
        <f>IF(OR(L350="",M350="",M350="Pending"),"",O350-L350)</f>
        <v/>
      </c>
      <c r="Q350" s="21" t="n"/>
      <c r="R350" s="11">
        <f>IF(OR(G350="",Q350=""),"",G350/Q350-1)</f>
        <v/>
      </c>
      <c r="S350" s="10">
        <f>IF(OR(L350="",J350=""),"",L350*J350)</f>
        <v/>
      </c>
      <c r="T350" s="10">
        <f>IF(P350="","",StartBank+SUM(P$2:P350))</f>
        <v/>
      </c>
    </row>
    <row r="351">
      <c r="A351" s="22" t="n"/>
      <c r="G351" s="21" t="n"/>
      <c r="H351" s="11" t="n"/>
      <c r="I351" s="21">
        <f>IF(OR(H351="",H351=0),"",1/H351)</f>
        <v/>
      </c>
      <c r="J351" s="11">
        <f>IF(OR(G351="",H351=""),"",H351*G351-1)</f>
        <v/>
      </c>
      <c r="K351" s="10">
        <f>IF(OR(G351="",H351="",G351&lt;=1),"",IF(J351&lt;IF(D351="Builder",MinEdgeBuilder,IF(D351="Player",MinEdgePlayer,MinEdgeSingle)),0,ROUND(MIN(IF(D351="Single",KellySingle,KellyBuilder)*(StartBank+SUM(P$1:P350))*J351/(G351-1),IF(D351="Builder",CapBuilder,CapSingle)*Unit),2)))</f>
        <v/>
      </c>
      <c r="L351" s="10" t="n"/>
      <c r="N351" s="10" t="n"/>
      <c r="O351" s="10">
        <f>IF(L351="","",IF(M351="Won",L351*G351,IF(M351="Void",L351,IF(M351="Cash out",N(N351),IF(M351="Lost",0,"")))))</f>
        <v/>
      </c>
      <c r="P351" s="10">
        <f>IF(OR(L351="",M351="",M351="Pending"),"",O351-L351)</f>
        <v/>
      </c>
      <c r="Q351" s="21" t="n"/>
      <c r="R351" s="11">
        <f>IF(OR(G351="",Q351=""),"",G351/Q351-1)</f>
        <v/>
      </c>
      <c r="S351" s="10">
        <f>IF(OR(L351="",J351=""),"",L351*J351)</f>
        <v/>
      </c>
      <c r="T351" s="10">
        <f>IF(P351="","",StartBank+SUM(P$2:P351))</f>
        <v/>
      </c>
    </row>
    <row r="352">
      <c r="A352" s="22" t="n"/>
      <c r="G352" s="21" t="n"/>
      <c r="H352" s="11" t="n"/>
      <c r="I352" s="21">
        <f>IF(OR(H352="",H352=0),"",1/H352)</f>
        <v/>
      </c>
      <c r="J352" s="11">
        <f>IF(OR(G352="",H352=""),"",H352*G352-1)</f>
        <v/>
      </c>
      <c r="K352" s="10">
        <f>IF(OR(G352="",H352="",G352&lt;=1),"",IF(J352&lt;IF(D352="Builder",MinEdgeBuilder,IF(D352="Player",MinEdgePlayer,MinEdgeSingle)),0,ROUND(MIN(IF(D352="Single",KellySingle,KellyBuilder)*(StartBank+SUM(P$1:P351))*J352/(G352-1),IF(D352="Builder",CapBuilder,CapSingle)*Unit),2)))</f>
        <v/>
      </c>
      <c r="L352" s="10" t="n"/>
      <c r="N352" s="10" t="n"/>
      <c r="O352" s="10">
        <f>IF(L352="","",IF(M352="Won",L352*G352,IF(M352="Void",L352,IF(M352="Cash out",N(N352),IF(M352="Lost",0,"")))))</f>
        <v/>
      </c>
      <c r="P352" s="10">
        <f>IF(OR(L352="",M352="",M352="Pending"),"",O352-L352)</f>
        <v/>
      </c>
      <c r="Q352" s="21" t="n"/>
      <c r="R352" s="11">
        <f>IF(OR(G352="",Q352=""),"",G352/Q352-1)</f>
        <v/>
      </c>
      <c r="S352" s="10">
        <f>IF(OR(L352="",J352=""),"",L352*J352)</f>
        <v/>
      </c>
      <c r="T352" s="10">
        <f>IF(P352="","",StartBank+SUM(P$2:P352))</f>
        <v/>
      </c>
    </row>
    <row r="353">
      <c r="A353" s="22" t="n"/>
      <c r="G353" s="21" t="n"/>
      <c r="H353" s="11" t="n"/>
      <c r="I353" s="21">
        <f>IF(OR(H353="",H353=0),"",1/H353)</f>
        <v/>
      </c>
      <c r="J353" s="11">
        <f>IF(OR(G353="",H353=""),"",H353*G353-1)</f>
        <v/>
      </c>
      <c r="K353" s="10">
        <f>IF(OR(G353="",H353="",G353&lt;=1),"",IF(J353&lt;IF(D353="Builder",MinEdgeBuilder,IF(D353="Player",MinEdgePlayer,MinEdgeSingle)),0,ROUND(MIN(IF(D353="Single",KellySingle,KellyBuilder)*(StartBank+SUM(P$1:P352))*J353/(G353-1),IF(D353="Builder",CapBuilder,CapSingle)*Unit),2)))</f>
        <v/>
      </c>
      <c r="L353" s="10" t="n"/>
      <c r="N353" s="10" t="n"/>
      <c r="O353" s="10">
        <f>IF(L353="","",IF(M353="Won",L353*G353,IF(M353="Void",L353,IF(M353="Cash out",N(N353),IF(M353="Lost",0,"")))))</f>
        <v/>
      </c>
      <c r="P353" s="10">
        <f>IF(OR(L353="",M353="",M353="Pending"),"",O353-L353)</f>
        <v/>
      </c>
      <c r="Q353" s="21" t="n"/>
      <c r="R353" s="11">
        <f>IF(OR(G353="",Q353=""),"",G353/Q353-1)</f>
        <v/>
      </c>
      <c r="S353" s="10">
        <f>IF(OR(L353="",J353=""),"",L353*J353)</f>
        <v/>
      </c>
      <c r="T353" s="10">
        <f>IF(P353="","",StartBank+SUM(P$2:P353))</f>
        <v/>
      </c>
    </row>
    <row r="354">
      <c r="A354" s="22" t="n"/>
      <c r="G354" s="21" t="n"/>
      <c r="H354" s="11" t="n"/>
      <c r="I354" s="21">
        <f>IF(OR(H354="",H354=0),"",1/H354)</f>
        <v/>
      </c>
      <c r="J354" s="11">
        <f>IF(OR(G354="",H354=""),"",H354*G354-1)</f>
        <v/>
      </c>
      <c r="K354" s="10">
        <f>IF(OR(G354="",H354="",G354&lt;=1),"",IF(J354&lt;IF(D354="Builder",MinEdgeBuilder,IF(D354="Player",MinEdgePlayer,MinEdgeSingle)),0,ROUND(MIN(IF(D354="Single",KellySingle,KellyBuilder)*(StartBank+SUM(P$1:P353))*J354/(G354-1),IF(D354="Builder",CapBuilder,CapSingle)*Unit),2)))</f>
        <v/>
      </c>
      <c r="L354" s="10" t="n"/>
      <c r="N354" s="10" t="n"/>
      <c r="O354" s="10">
        <f>IF(L354="","",IF(M354="Won",L354*G354,IF(M354="Void",L354,IF(M354="Cash out",N(N354),IF(M354="Lost",0,"")))))</f>
        <v/>
      </c>
      <c r="P354" s="10">
        <f>IF(OR(L354="",M354="",M354="Pending"),"",O354-L354)</f>
        <v/>
      </c>
      <c r="Q354" s="21" t="n"/>
      <c r="R354" s="11">
        <f>IF(OR(G354="",Q354=""),"",G354/Q354-1)</f>
        <v/>
      </c>
      <c r="S354" s="10">
        <f>IF(OR(L354="",J354=""),"",L354*J354)</f>
        <v/>
      </c>
      <c r="T354" s="10">
        <f>IF(P354="","",StartBank+SUM(P$2:P354))</f>
        <v/>
      </c>
    </row>
    <row r="355">
      <c r="A355" s="22" t="n"/>
      <c r="G355" s="21" t="n"/>
      <c r="H355" s="11" t="n"/>
      <c r="I355" s="21">
        <f>IF(OR(H355="",H355=0),"",1/H355)</f>
        <v/>
      </c>
      <c r="J355" s="11">
        <f>IF(OR(G355="",H355=""),"",H355*G355-1)</f>
        <v/>
      </c>
      <c r="K355" s="10">
        <f>IF(OR(G355="",H355="",G355&lt;=1),"",IF(J355&lt;IF(D355="Builder",MinEdgeBuilder,IF(D355="Player",MinEdgePlayer,MinEdgeSingle)),0,ROUND(MIN(IF(D355="Single",KellySingle,KellyBuilder)*(StartBank+SUM(P$1:P354))*J355/(G355-1),IF(D355="Builder",CapBuilder,CapSingle)*Unit),2)))</f>
        <v/>
      </c>
      <c r="L355" s="10" t="n"/>
      <c r="N355" s="10" t="n"/>
      <c r="O355" s="10">
        <f>IF(L355="","",IF(M355="Won",L355*G355,IF(M355="Void",L355,IF(M355="Cash out",N(N355),IF(M355="Lost",0,"")))))</f>
        <v/>
      </c>
      <c r="P355" s="10">
        <f>IF(OR(L355="",M355="",M355="Pending"),"",O355-L355)</f>
        <v/>
      </c>
      <c r="Q355" s="21" t="n"/>
      <c r="R355" s="11">
        <f>IF(OR(G355="",Q355=""),"",G355/Q355-1)</f>
        <v/>
      </c>
      <c r="S355" s="10">
        <f>IF(OR(L355="",J355=""),"",L355*J355)</f>
        <v/>
      </c>
      <c r="T355" s="10">
        <f>IF(P355="","",StartBank+SUM(P$2:P355))</f>
        <v/>
      </c>
    </row>
    <row r="356">
      <c r="A356" s="22" t="n"/>
      <c r="G356" s="21" t="n"/>
      <c r="H356" s="11" t="n"/>
      <c r="I356" s="21">
        <f>IF(OR(H356="",H356=0),"",1/H356)</f>
        <v/>
      </c>
      <c r="J356" s="11">
        <f>IF(OR(G356="",H356=""),"",H356*G356-1)</f>
        <v/>
      </c>
      <c r="K356" s="10">
        <f>IF(OR(G356="",H356="",G356&lt;=1),"",IF(J356&lt;IF(D356="Builder",MinEdgeBuilder,IF(D356="Player",MinEdgePlayer,MinEdgeSingle)),0,ROUND(MIN(IF(D356="Single",KellySingle,KellyBuilder)*(StartBank+SUM(P$1:P355))*J356/(G356-1),IF(D356="Builder",CapBuilder,CapSingle)*Unit),2)))</f>
        <v/>
      </c>
      <c r="L356" s="10" t="n"/>
      <c r="N356" s="10" t="n"/>
      <c r="O356" s="10">
        <f>IF(L356="","",IF(M356="Won",L356*G356,IF(M356="Void",L356,IF(M356="Cash out",N(N356),IF(M356="Lost",0,"")))))</f>
        <v/>
      </c>
      <c r="P356" s="10">
        <f>IF(OR(L356="",M356="",M356="Pending"),"",O356-L356)</f>
        <v/>
      </c>
      <c r="Q356" s="21" t="n"/>
      <c r="R356" s="11">
        <f>IF(OR(G356="",Q356=""),"",G356/Q356-1)</f>
        <v/>
      </c>
      <c r="S356" s="10">
        <f>IF(OR(L356="",J356=""),"",L356*J356)</f>
        <v/>
      </c>
      <c r="T356" s="10">
        <f>IF(P356="","",StartBank+SUM(P$2:P356))</f>
        <v/>
      </c>
    </row>
    <row r="357">
      <c r="A357" s="22" t="n"/>
      <c r="G357" s="21" t="n"/>
      <c r="H357" s="11" t="n"/>
      <c r="I357" s="21">
        <f>IF(OR(H357="",H357=0),"",1/H357)</f>
        <v/>
      </c>
      <c r="J357" s="11">
        <f>IF(OR(G357="",H357=""),"",H357*G357-1)</f>
        <v/>
      </c>
      <c r="K357" s="10">
        <f>IF(OR(G357="",H357="",G357&lt;=1),"",IF(J357&lt;IF(D357="Builder",MinEdgeBuilder,IF(D357="Player",MinEdgePlayer,MinEdgeSingle)),0,ROUND(MIN(IF(D357="Single",KellySingle,KellyBuilder)*(StartBank+SUM(P$1:P356))*J357/(G357-1),IF(D357="Builder",CapBuilder,CapSingle)*Unit),2)))</f>
        <v/>
      </c>
      <c r="L357" s="10" t="n"/>
      <c r="N357" s="10" t="n"/>
      <c r="O357" s="10">
        <f>IF(L357="","",IF(M357="Won",L357*G357,IF(M357="Void",L357,IF(M357="Cash out",N(N357),IF(M357="Lost",0,"")))))</f>
        <v/>
      </c>
      <c r="P357" s="10">
        <f>IF(OR(L357="",M357="",M357="Pending"),"",O357-L357)</f>
        <v/>
      </c>
      <c r="Q357" s="21" t="n"/>
      <c r="R357" s="11">
        <f>IF(OR(G357="",Q357=""),"",G357/Q357-1)</f>
        <v/>
      </c>
      <c r="S357" s="10">
        <f>IF(OR(L357="",J357=""),"",L357*J357)</f>
        <v/>
      </c>
      <c r="T357" s="10">
        <f>IF(P357="","",StartBank+SUM(P$2:P357))</f>
        <v/>
      </c>
    </row>
    <row r="358">
      <c r="A358" s="22" t="n"/>
      <c r="G358" s="21" t="n"/>
      <c r="H358" s="11" t="n"/>
      <c r="I358" s="21">
        <f>IF(OR(H358="",H358=0),"",1/H358)</f>
        <v/>
      </c>
      <c r="J358" s="11">
        <f>IF(OR(G358="",H358=""),"",H358*G358-1)</f>
        <v/>
      </c>
      <c r="K358" s="10">
        <f>IF(OR(G358="",H358="",G358&lt;=1),"",IF(J358&lt;IF(D358="Builder",MinEdgeBuilder,IF(D358="Player",MinEdgePlayer,MinEdgeSingle)),0,ROUND(MIN(IF(D358="Single",KellySingle,KellyBuilder)*(StartBank+SUM(P$1:P357))*J358/(G358-1),IF(D358="Builder",CapBuilder,CapSingle)*Unit),2)))</f>
        <v/>
      </c>
      <c r="L358" s="10" t="n"/>
      <c r="N358" s="10" t="n"/>
      <c r="O358" s="10">
        <f>IF(L358="","",IF(M358="Won",L358*G358,IF(M358="Void",L358,IF(M358="Cash out",N(N358),IF(M358="Lost",0,"")))))</f>
        <v/>
      </c>
      <c r="P358" s="10">
        <f>IF(OR(L358="",M358="",M358="Pending"),"",O358-L358)</f>
        <v/>
      </c>
      <c r="Q358" s="21" t="n"/>
      <c r="R358" s="11">
        <f>IF(OR(G358="",Q358=""),"",G358/Q358-1)</f>
        <v/>
      </c>
      <c r="S358" s="10">
        <f>IF(OR(L358="",J358=""),"",L358*J358)</f>
        <v/>
      </c>
      <c r="T358" s="10">
        <f>IF(P358="","",StartBank+SUM(P$2:P358))</f>
        <v/>
      </c>
    </row>
    <row r="359">
      <c r="A359" s="22" t="n"/>
      <c r="G359" s="21" t="n"/>
      <c r="H359" s="11" t="n"/>
      <c r="I359" s="21">
        <f>IF(OR(H359="",H359=0),"",1/H359)</f>
        <v/>
      </c>
      <c r="J359" s="11">
        <f>IF(OR(G359="",H359=""),"",H359*G359-1)</f>
        <v/>
      </c>
      <c r="K359" s="10">
        <f>IF(OR(G359="",H359="",G359&lt;=1),"",IF(J359&lt;IF(D359="Builder",MinEdgeBuilder,IF(D359="Player",MinEdgePlayer,MinEdgeSingle)),0,ROUND(MIN(IF(D359="Single",KellySingle,KellyBuilder)*(StartBank+SUM(P$1:P358))*J359/(G359-1),IF(D359="Builder",CapBuilder,CapSingle)*Unit),2)))</f>
        <v/>
      </c>
      <c r="L359" s="10" t="n"/>
      <c r="N359" s="10" t="n"/>
      <c r="O359" s="10">
        <f>IF(L359="","",IF(M359="Won",L359*G359,IF(M359="Void",L359,IF(M359="Cash out",N(N359),IF(M359="Lost",0,"")))))</f>
        <v/>
      </c>
      <c r="P359" s="10">
        <f>IF(OR(L359="",M359="",M359="Pending"),"",O359-L359)</f>
        <v/>
      </c>
      <c r="Q359" s="21" t="n"/>
      <c r="R359" s="11">
        <f>IF(OR(G359="",Q359=""),"",G359/Q359-1)</f>
        <v/>
      </c>
      <c r="S359" s="10">
        <f>IF(OR(L359="",J359=""),"",L359*J359)</f>
        <v/>
      </c>
      <c r="T359" s="10">
        <f>IF(P359="","",StartBank+SUM(P$2:P359))</f>
        <v/>
      </c>
    </row>
    <row r="360">
      <c r="A360" s="22" t="n"/>
      <c r="G360" s="21" t="n"/>
      <c r="H360" s="11" t="n"/>
      <c r="I360" s="21">
        <f>IF(OR(H360="",H360=0),"",1/H360)</f>
        <v/>
      </c>
      <c r="J360" s="11">
        <f>IF(OR(G360="",H360=""),"",H360*G360-1)</f>
        <v/>
      </c>
      <c r="K360" s="10">
        <f>IF(OR(G360="",H360="",G360&lt;=1),"",IF(J360&lt;IF(D360="Builder",MinEdgeBuilder,IF(D360="Player",MinEdgePlayer,MinEdgeSingle)),0,ROUND(MIN(IF(D360="Single",KellySingle,KellyBuilder)*(StartBank+SUM(P$1:P359))*J360/(G360-1),IF(D360="Builder",CapBuilder,CapSingle)*Unit),2)))</f>
        <v/>
      </c>
      <c r="L360" s="10" t="n"/>
      <c r="N360" s="10" t="n"/>
      <c r="O360" s="10">
        <f>IF(L360="","",IF(M360="Won",L360*G360,IF(M360="Void",L360,IF(M360="Cash out",N(N360),IF(M360="Lost",0,"")))))</f>
        <v/>
      </c>
      <c r="P360" s="10">
        <f>IF(OR(L360="",M360="",M360="Pending"),"",O360-L360)</f>
        <v/>
      </c>
      <c r="Q360" s="21" t="n"/>
      <c r="R360" s="11">
        <f>IF(OR(G360="",Q360=""),"",G360/Q360-1)</f>
        <v/>
      </c>
      <c r="S360" s="10">
        <f>IF(OR(L360="",J360=""),"",L360*J360)</f>
        <v/>
      </c>
      <c r="T360" s="10">
        <f>IF(P360="","",StartBank+SUM(P$2:P360))</f>
        <v/>
      </c>
    </row>
    <row r="361">
      <c r="A361" s="22" t="n"/>
      <c r="G361" s="21" t="n"/>
      <c r="H361" s="11" t="n"/>
      <c r="I361" s="21">
        <f>IF(OR(H361="",H361=0),"",1/H361)</f>
        <v/>
      </c>
      <c r="J361" s="11">
        <f>IF(OR(G361="",H361=""),"",H361*G361-1)</f>
        <v/>
      </c>
      <c r="K361" s="10">
        <f>IF(OR(G361="",H361="",G361&lt;=1),"",IF(J361&lt;IF(D361="Builder",MinEdgeBuilder,IF(D361="Player",MinEdgePlayer,MinEdgeSingle)),0,ROUND(MIN(IF(D361="Single",KellySingle,KellyBuilder)*(StartBank+SUM(P$1:P360))*J361/(G361-1),IF(D361="Builder",CapBuilder,CapSingle)*Unit),2)))</f>
        <v/>
      </c>
      <c r="L361" s="10" t="n"/>
      <c r="N361" s="10" t="n"/>
      <c r="O361" s="10">
        <f>IF(L361="","",IF(M361="Won",L361*G361,IF(M361="Void",L361,IF(M361="Cash out",N(N361),IF(M361="Lost",0,"")))))</f>
        <v/>
      </c>
      <c r="P361" s="10">
        <f>IF(OR(L361="",M361="",M361="Pending"),"",O361-L361)</f>
        <v/>
      </c>
      <c r="Q361" s="21" t="n"/>
      <c r="R361" s="11">
        <f>IF(OR(G361="",Q361=""),"",G361/Q361-1)</f>
        <v/>
      </c>
      <c r="S361" s="10">
        <f>IF(OR(L361="",J361=""),"",L361*J361)</f>
        <v/>
      </c>
      <c r="T361" s="10">
        <f>IF(P361="","",StartBank+SUM(P$2:P361))</f>
        <v/>
      </c>
    </row>
    <row r="362">
      <c r="A362" s="22" t="n"/>
      <c r="G362" s="21" t="n"/>
      <c r="H362" s="11" t="n"/>
      <c r="I362" s="21">
        <f>IF(OR(H362="",H362=0),"",1/H362)</f>
        <v/>
      </c>
      <c r="J362" s="11">
        <f>IF(OR(G362="",H362=""),"",H362*G362-1)</f>
        <v/>
      </c>
      <c r="K362" s="10">
        <f>IF(OR(G362="",H362="",G362&lt;=1),"",IF(J362&lt;IF(D362="Builder",MinEdgeBuilder,IF(D362="Player",MinEdgePlayer,MinEdgeSingle)),0,ROUND(MIN(IF(D362="Single",KellySingle,KellyBuilder)*(StartBank+SUM(P$1:P361))*J362/(G362-1),IF(D362="Builder",CapBuilder,CapSingle)*Unit),2)))</f>
        <v/>
      </c>
      <c r="L362" s="10" t="n"/>
      <c r="N362" s="10" t="n"/>
      <c r="O362" s="10">
        <f>IF(L362="","",IF(M362="Won",L362*G362,IF(M362="Void",L362,IF(M362="Cash out",N(N362),IF(M362="Lost",0,"")))))</f>
        <v/>
      </c>
      <c r="P362" s="10">
        <f>IF(OR(L362="",M362="",M362="Pending"),"",O362-L362)</f>
        <v/>
      </c>
      <c r="Q362" s="21" t="n"/>
      <c r="R362" s="11">
        <f>IF(OR(G362="",Q362=""),"",G362/Q362-1)</f>
        <v/>
      </c>
      <c r="S362" s="10">
        <f>IF(OR(L362="",J362=""),"",L362*J362)</f>
        <v/>
      </c>
      <c r="T362" s="10">
        <f>IF(P362="","",StartBank+SUM(P$2:P362))</f>
        <v/>
      </c>
    </row>
    <row r="363">
      <c r="A363" s="22" t="n"/>
      <c r="G363" s="21" t="n"/>
      <c r="H363" s="11" t="n"/>
      <c r="I363" s="21">
        <f>IF(OR(H363="",H363=0),"",1/H363)</f>
        <v/>
      </c>
      <c r="J363" s="11">
        <f>IF(OR(G363="",H363=""),"",H363*G363-1)</f>
        <v/>
      </c>
      <c r="K363" s="10">
        <f>IF(OR(G363="",H363="",G363&lt;=1),"",IF(J363&lt;IF(D363="Builder",MinEdgeBuilder,IF(D363="Player",MinEdgePlayer,MinEdgeSingle)),0,ROUND(MIN(IF(D363="Single",KellySingle,KellyBuilder)*(StartBank+SUM(P$1:P362))*J363/(G363-1),IF(D363="Builder",CapBuilder,CapSingle)*Unit),2)))</f>
        <v/>
      </c>
      <c r="L363" s="10" t="n"/>
      <c r="N363" s="10" t="n"/>
      <c r="O363" s="10">
        <f>IF(L363="","",IF(M363="Won",L363*G363,IF(M363="Void",L363,IF(M363="Cash out",N(N363),IF(M363="Lost",0,"")))))</f>
        <v/>
      </c>
      <c r="P363" s="10">
        <f>IF(OR(L363="",M363="",M363="Pending"),"",O363-L363)</f>
        <v/>
      </c>
      <c r="Q363" s="21" t="n"/>
      <c r="R363" s="11">
        <f>IF(OR(G363="",Q363=""),"",G363/Q363-1)</f>
        <v/>
      </c>
      <c r="S363" s="10">
        <f>IF(OR(L363="",J363=""),"",L363*J363)</f>
        <v/>
      </c>
      <c r="T363" s="10">
        <f>IF(P363="","",StartBank+SUM(P$2:P363))</f>
        <v/>
      </c>
    </row>
    <row r="364">
      <c r="A364" s="22" t="n"/>
      <c r="G364" s="21" t="n"/>
      <c r="H364" s="11" t="n"/>
      <c r="I364" s="21">
        <f>IF(OR(H364="",H364=0),"",1/H364)</f>
        <v/>
      </c>
      <c r="J364" s="11">
        <f>IF(OR(G364="",H364=""),"",H364*G364-1)</f>
        <v/>
      </c>
      <c r="K364" s="10">
        <f>IF(OR(G364="",H364="",G364&lt;=1),"",IF(J364&lt;IF(D364="Builder",MinEdgeBuilder,IF(D364="Player",MinEdgePlayer,MinEdgeSingle)),0,ROUND(MIN(IF(D364="Single",KellySingle,KellyBuilder)*(StartBank+SUM(P$1:P363))*J364/(G364-1),IF(D364="Builder",CapBuilder,CapSingle)*Unit),2)))</f>
        <v/>
      </c>
      <c r="L364" s="10" t="n"/>
      <c r="N364" s="10" t="n"/>
      <c r="O364" s="10">
        <f>IF(L364="","",IF(M364="Won",L364*G364,IF(M364="Void",L364,IF(M364="Cash out",N(N364),IF(M364="Lost",0,"")))))</f>
        <v/>
      </c>
      <c r="P364" s="10">
        <f>IF(OR(L364="",M364="",M364="Pending"),"",O364-L364)</f>
        <v/>
      </c>
      <c r="Q364" s="21" t="n"/>
      <c r="R364" s="11">
        <f>IF(OR(G364="",Q364=""),"",G364/Q364-1)</f>
        <v/>
      </c>
      <c r="S364" s="10">
        <f>IF(OR(L364="",J364=""),"",L364*J364)</f>
        <v/>
      </c>
      <c r="T364" s="10">
        <f>IF(P364="","",StartBank+SUM(P$2:P364))</f>
        <v/>
      </c>
    </row>
    <row r="365">
      <c r="A365" s="22" t="n"/>
      <c r="G365" s="21" t="n"/>
      <c r="H365" s="11" t="n"/>
      <c r="I365" s="21">
        <f>IF(OR(H365="",H365=0),"",1/H365)</f>
        <v/>
      </c>
      <c r="J365" s="11">
        <f>IF(OR(G365="",H365=""),"",H365*G365-1)</f>
        <v/>
      </c>
      <c r="K365" s="10">
        <f>IF(OR(G365="",H365="",G365&lt;=1),"",IF(J365&lt;IF(D365="Builder",MinEdgeBuilder,IF(D365="Player",MinEdgePlayer,MinEdgeSingle)),0,ROUND(MIN(IF(D365="Single",KellySingle,KellyBuilder)*(StartBank+SUM(P$1:P364))*J365/(G365-1),IF(D365="Builder",CapBuilder,CapSingle)*Unit),2)))</f>
        <v/>
      </c>
      <c r="L365" s="10" t="n"/>
      <c r="N365" s="10" t="n"/>
      <c r="O365" s="10">
        <f>IF(L365="","",IF(M365="Won",L365*G365,IF(M365="Void",L365,IF(M365="Cash out",N(N365),IF(M365="Lost",0,"")))))</f>
        <v/>
      </c>
      <c r="P365" s="10">
        <f>IF(OR(L365="",M365="",M365="Pending"),"",O365-L365)</f>
        <v/>
      </c>
      <c r="Q365" s="21" t="n"/>
      <c r="R365" s="11">
        <f>IF(OR(G365="",Q365=""),"",G365/Q365-1)</f>
        <v/>
      </c>
      <c r="S365" s="10">
        <f>IF(OR(L365="",J365=""),"",L365*J365)</f>
        <v/>
      </c>
      <c r="T365" s="10">
        <f>IF(P365="","",StartBank+SUM(P$2:P365))</f>
        <v/>
      </c>
    </row>
    <row r="366">
      <c r="A366" s="22" t="n"/>
      <c r="G366" s="21" t="n"/>
      <c r="H366" s="11" t="n"/>
      <c r="I366" s="21">
        <f>IF(OR(H366="",H366=0),"",1/H366)</f>
        <v/>
      </c>
      <c r="J366" s="11">
        <f>IF(OR(G366="",H366=""),"",H366*G366-1)</f>
        <v/>
      </c>
      <c r="K366" s="10">
        <f>IF(OR(G366="",H366="",G366&lt;=1),"",IF(J366&lt;IF(D366="Builder",MinEdgeBuilder,IF(D366="Player",MinEdgePlayer,MinEdgeSingle)),0,ROUND(MIN(IF(D366="Single",KellySingle,KellyBuilder)*(StartBank+SUM(P$1:P365))*J366/(G366-1),IF(D366="Builder",CapBuilder,CapSingle)*Unit),2)))</f>
        <v/>
      </c>
      <c r="L366" s="10" t="n"/>
      <c r="N366" s="10" t="n"/>
      <c r="O366" s="10">
        <f>IF(L366="","",IF(M366="Won",L366*G366,IF(M366="Void",L366,IF(M366="Cash out",N(N366),IF(M366="Lost",0,"")))))</f>
        <v/>
      </c>
      <c r="P366" s="10">
        <f>IF(OR(L366="",M366="",M366="Pending"),"",O366-L366)</f>
        <v/>
      </c>
      <c r="Q366" s="21" t="n"/>
      <c r="R366" s="11">
        <f>IF(OR(G366="",Q366=""),"",G366/Q366-1)</f>
        <v/>
      </c>
      <c r="S366" s="10">
        <f>IF(OR(L366="",J366=""),"",L366*J366)</f>
        <v/>
      </c>
      <c r="T366" s="10">
        <f>IF(P366="","",StartBank+SUM(P$2:P366))</f>
        <v/>
      </c>
    </row>
    <row r="367">
      <c r="A367" s="22" t="n"/>
      <c r="G367" s="21" t="n"/>
      <c r="H367" s="11" t="n"/>
      <c r="I367" s="21">
        <f>IF(OR(H367="",H367=0),"",1/H367)</f>
        <v/>
      </c>
      <c r="J367" s="11">
        <f>IF(OR(G367="",H367=""),"",H367*G367-1)</f>
        <v/>
      </c>
      <c r="K367" s="10">
        <f>IF(OR(G367="",H367="",G367&lt;=1),"",IF(J367&lt;IF(D367="Builder",MinEdgeBuilder,IF(D367="Player",MinEdgePlayer,MinEdgeSingle)),0,ROUND(MIN(IF(D367="Single",KellySingle,KellyBuilder)*(StartBank+SUM(P$1:P366))*J367/(G367-1),IF(D367="Builder",CapBuilder,CapSingle)*Unit),2)))</f>
        <v/>
      </c>
      <c r="L367" s="10" t="n"/>
      <c r="N367" s="10" t="n"/>
      <c r="O367" s="10">
        <f>IF(L367="","",IF(M367="Won",L367*G367,IF(M367="Void",L367,IF(M367="Cash out",N(N367),IF(M367="Lost",0,"")))))</f>
        <v/>
      </c>
      <c r="P367" s="10">
        <f>IF(OR(L367="",M367="",M367="Pending"),"",O367-L367)</f>
        <v/>
      </c>
      <c r="Q367" s="21" t="n"/>
      <c r="R367" s="11">
        <f>IF(OR(G367="",Q367=""),"",G367/Q367-1)</f>
        <v/>
      </c>
      <c r="S367" s="10">
        <f>IF(OR(L367="",J367=""),"",L367*J367)</f>
        <v/>
      </c>
      <c r="T367" s="10">
        <f>IF(P367="","",StartBank+SUM(P$2:P367))</f>
        <v/>
      </c>
    </row>
    <row r="368">
      <c r="A368" s="22" t="n"/>
      <c r="G368" s="21" t="n"/>
      <c r="H368" s="11" t="n"/>
      <c r="I368" s="21">
        <f>IF(OR(H368="",H368=0),"",1/H368)</f>
        <v/>
      </c>
      <c r="J368" s="11">
        <f>IF(OR(G368="",H368=""),"",H368*G368-1)</f>
        <v/>
      </c>
      <c r="K368" s="10">
        <f>IF(OR(G368="",H368="",G368&lt;=1),"",IF(J368&lt;IF(D368="Builder",MinEdgeBuilder,IF(D368="Player",MinEdgePlayer,MinEdgeSingle)),0,ROUND(MIN(IF(D368="Single",KellySingle,KellyBuilder)*(StartBank+SUM(P$1:P367))*J368/(G368-1),IF(D368="Builder",CapBuilder,CapSingle)*Unit),2)))</f>
        <v/>
      </c>
      <c r="L368" s="10" t="n"/>
      <c r="N368" s="10" t="n"/>
      <c r="O368" s="10">
        <f>IF(L368="","",IF(M368="Won",L368*G368,IF(M368="Void",L368,IF(M368="Cash out",N(N368),IF(M368="Lost",0,"")))))</f>
        <v/>
      </c>
      <c r="P368" s="10">
        <f>IF(OR(L368="",M368="",M368="Pending"),"",O368-L368)</f>
        <v/>
      </c>
      <c r="Q368" s="21" t="n"/>
      <c r="R368" s="11">
        <f>IF(OR(G368="",Q368=""),"",G368/Q368-1)</f>
        <v/>
      </c>
      <c r="S368" s="10">
        <f>IF(OR(L368="",J368=""),"",L368*J368)</f>
        <v/>
      </c>
      <c r="T368" s="10">
        <f>IF(P368="","",StartBank+SUM(P$2:P368))</f>
        <v/>
      </c>
    </row>
    <row r="369">
      <c r="A369" s="22" t="n"/>
      <c r="G369" s="21" t="n"/>
      <c r="H369" s="11" t="n"/>
      <c r="I369" s="21">
        <f>IF(OR(H369="",H369=0),"",1/H369)</f>
        <v/>
      </c>
      <c r="J369" s="11">
        <f>IF(OR(G369="",H369=""),"",H369*G369-1)</f>
        <v/>
      </c>
      <c r="K369" s="10">
        <f>IF(OR(G369="",H369="",G369&lt;=1),"",IF(J369&lt;IF(D369="Builder",MinEdgeBuilder,IF(D369="Player",MinEdgePlayer,MinEdgeSingle)),0,ROUND(MIN(IF(D369="Single",KellySingle,KellyBuilder)*(StartBank+SUM(P$1:P368))*J369/(G369-1),IF(D369="Builder",CapBuilder,CapSingle)*Unit),2)))</f>
        <v/>
      </c>
      <c r="L369" s="10" t="n"/>
      <c r="N369" s="10" t="n"/>
      <c r="O369" s="10">
        <f>IF(L369="","",IF(M369="Won",L369*G369,IF(M369="Void",L369,IF(M369="Cash out",N(N369),IF(M369="Lost",0,"")))))</f>
        <v/>
      </c>
      <c r="P369" s="10">
        <f>IF(OR(L369="",M369="",M369="Pending"),"",O369-L369)</f>
        <v/>
      </c>
      <c r="Q369" s="21" t="n"/>
      <c r="R369" s="11">
        <f>IF(OR(G369="",Q369=""),"",G369/Q369-1)</f>
        <v/>
      </c>
      <c r="S369" s="10">
        <f>IF(OR(L369="",J369=""),"",L369*J369)</f>
        <v/>
      </c>
      <c r="T369" s="10">
        <f>IF(P369="","",StartBank+SUM(P$2:P369))</f>
        <v/>
      </c>
    </row>
    <row r="370">
      <c r="A370" s="22" t="n"/>
      <c r="G370" s="21" t="n"/>
      <c r="H370" s="11" t="n"/>
      <c r="I370" s="21">
        <f>IF(OR(H370="",H370=0),"",1/H370)</f>
        <v/>
      </c>
      <c r="J370" s="11">
        <f>IF(OR(G370="",H370=""),"",H370*G370-1)</f>
        <v/>
      </c>
      <c r="K370" s="10">
        <f>IF(OR(G370="",H370="",G370&lt;=1),"",IF(J370&lt;IF(D370="Builder",MinEdgeBuilder,IF(D370="Player",MinEdgePlayer,MinEdgeSingle)),0,ROUND(MIN(IF(D370="Single",KellySingle,KellyBuilder)*(StartBank+SUM(P$1:P369))*J370/(G370-1),IF(D370="Builder",CapBuilder,CapSingle)*Unit),2)))</f>
        <v/>
      </c>
      <c r="L370" s="10" t="n"/>
      <c r="N370" s="10" t="n"/>
      <c r="O370" s="10">
        <f>IF(L370="","",IF(M370="Won",L370*G370,IF(M370="Void",L370,IF(M370="Cash out",N(N370),IF(M370="Lost",0,"")))))</f>
        <v/>
      </c>
      <c r="P370" s="10">
        <f>IF(OR(L370="",M370="",M370="Pending"),"",O370-L370)</f>
        <v/>
      </c>
      <c r="Q370" s="21" t="n"/>
      <c r="R370" s="11">
        <f>IF(OR(G370="",Q370=""),"",G370/Q370-1)</f>
        <v/>
      </c>
      <c r="S370" s="10">
        <f>IF(OR(L370="",J370=""),"",L370*J370)</f>
        <v/>
      </c>
      <c r="T370" s="10">
        <f>IF(P370="","",StartBank+SUM(P$2:P370))</f>
        <v/>
      </c>
    </row>
    <row r="371">
      <c r="A371" s="22" t="n"/>
      <c r="G371" s="21" t="n"/>
      <c r="H371" s="11" t="n"/>
      <c r="I371" s="21">
        <f>IF(OR(H371="",H371=0),"",1/H371)</f>
        <v/>
      </c>
      <c r="J371" s="11">
        <f>IF(OR(G371="",H371=""),"",H371*G371-1)</f>
        <v/>
      </c>
      <c r="K371" s="10">
        <f>IF(OR(G371="",H371="",G371&lt;=1),"",IF(J371&lt;IF(D371="Builder",MinEdgeBuilder,IF(D371="Player",MinEdgePlayer,MinEdgeSingle)),0,ROUND(MIN(IF(D371="Single",KellySingle,KellyBuilder)*(StartBank+SUM(P$1:P370))*J371/(G371-1),IF(D371="Builder",CapBuilder,CapSingle)*Unit),2)))</f>
        <v/>
      </c>
      <c r="L371" s="10" t="n"/>
      <c r="N371" s="10" t="n"/>
      <c r="O371" s="10">
        <f>IF(L371="","",IF(M371="Won",L371*G371,IF(M371="Void",L371,IF(M371="Cash out",N(N371),IF(M371="Lost",0,"")))))</f>
        <v/>
      </c>
      <c r="P371" s="10">
        <f>IF(OR(L371="",M371="",M371="Pending"),"",O371-L371)</f>
        <v/>
      </c>
      <c r="Q371" s="21" t="n"/>
      <c r="R371" s="11">
        <f>IF(OR(G371="",Q371=""),"",G371/Q371-1)</f>
        <v/>
      </c>
      <c r="S371" s="10">
        <f>IF(OR(L371="",J371=""),"",L371*J371)</f>
        <v/>
      </c>
      <c r="T371" s="10">
        <f>IF(P371="","",StartBank+SUM(P$2:P371))</f>
        <v/>
      </c>
    </row>
    <row r="372">
      <c r="A372" s="22" t="n"/>
      <c r="G372" s="21" t="n"/>
      <c r="H372" s="11" t="n"/>
      <c r="I372" s="21">
        <f>IF(OR(H372="",H372=0),"",1/H372)</f>
        <v/>
      </c>
      <c r="J372" s="11">
        <f>IF(OR(G372="",H372=""),"",H372*G372-1)</f>
        <v/>
      </c>
      <c r="K372" s="10">
        <f>IF(OR(G372="",H372="",G372&lt;=1),"",IF(J372&lt;IF(D372="Builder",MinEdgeBuilder,IF(D372="Player",MinEdgePlayer,MinEdgeSingle)),0,ROUND(MIN(IF(D372="Single",KellySingle,KellyBuilder)*(StartBank+SUM(P$1:P371))*J372/(G372-1),IF(D372="Builder",CapBuilder,CapSingle)*Unit),2)))</f>
        <v/>
      </c>
      <c r="L372" s="10" t="n"/>
      <c r="N372" s="10" t="n"/>
      <c r="O372" s="10">
        <f>IF(L372="","",IF(M372="Won",L372*G372,IF(M372="Void",L372,IF(M372="Cash out",N(N372),IF(M372="Lost",0,"")))))</f>
        <v/>
      </c>
      <c r="P372" s="10">
        <f>IF(OR(L372="",M372="",M372="Pending"),"",O372-L372)</f>
        <v/>
      </c>
      <c r="Q372" s="21" t="n"/>
      <c r="R372" s="11">
        <f>IF(OR(G372="",Q372=""),"",G372/Q372-1)</f>
        <v/>
      </c>
      <c r="S372" s="10">
        <f>IF(OR(L372="",J372=""),"",L372*J372)</f>
        <v/>
      </c>
      <c r="T372" s="10">
        <f>IF(P372="","",StartBank+SUM(P$2:P372))</f>
        <v/>
      </c>
    </row>
    <row r="373">
      <c r="A373" s="22" t="n"/>
      <c r="G373" s="21" t="n"/>
      <c r="H373" s="11" t="n"/>
      <c r="I373" s="21">
        <f>IF(OR(H373="",H373=0),"",1/H373)</f>
        <v/>
      </c>
      <c r="J373" s="11">
        <f>IF(OR(G373="",H373=""),"",H373*G373-1)</f>
        <v/>
      </c>
      <c r="K373" s="10">
        <f>IF(OR(G373="",H373="",G373&lt;=1),"",IF(J373&lt;IF(D373="Builder",MinEdgeBuilder,IF(D373="Player",MinEdgePlayer,MinEdgeSingle)),0,ROUND(MIN(IF(D373="Single",KellySingle,KellyBuilder)*(StartBank+SUM(P$1:P372))*J373/(G373-1),IF(D373="Builder",CapBuilder,CapSingle)*Unit),2)))</f>
        <v/>
      </c>
      <c r="L373" s="10" t="n"/>
      <c r="N373" s="10" t="n"/>
      <c r="O373" s="10">
        <f>IF(L373="","",IF(M373="Won",L373*G373,IF(M373="Void",L373,IF(M373="Cash out",N(N373),IF(M373="Lost",0,"")))))</f>
        <v/>
      </c>
      <c r="P373" s="10">
        <f>IF(OR(L373="",M373="",M373="Pending"),"",O373-L373)</f>
        <v/>
      </c>
      <c r="Q373" s="21" t="n"/>
      <c r="R373" s="11">
        <f>IF(OR(G373="",Q373=""),"",G373/Q373-1)</f>
        <v/>
      </c>
      <c r="S373" s="10">
        <f>IF(OR(L373="",J373=""),"",L373*J373)</f>
        <v/>
      </c>
      <c r="T373" s="10">
        <f>IF(P373="","",StartBank+SUM(P$2:P373))</f>
        <v/>
      </c>
    </row>
    <row r="374">
      <c r="A374" s="22" t="n"/>
      <c r="G374" s="21" t="n"/>
      <c r="H374" s="11" t="n"/>
      <c r="I374" s="21">
        <f>IF(OR(H374="",H374=0),"",1/H374)</f>
        <v/>
      </c>
      <c r="J374" s="11">
        <f>IF(OR(G374="",H374=""),"",H374*G374-1)</f>
        <v/>
      </c>
      <c r="K374" s="10">
        <f>IF(OR(G374="",H374="",G374&lt;=1),"",IF(J374&lt;IF(D374="Builder",MinEdgeBuilder,IF(D374="Player",MinEdgePlayer,MinEdgeSingle)),0,ROUND(MIN(IF(D374="Single",KellySingle,KellyBuilder)*(StartBank+SUM(P$1:P373))*J374/(G374-1),IF(D374="Builder",CapBuilder,CapSingle)*Unit),2)))</f>
        <v/>
      </c>
      <c r="L374" s="10" t="n"/>
      <c r="N374" s="10" t="n"/>
      <c r="O374" s="10">
        <f>IF(L374="","",IF(M374="Won",L374*G374,IF(M374="Void",L374,IF(M374="Cash out",N(N374),IF(M374="Lost",0,"")))))</f>
        <v/>
      </c>
      <c r="P374" s="10">
        <f>IF(OR(L374="",M374="",M374="Pending"),"",O374-L374)</f>
        <v/>
      </c>
      <c r="Q374" s="21" t="n"/>
      <c r="R374" s="11">
        <f>IF(OR(G374="",Q374=""),"",G374/Q374-1)</f>
        <v/>
      </c>
      <c r="S374" s="10">
        <f>IF(OR(L374="",J374=""),"",L374*J374)</f>
        <v/>
      </c>
      <c r="T374" s="10">
        <f>IF(P374="","",StartBank+SUM(P$2:P374))</f>
        <v/>
      </c>
    </row>
    <row r="375">
      <c r="A375" s="22" t="n"/>
      <c r="G375" s="21" t="n"/>
      <c r="H375" s="11" t="n"/>
      <c r="I375" s="21">
        <f>IF(OR(H375="",H375=0),"",1/H375)</f>
        <v/>
      </c>
      <c r="J375" s="11">
        <f>IF(OR(G375="",H375=""),"",H375*G375-1)</f>
        <v/>
      </c>
      <c r="K375" s="10">
        <f>IF(OR(G375="",H375="",G375&lt;=1),"",IF(J375&lt;IF(D375="Builder",MinEdgeBuilder,IF(D375="Player",MinEdgePlayer,MinEdgeSingle)),0,ROUND(MIN(IF(D375="Single",KellySingle,KellyBuilder)*(StartBank+SUM(P$1:P374))*J375/(G375-1),IF(D375="Builder",CapBuilder,CapSingle)*Unit),2)))</f>
        <v/>
      </c>
      <c r="L375" s="10" t="n"/>
      <c r="N375" s="10" t="n"/>
      <c r="O375" s="10">
        <f>IF(L375="","",IF(M375="Won",L375*G375,IF(M375="Void",L375,IF(M375="Cash out",N(N375),IF(M375="Lost",0,"")))))</f>
        <v/>
      </c>
      <c r="P375" s="10">
        <f>IF(OR(L375="",M375="",M375="Pending"),"",O375-L375)</f>
        <v/>
      </c>
      <c r="Q375" s="21" t="n"/>
      <c r="R375" s="11">
        <f>IF(OR(G375="",Q375=""),"",G375/Q375-1)</f>
        <v/>
      </c>
      <c r="S375" s="10">
        <f>IF(OR(L375="",J375=""),"",L375*J375)</f>
        <v/>
      </c>
      <c r="T375" s="10">
        <f>IF(P375="","",StartBank+SUM(P$2:P375))</f>
        <v/>
      </c>
    </row>
    <row r="376">
      <c r="A376" s="22" t="n"/>
      <c r="G376" s="21" t="n"/>
      <c r="H376" s="11" t="n"/>
      <c r="I376" s="21">
        <f>IF(OR(H376="",H376=0),"",1/H376)</f>
        <v/>
      </c>
      <c r="J376" s="11">
        <f>IF(OR(G376="",H376=""),"",H376*G376-1)</f>
        <v/>
      </c>
      <c r="K376" s="10">
        <f>IF(OR(G376="",H376="",G376&lt;=1),"",IF(J376&lt;IF(D376="Builder",MinEdgeBuilder,IF(D376="Player",MinEdgePlayer,MinEdgeSingle)),0,ROUND(MIN(IF(D376="Single",KellySingle,KellyBuilder)*(StartBank+SUM(P$1:P375))*J376/(G376-1),IF(D376="Builder",CapBuilder,CapSingle)*Unit),2)))</f>
        <v/>
      </c>
      <c r="L376" s="10" t="n"/>
      <c r="N376" s="10" t="n"/>
      <c r="O376" s="10">
        <f>IF(L376="","",IF(M376="Won",L376*G376,IF(M376="Void",L376,IF(M376="Cash out",N(N376),IF(M376="Lost",0,"")))))</f>
        <v/>
      </c>
      <c r="P376" s="10">
        <f>IF(OR(L376="",M376="",M376="Pending"),"",O376-L376)</f>
        <v/>
      </c>
      <c r="Q376" s="21" t="n"/>
      <c r="R376" s="11">
        <f>IF(OR(G376="",Q376=""),"",G376/Q376-1)</f>
        <v/>
      </c>
      <c r="S376" s="10">
        <f>IF(OR(L376="",J376=""),"",L376*J376)</f>
        <v/>
      </c>
      <c r="T376" s="10">
        <f>IF(P376="","",StartBank+SUM(P$2:P376))</f>
        <v/>
      </c>
    </row>
    <row r="377">
      <c r="A377" s="22" t="n"/>
      <c r="G377" s="21" t="n"/>
      <c r="H377" s="11" t="n"/>
      <c r="I377" s="21">
        <f>IF(OR(H377="",H377=0),"",1/H377)</f>
        <v/>
      </c>
      <c r="J377" s="11">
        <f>IF(OR(G377="",H377=""),"",H377*G377-1)</f>
        <v/>
      </c>
      <c r="K377" s="10">
        <f>IF(OR(G377="",H377="",G377&lt;=1),"",IF(J377&lt;IF(D377="Builder",MinEdgeBuilder,IF(D377="Player",MinEdgePlayer,MinEdgeSingle)),0,ROUND(MIN(IF(D377="Single",KellySingle,KellyBuilder)*(StartBank+SUM(P$1:P376))*J377/(G377-1),IF(D377="Builder",CapBuilder,CapSingle)*Unit),2)))</f>
        <v/>
      </c>
      <c r="L377" s="10" t="n"/>
      <c r="N377" s="10" t="n"/>
      <c r="O377" s="10">
        <f>IF(L377="","",IF(M377="Won",L377*G377,IF(M377="Void",L377,IF(M377="Cash out",N(N377),IF(M377="Lost",0,"")))))</f>
        <v/>
      </c>
      <c r="P377" s="10">
        <f>IF(OR(L377="",M377="",M377="Pending"),"",O377-L377)</f>
        <v/>
      </c>
      <c r="Q377" s="21" t="n"/>
      <c r="R377" s="11">
        <f>IF(OR(G377="",Q377=""),"",G377/Q377-1)</f>
        <v/>
      </c>
      <c r="S377" s="10">
        <f>IF(OR(L377="",J377=""),"",L377*J377)</f>
        <v/>
      </c>
      <c r="T377" s="10">
        <f>IF(P377="","",StartBank+SUM(P$2:P377))</f>
        <v/>
      </c>
    </row>
    <row r="378">
      <c r="A378" s="22" t="n"/>
      <c r="G378" s="21" t="n"/>
      <c r="H378" s="11" t="n"/>
      <c r="I378" s="21">
        <f>IF(OR(H378="",H378=0),"",1/H378)</f>
        <v/>
      </c>
      <c r="J378" s="11">
        <f>IF(OR(G378="",H378=""),"",H378*G378-1)</f>
        <v/>
      </c>
      <c r="K378" s="10">
        <f>IF(OR(G378="",H378="",G378&lt;=1),"",IF(J378&lt;IF(D378="Builder",MinEdgeBuilder,IF(D378="Player",MinEdgePlayer,MinEdgeSingle)),0,ROUND(MIN(IF(D378="Single",KellySingle,KellyBuilder)*(StartBank+SUM(P$1:P377))*J378/(G378-1),IF(D378="Builder",CapBuilder,CapSingle)*Unit),2)))</f>
        <v/>
      </c>
      <c r="L378" s="10" t="n"/>
      <c r="N378" s="10" t="n"/>
      <c r="O378" s="10">
        <f>IF(L378="","",IF(M378="Won",L378*G378,IF(M378="Void",L378,IF(M378="Cash out",N(N378),IF(M378="Lost",0,"")))))</f>
        <v/>
      </c>
      <c r="P378" s="10">
        <f>IF(OR(L378="",M378="",M378="Pending"),"",O378-L378)</f>
        <v/>
      </c>
      <c r="Q378" s="21" t="n"/>
      <c r="R378" s="11">
        <f>IF(OR(G378="",Q378=""),"",G378/Q378-1)</f>
        <v/>
      </c>
      <c r="S378" s="10">
        <f>IF(OR(L378="",J378=""),"",L378*J378)</f>
        <v/>
      </c>
      <c r="T378" s="10">
        <f>IF(P378="","",StartBank+SUM(P$2:P378))</f>
        <v/>
      </c>
    </row>
    <row r="379">
      <c r="A379" s="22" t="n"/>
      <c r="G379" s="21" t="n"/>
      <c r="H379" s="11" t="n"/>
      <c r="I379" s="21">
        <f>IF(OR(H379="",H379=0),"",1/H379)</f>
        <v/>
      </c>
      <c r="J379" s="11">
        <f>IF(OR(G379="",H379=""),"",H379*G379-1)</f>
        <v/>
      </c>
      <c r="K379" s="10">
        <f>IF(OR(G379="",H379="",G379&lt;=1),"",IF(J379&lt;IF(D379="Builder",MinEdgeBuilder,IF(D379="Player",MinEdgePlayer,MinEdgeSingle)),0,ROUND(MIN(IF(D379="Single",KellySingle,KellyBuilder)*(StartBank+SUM(P$1:P378))*J379/(G379-1),IF(D379="Builder",CapBuilder,CapSingle)*Unit),2)))</f>
        <v/>
      </c>
      <c r="L379" s="10" t="n"/>
      <c r="N379" s="10" t="n"/>
      <c r="O379" s="10">
        <f>IF(L379="","",IF(M379="Won",L379*G379,IF(M379="Void",L379,IF(M379="Cash out",N(N379),IF(M379="Lost",0,"")))))</f>
        <v/>
      </c>
      <c r="P379" s="10">
        <f>IF(OR(L379="",M379="",M379="Pending"),"",O379-L379)</f>
        <v/>
      </c>
      <c r="Q379" s="21" t="n"/>
      <c r="R379" s="11">
        <f>IF(OR(G379="",Q379=""),"",G379/Q379-1)</f>
        <v/>
      </c>
      <c r="S379" s="10">
        <f>IF(OR(L379="",J379=""),"",L379*J379)</f>
        <v/>
      </c>
      <c r="T379" s="10">
        <f>IF(P379="","",StartBank+SUM(P$2:P379))</f>
        <v/>
      </c>
    </row>
    <row r="380">
      <c r="A380" s="22" t="n"/>
      <c r="G380" s="21" t="n"/>
      <c r="H380" s="11" t="n"/>
      <c r="I380" s="21">
        <f>IF(OR(H380="",H380=0),"",1/H380)</f>
        <v/>
      </c>
      <c r="J380" s="11">
        <f>IF(OR(G380="",H380=""),"",H380*G380-1)</f>
        <v/>
      </c>
      <c r="K380" s="10">
        <f>IF(OR(G380="",H380="",G380&lt;=1),"",IF(J380&lt;IF(D380="Builder",MinEdgeBuilder,IF(D380="Player",MinEdgePlayer,MinEdgeSingle)),0,ROUND(MIN(IF(D380="Single",KellySingle,KellyBuilder)*(StartBank+SUM(P$1:P379))*J380/(G380-1),IF(D380="Builder",CapBuilder,CapSingle)*Unit),2)))</f>
        <v/>
      </c>
      <c r="L380" s="10" t="n"/>
      <c r="N380" s="10" t="n"/>
      <c r="O380" s="10">
        <f>IF(L380="","",IF(M380="Won",L380*G380,IF(M380="Void",L380,IF(M380="Cash out",N(N380),IF(M380="Lost",0,"")))))</f>
        <v/>
      </c>
      <c r="P380" s="10">
        <f>IF(OR(L380="",M380="",M380="Pending"),"",O380-L380)</f>
        <v/>
      </c>
      <c r="Q380" s="21" t="n"/>
      <c r="R380" s="11">
        <f>IF(OR(G380="",Q380=""),"",G380/Q380-1)</f>
        <v/>
      </c>
      <c r="S380" s="10">
        <f>IF(OR(L380="",J380=""),"",L380*J380)</f>
        <v/>
      </c>
      <c r="T380" s="10">
        <f>IF(P380="","",StartBank+SUM(P$2:P380))</f>
        <v/>
      </c>
    </row>
    <row r="381">
      <c r="A381" s="22" t="n"/>
      <c r="G381" s="21" t="n"/>
      <c r="H381" s="11" t="n"/>
      <c r="I381" s="21">
        <f>IF(OR(H381="",H381=0),"",1/H381)</f>
        <v/>
      </c>
      <c r="J381" s="11">
        <f>IF(OR(G381="",H381=""),"",H381*G381-1)</f>
        <v/>
      </c>
      <c r="K381" s="10">
        <f>IF(OR(G381="",H381="",G381&lt;=1),"",IF(J381&lt;IF(D381="Builder",MinEdgeBuilder,IF(D381="Player",MinEdgePlayer,MinEdgeSingle)),0,ROUND(MIN(IF(D381="Single",KellySingle,KellyBuilder)*(StartBank+SUM(P$1:P380))*J381/(G381-1),IF(D381="Builder",CapBuilder,CapSingle)*Unit),2)))</f>
        <v/>
      </c>
      <c r="L381" s="10" t="n"/>
      <c r="N381" s="10" t="n"/>
      <c r="O381" s="10">
        <f>IF(L381="","",IF(M381="Won",L381*G381,IF(M381="Void",L381,IF(M381="Cash out",N(N381),IF(M381="Lost",0,"")))))</f>
        <v/>
      </c>
      <c r="P381" s="10">
        <f>IF(OR(L381="",M381="",M381="Pending"),"",O381-L381)</f>
        <v/>
      </c>
      <c r="Q381" s="21" t="n"/>
      <c r="R381" s="11">
        <f>IF(OR(G381="",Q381=""),"",G381/Q381-1)</f>
        <v/>
      </c>
      <c r="S381" s="10">
        <f>IF(OR(L381="",J381=""),"",L381*J381)</f>
        <v/>
      </c>
      <c r="T381" s="10">
        <f>IF(P381="","",StartBank+SUM(P$2:P381))</f>
        <v/>
      </c>
    </row>
    <row r="382">
      <c r="A382" s="22" t="n"/>
      <c r="G382" s="21" t="n"/>
      <c r="H382" s="11" t="n"/>
      <c r="I382" s="21">
        <f>IF(OR(H382="",H382=0),"",1/H382)</f>
        <v/>
      </c>
      <c r="J382" s="11">
        <f>IF(OR(G382="",H382=""),"",H382*G382-1)</f>
        <v/>
      </c>
      <c r="K382" s="10">
        <f>IF(OR(G382="",H382="",G382&lt;=1),"",IF(J382&lt;IF(D382="Builder",MinEdgeBuilder,IF(D382="Player",MinEdgePlayer,MinEdgeSingle)),0,ROUND(MIN(IF(D382="Single",KellySingle,KellyBuilder)*(StartBank+SUM(P$1:P381))*J382/(G382-1),IF(D382="Builder",CapBuilder,CapSingle)*Unit),2)))</f>
        <v/>
      </c>
      <c r="L382" s="10" t="n"/>
      <c r="N382" s="10" t="n"/>
      <c r="O382" s="10">
        <f>IF(L382="","",IF(M382="Won",L382*G382,IF(M382="Void",L382,IF(M382="Cash out",N(N382),IF(M382="Lost",0,"")))))</f>
        <v/>
      </c>
      <c r="P382" s="10">
        <f>IF(OR(L382="",M382="",M382="Pending"),"",O382-L382)</f>
        <v/>
      </c>
      <c r="Q382" s="21" t="n"/>
      <c r="R382" s="11">
        <f>IF(OR(G382="",Q382=""),"",G382/Q382-1)</f>
        <v/>
      </c>
      <c r="S382" s="10">
        <f>IF(OR(L382="",J382=""),"",L382*J382)</f>
        <v/>
      </c>
      <c r="T382" s="10">
        <f>IF(P382="","",StartBank+SUM(P$2:P382))</f>
        <v/>
      </c>
    </row>
    <row r="383">
      <c r="A383" s="22" t="n"/>
      <c r="G383" s="21" t="n"/>
      <c r="H383" s="11" t="n"/>
      <c r="I383" s="21">
        <f>IF(OR(H383="",H383=0),"",1/H383)</f>
        <v/>
      </c>
      <c r="J383" s="11">
        <f>IF(OR(G383="",H383=""),"",H383*G383-1)</f>
        <v/>
      </c>
      <c r="K383" s="10">
        <f>IF(OR(G383="",H383="",G383&lt;=1),"",IF(J383&lt;IF(D383="Builder",MinEdgeBuilder,IF(D383="Player",MinEdgePlayer,MinEdgeSingle)),0,ROUND(MIN(IF(D383="Single",KellySingle,KellyBuilder)*(StartBank+SUM(P$1:P382))*J383/(G383-1),IF(D383="Builder",CapBuilder,CapSingle)*Unit),2)))</f>
        <v/>
      </c>
      <c r="L383" s="10" t="n"/>
      <c r="N383" s="10" t="n"/>
      <c r="O383" s="10">
        <f>IF(L383="","",IF(M383="Won",L383*G383,IF(M383="Void",L383,IF(M383="Cash out",N(N383),IF(M383="Lost",0,"")))))</f>
        <v/>
      </c>
      <c r="P383" s="10">
        <f>IF(OR(L383="",M383="",M383="Pending"),"",O383-L383)</f>
        <v/>
      </c>
      <c r="Q383" s="21" t="n"/>
      <c r="R383" s="11">
        <f>IF(OR(G383="",Q383=""),"",G383/Q383-1)</f>
        <v/>
      </c>
      <c r="S383" s="10">
        <f>IF(OR(L383="",J383=""),"",L383*J383)</f>
        <v/>
      </c>
      <c r="T383" s="10">
        <f>IF(P383="","",StartBank+SUM(P$2:P383))</f>
        <v/>
      </c>
    </row>
    <row r="384">
      <c r="A384" s="22" t="n"/>
      <c r="G384" s="21" t="n"/>
      <c r="H384" s="11" t="n"/>
      <c r="I384" s="21">
        <f>IF(OR(H384="",H384=0),"",1/H384)</f>
        <v/>
      </c>
      <c r="J384" s="11">
        <f>IF(OR(G384="",H384=""),"",H384*G384-1)</f>
        <v/>
      </c>
      <c r="K384" s="10">
        <f>IF(OR(G384="",H384="",G384&lt;=1),"",IF(J384&lt;IF(D384="Builder",MinEdgeBuilder,IF(D384="Player",MinEdgePlayer,MinEdgeSingle)),0,ROUND(MIN(IF(D384="Single",KellySingle,KellyBuilder)*(StartBank+SUM(P$1:P383))*J384/(G384-1),IF(D384="Builder",CapBuilder,CapSingle)*Unit),2)))</f>
        <v/>
      </c>
      <c r="L384" s="10" t="n"/>
      <c r="N384" s="10" t="n"/>
      <c r="O384" s="10">
        <f>IF(L384="","",IF(M384="Won",L384*G384,IF(M384="Void",L384,IF(M384="Cash out",N(N384),IF(M384="Lost",0,"")))))</f>
        <v/>
      </c>
      <c r="P384" s="10">
        <f>IF(OR(L384="",M384="",M384="Pending"),"",O384-L384)</f>
        <v/>
      </c>
      <c r="Q384" s="21" t="n"/>
      <c r="R384" s="11">
        <f>IF(OR(G384="",Q384=""),"",G384/Q384-1)</f>
        <v/>
      </c>
      <c r="S384" s="10">
        <f>IF(OR(L384="",J384=""),"",L384*J384)</f>
        <v/>
      </c>
      <c r="T384" s="10">
        <f>IF(P384="","",StartBank+SUM(P$2:P384))</f>
        <v/>
      </c>
    </row>
    <row r="385">
      <c r="A385" s="22" t="n"/>
      <c r="G385" s="21" t="n"/>
      <c r="H385" s="11" t="n"/>
      <c r="I385" s="21">
        <f>IF(OR(H385="",H385=0),"",1/H385)</f>
        <v/>
      </c>
      <c r="J385" s="11">
        <f>IF(OR(G385="",H385=""),"",H385*G385-1)</f>
        <v/>
      </c>
      <c r="K385" s="10">
        <f>IF(OR(G385="",H385="",G385&lt;=1),"",IF(J385&lt;IF(D385="Builder",MinEdgeBuilder,IF(D385="Player",MinEdgePlayer,MinEdgeSingle)),0,ROUND(MIN(IF(D385="Single",KellySingle,KellyBuilder)*(StartBank+SUM(P$1:P384))*J385/(G385-1),IF(D385="Builder",CapBuilder,CapSingle)*Unit),2)))</f>
        <v/>
      </c>
      <c r="L385" s="10" t="n"/>
      <c r="N385" s="10" t="n"/>
      <c r="O385" s="10">
        <f>IF(L385="","",IF(M385="Won",L385*G385,IF(M385="Void",L385,IF(M385="Cash out",N(N385),IF(M385="Lost",0,"")))))</f>
        <v/>
      </c>
      <c r="P385" s="10">
        <f>IF(OR(L385="",M385="",M385="Pending"),"",O385-L385)</f>
        <v/>
      </c>
      <c r="Q385" s="21" t="n"/>
      <c r="R385" s="11">
        <f>IF(OR(G385="",Q385=""),"",G385/Q385-1)</f>
        <v/>
      </c>
      <c r="S385" s="10">
        <f>IF(OR(L385="",J385=""),"",L385*J385)</f>
        <v/>
      </c>
      <c r="T385" s="10">
        <f>IF(P385="","",StartBank+SUM(P$2:P385))</f>
        <v/>
      </c>
    </row>
    <row r="386">
      <c r="A386" s="22" t="n"/>
      <c r="G386" s="21" t="n"/>
      <c r="H386" s="11" t="n"/>
      <c r="I386" s="21">
        <f>IF(OR(H386="",H386=0),"",1/H386)</f>
        <v/>
      </c>
      <c r="J386" s="11">
        <f>IF(OR(G386="",H386=""),"",H386*G386-1)</f>
        <v/>
      </c>
      <c r="K386" s="10">
        <f>IF(OR(G386="",H386="",G386&lt;=1),"",IF(J386&lt;IF(D386="Builder",MinEdgeBuilder,IF(D386="Player",MinEdgePlayer,MinEdgeSingle)),0,ROUND(MIN(IF(D386="Single",KellySingle,KellyBuilder)*(StartBank+SUM(P$1:P385))*J386/(G386-1),IF(D386="Builder",CapBuilder,CapSingle)*Unit),2)))</f>
        <v/>
      </c>
      <c r="L386" s="10" t="n"/>
      <c r="N386" s="10" t="n"/>
      <c r="O386" s="10">
        <f>IF(L386="","",IF(M386="Won",L386*G386,IF(M386="Void",L386,IF(M386="Cash out",N(N386),IF(M386="Lost",0,"")))))</f>
        <v/>
      </c>
      <c r="P386" s="10">
        <f>IF(OR(L386="",M386="",M386="Pending"),"",O386-L386)</f>
        <v/>
      </c>
      <c r="Q386" s="21" t="n"/>
      <c r="R386" s="11">
        <f>IF(OR(G386="",Q386=""),"",G386/Q386-1)</f>
        <v/>
      </c>
      <c r="S386" s="10">
        <f>IF(OR(L386="",J386=""),"",L386*J386)</f>
        <v/>
      </c>
      <c r="T386" s="10">
        <f>IF(P386="","",StartBank+SUM(P$2:P386))</f>
        <v/>
      </c>
    </row>
    <row r="387">
      <c r="A387" s="22" t="n"/>
      <c r="G387" s="21" t="n"/>
      <c r="H387" s="11" t="n"/>
      <c r="I387" s="21">
        <f>IF(OR(H387="",H387=0),"",1/H387)</f>
        <v/>
      </c>
      <c r="J387" s="11">
        <f>IF(OR(G387="",H387=""),"",H387*G387-1)</f>
        <v/>
      </c>
      <c r="K387" s="10">
        <f>IF(OR(G387="",H387="",G387&lt;=1),"",IF(J387&lt;IF(D387="Builder",MinEdgeBuilder,IF(D387="Player",MinEdgePlayer,MinEdgeSingle)),0,ROUND(MIN(IF(D387="Single",KellySingle,KellyBuilder)*(StartBank+SUM(P$1:P386))*J387/(G387-1),IF(D387="Builder",CapBuilder,CapSingle)*Unit),2)))</f>
        <v/>
      </c>
      <c r="L387" s="10" t="n"/>
      <c r="N387" s="10" t="n"/>
      <c r="O387" s="10">
        <f>IF(L387="","",IF(M387="Won",L387*G387,IF(M387="Void",L387,IF(M387="Cash out",N(N387),IF(M387="Lost",0,"")))))</f>
        <v/>
      </c>
      <c r="P387" s="10">
        <f>IF(OR(L387="",M387="",M387="Pending"),"",O387-L387)</f>
        <v/>
      </c>
      <c r="Q387" s="21" t="n"/>
      <c r="R387" s="11">
        <f>IF(OR(G387="",Q387=""),"",G387/Q387-1)</f>
        <v/>
      </c>
      <c r="S387" s="10">
        <f>IF(OR(L387="",J387=""),"",L387*J387)</f>
        <v/>
      </c>
      <c r="T387" s="10">
        <f>IF(P387="","",StartBank+SUM(P$2:P387))</f>
        <v/>
      </c>
    </row>
    <row r="388">
      <c r="A388" s="22" t="n"/>
      <c r="G388" s="21" t="n"/>
      <c r="H388" s="11" t="n"/>
      <c r="I388" s="21">
        <f>IF(OR(H388="",H388=0),"",1/H388)</f>
        <v/>
      </c>
      <c r="J388" s="11">
        <f>IF(OR(G388="",H388=""),"",H388*G388-1)</f>
        <v/>
      </c>
      <c r="K388" s="10">
        <f>IF(OR(G388="",H388="",G388&lt;=1),"",IF(J388&lt;IF(D388="Builder",MinEdgeBuilder,IF(D388="Player",MinEdgePlayer,MinEdgeSingle)),0,ROUND(MIN(IF(D388="Single",KellySingle,KellyBuilder)*(StartBank+SUM(P$1:P387))*J388/(G388-1),IF(D388="Builder",CapBuilder,CapSingle)*Unit),2)))</f>
        <v/>
      </c>
      <c r="L388" s="10" t="n"/>
      <c r="N388" s="10" t="n"/>
      <c r="O388" s="10">
        <f>IF(L388="","",IF(M388="Won",L388*G388,IF(M388="Void",L388,IF(M388="Cash out",N(N388),IF(M388="Lost",0,"")))))</f>
        <v/>
      </c>
      <c r="P388" s="10">
        <f>IF(OR(L388="",M388="",M388="Pending"),"",O388-L388)</f>
        <v/>
      </c>
      <c r="Q388" s="21" t="n"/>
      <c r="R388" s="11">
        <f>IF(OR(G388="",Q388=""),"",G388/Q388-1)</f>
        <v/>
      </c>
      <c r="S388" s="10">
        <f>IF(OR(L388="",J388=""),"",L388*J388)</f>
        <v/>
      </c>
      <c r="T388" s="10">
        <f>IF(P388="","",StartBank+SUM(P$2:P388))</f>
        <v/>
      </c>
    </row>
    <row r="389">
      <c r="A389" s="22" t="n"/>
      <c r="G389" s="21" t="n"/>
      <c r="H389" s="11" t="n"/>
      <c r="I389" s="21">
        <f>IF(OR(H389="",H389=0),"",1/H389)</f>
        <v/>
      </c>
      <c r="J389" s="11">
        <f>IF(OR(G389="",H389=""),"",H389*G389-1)</f>
        <v/>
      </c>
      <c r="K389" s="10">
        <f>IF(OR(G389="",H389="",G389&lt;=1),"",IF(J389&lt;IF(D389="Builder",MinEdgeBuilder,IF(D389="Player",MinEdgePlayer,MinEdgeSingle)),0,ROUND(MIN(IF(D389="Single",KellySingle,KellyBuilder)*(StartBank+SUM(P$1:P388))*J389/(G389-1),IF(D389="Builder",CapBuilder,CapSingle)*Unit),2)))</f>
        <v/>
      </c>
      <c r="L389" s="10" t="n"/>
      <c r="N389" s="10" t="n"/>
      <c r="O389" s="10">
        <f>IF(L389="","",IF(M389="Won",L389*G389,IF(M389="Void",L389,IF(M389="Cash out",N(N389),IF(M389="Lost",0,"")))))</f>
        <v/>
      </c>
      <c r="P389" s="10">
        <f>IF(OR(L389="",M389="",M389="Pending"),"",O389-L389)</f>
        <v/>
      </c>
      <c r="Q389" s="21" t="n"/>
      <c r="R389" s="11">
        <f>IF(OR(G389="",Q389=""),"",G389/Q389-1)</f>
        <v/>
      </c>
      <c r="S389" s="10">
        <f>IF(OR(L389="",J389=""),"",L389*J389)</f>
        <v/>
      </c>
      <c r="T389" s="10">
        <f>IF(P389="","",StartBank+SUM(P$2:P389))</f>
        <v/>
      </c>
    </row>
    <row r="390">
      <c r="A390" s="22" t="n"/>
      <c r="G390" s="21" t="n"/>
      <c r="H390" s="11" t="n"/>
      <c r="I390" s="21">
        <f>IF(OR(H390="",H390=0),"",1/H390)</f>
        <v/>
      </c>
      <c r="J390" s="11">
        <f>IF(OR(G390="",H390=""),"",H390*G390-1)</f>
        <v/>
      </c>
      <c r="K390" s="10">
        <f>IF(OR(G390="",H390="",G390&lt;=1),"",IF(J390&lt;IF(D390="Builder",MinEdgeBuilder,IF(D390="Player",MinEdgePlayer,MinEdgeSingle)),0,ROUND(MIN(IF(D390="Single",KellySingle,KellyBuilder)*(StartBank+SUM(P$1:P389))*J390/(G390-1),IF(D390="Builder",CapBuilder,CapSingle)*Unit),2)))</f>
        <v/>
      </c>
      <c r="L390" s="10" t="n"/>
      <c r="N390" s="10" t="n"/>
      <c r="O390" s="10">
        <f>IF(L390="","",IF(M390="Won",L390*G390,IF(M390="Void",L390,IF(M390="Cash out",N(N390),IF(M390="Lost",0,"")))))</f>
        <v/>
      </c>
      <c r="P390" s="10">
        <f>IF(OR(L390="",M390="",M390="Pending"),"",O390-L390)</f>
        <v/>
      </c>
      <c r="Q390" s="21" t="n"/>
      <c r="R390" s="11">
        <f>IF(OR(G390="",Q390=""),"",G390/Q390-1)</f>
        <v/>
      </c>
      <c r="S390" s="10">
        <f>IF(OR(L390="",J390=""),"",L390*J390)</f>
        <v/>
      </c>
      <c r="T390" s="10">
        <f>IF(P390="","",StartBank+SUM(P$2:P390))</f>
        <v/>
      </c>
    </row>
    <row r="391">
      <c r="A391" s="22" t="n"/>
      <c r="G391" s="21" t="n"/>
      <c r="H391" s="11" t="n"/>
      <c r="I391" s="21">
        <f>IF(OR(H391="",H391=0),"",1/H391)</f>
        <v/>
      </c>
      <c r="J391" s="11">
        <f>IF(OR(G391="",H391=""),"",H391*G391-1)</f>
        <v/>
      </c>
      <c r="K391" s="10">
        <f>IF(OR(G391="",H391="",G391&lt;=1),"",IF(J391&lt;IF(D391="Builder",MinEdgeBuilder,IF(D391="Player",MinEdgePlayer,MinEdgeSingle)),0,ROUND(MIN(IF(D391="Single",KellySingle,KellyBuilder)*(StartBank+SUM(P$1:P390))*J391/(G391-1),IF(D391="Builder",CapBuilder,CapSingle)*Unit),2)))</f>
        <v/>
      </c>
      <c r="L391" s="10" t="n"/>
      <c r="N391" s="10" t="n"/>
      <c r="O391" s="10">
        <f>IF(L391="","",IF(M391="Won",L391*G391,IF(M391="Void",L391,IF(M391="Cash out",N(N391),IF(M391="Lost",0,"")))))</f>
        <v/>
      </c>
      <c r="P391" s="10">
        <f>IF(OR(L391="",M391="",M391="Pending"),"",O391-L391)</f>
        <v/>
      </c>
      <c r="Q391" s="21" t="n"/>
      <c r="R391" s="11">
        <f>IF(OR(G391="",Q391=""),"",G391/Q391-1)</f>
        <v/>
      </c>
      <c r="S391" s="10">
        <f>IF(OR(L391="",J391=""),"",L391*J391)</f>
        <v/>
      </c>
      <c r="T391" s="10">
        <f>IF(P391="","",StartBank+SUM(P$2:P391))</f>
        <v/>
      </c>
    </row>
    <row r="392">
      <c r="A392" s="22" t="n"/>
      <c r="G392" s="21" t="n"/>
      <c r="H392" s="11" t="n"/>
      <c r="I392" s="21">
        <f>IF(OR(H392="",H392=0),"",1/H392)</f>
        <v/>
      </c>
      <c r="J392" s="11">
        <f>IF(OR(G392="",H392=""),"",H392*G392-1)</f>
        <v/>
      </c>
      <c r="K392" s="10">
        <f>IF(OR(G392="",H392="",G392&lt;=1),"",IF(J392&lt;IF(D392="Builder",MinEdgeBuilder,IF(D392="Player",MinEdgePlayer,MinEdgeSingle)),0,ROUND(MIN(IF(D392="Single",KellySingle,KellyBuilder)*(StartBank+SUM(P$1:P391))*J392/(G392-1),IF(D392="Builder",CapBuilder,CapSingle)*Unit),2)))</f>
        <v/>
      </c>
      <c r="L392" s="10" t="n"/>
      <c r="N392" s="10" t="n"/>
      <c r="O392" s="10">
        <f>IF(L392="","",IF(M392="Won",L392*G392,IF(M392="Void",L392,IF(M392="Cash out",N(N392),IF(M392="Lost",0,"")))))</f>
        <v/>
      </c>
      <c r="P392" s="10">
        <f>IF(OR(L392="",M392="",M392="Pending"),"",O392-L392)</f>
        <v/>
      </c>
      <c r="Q392" s="21" t="n"/>
      <c r="R392" s="11">
        <f>IF(OR(G392="",Q392=""),"",G392/Q392-1)</f>
        <v/>
      </c>
      <c r="S392" s="10">
        <f>IF(OR(L392="",J392=""),"",L392*J392)</f>
        <v/>
      </c>
      <c r="T392" s="10">
        <f>IF(P392="","",StartBank+SUM(P$2:P392))</f>
        <v/>
      </c>
    </row>
    <row r="393">
      <c r="A393" s="22" t="n"/>
      <c r="G393" s="21" t="n"/>
      <c r="H393" s="11" t="n"/>
      <c r="I393" s="21">
        <f>IF(OR(H393="",H393=0),"",1/H393)</f>
        <v/>
      </c>
      <c r="J393" s="11">
        <f>IF(OR(G393="",H393=""),"",H393*G393-1)</f>
        <v/>
      </c>
      <c r="K393" s="10">
        <f>IF(OR(G393="",H393="",G393&lt;=1),"",IF(J393&lt;IF(D393="Builder",MinEdgeBuilder,IF(D393="Player",MinEdgePlayer,MinEdgeSingle)),0,ROUND(MIN(IF(D393="Single",KellySingle,KellyBuilder)*(StartBank+SUM(P$1:P392))*J393/(G393-1),IF(D393="Builder",CapBuilder,CapSingle)*Unit),2)))</f>
        <v/>
      </c>
      <c r="L393" s="10" t="n"/>
      <c r="N393" s="10" t="n"/>
      <c r="O393" s="10">
        <f>IF(L393="","",IF(M393="Won",L393*G393,IF(M393="Void",L393,IF(M393="Cash out",N(N393),IF(M393="Lost",0,"")))))</f>
        <v/>
      </c>
      <c r="P393" s="10">
        <f>IF(OR(L393="",M393="",M393="Pending"),"",O393-L393)</f>
        <v/>
      </c>
      <c r="Q393" s="21" t="n"/>
      <c r="R393" s="11">
        <f>IF(OR(G393="",Q393=""),"",G393/Q393-1)</f>
        <v/>
      </c>
      <c r="S393" s="10">
        <f>IF(OR(L393="",J393=""),"",L393*J393)</f>
        <v/>
      </c>
      <c r="T393" s="10">
        <f>IF(P393="","",StartBank+SUM(P$2:P393))</f>
        <v/>
      </c>
    </row>
    <row r="394">
      <c r="A394" s="22" t="n"/>
      <c r="G394" s="21" t="n"/>
      <c r="H394" s="11" t="n"/>
      <c r="I394" s="21">
        <f>IF(OR(H394="",H394=0),"",1/H394)</f>
        <v/>
      </c>
      <c r="J394" s="11">
        <f>IF(OR(G394="",H394=""),"",H394*G394-1)</f>
        <v/>
      </c>
      <c r="K394" s="10">
        <f>IF(OR(G394="",H394="",G394&lt;=1),"",IF(J394&lt;IF(D394="Builder",MinEdgeBuilder,IF(D394="Player",MinEdgePlayer,MinEdgeSingle)),0,ROUND(MIN(IF(D394="Single",KellySingle,KellyBuilder)*(StartBank+SUM(P$1:P393))*J394/(G394-1),IF(D394="Builder",CapBuilder,CapSingle)*Unit),2)))</f>
        <v/>
      </c>
      <c r="L394" s="10" t="n"/>
      <c r="N394" s="10" t="n"/>
      <c r="O394" s="10">
        <f>IF(L394="","",IF(M394="Won",L394*G394,IF(M394="Void",L394,IF(M394="Cash out",N(N394),IF(M394="Lost",0,"")))))</f>
        <v/>
      </c>
      <c r="P394" s="10">
        <f>IF(OR(L394="",M394="",M394="Pending"),"",O394-L394)</f>
        <v/>
      </c>
      <c r="Q394" s="21" t="n"/>
      <c r="R394" s="11">
        <f>IF(OR(G394="",Q394=""),"",G394/Q394-1)</f>
        <v/>
      </c>
      <c r="S394" s="10">
        <f>IF(OR(L394="",J394=""),"",L394*J394)</f>
        <v/>
      </c>
      <c r="T394" s="10">
        <f>IF(P394="","",StartBank+SUM(P$2:P394))</f>
        <v/>
      </c>
    </row>
    <row r="395">
      <c r="A395" s="22" t="n"/>
      <c r="G395" s="21" t="n"/>
      <c r="H395" s="11" t="n"/>
      <c r="I395" s="21">
        <f>IF(OR(H395="",H395=0),"",1/H395)</f>
        <v/>
      </c>
      <c r="J395" s="11">
        <f>IF(OR(G395="",H395=""),"",H395*G395-1)</f>
        <v/>
      </c>
      <c r="K395" s="10">
        <f>IF(OR(G395="",H395="",G395&lt;=1),"",IF(J395&lt;IF(D395="Builder",MinEdgeBuilder,IF(D395="Player",MinEdgePlayer,MinEdgeSingle)),0,ROUND(MIN(IF(D395="Single",KellySingle,KellyBuilder)*(StartBank+SUM(P$1:P394))*J395/(G395-1),IF(D395="Builder",CapBuilder,CapSingle)*Unit),2)))</f>
        <v/>
      </c>
      <c r="L395" s="10" t="n"/>
      <c r="N395" s="10" t="n"/>
      <c r="O395" s="10">
        <f>IF(L395="","",IF(M395="Won",L395*G395,IF(M395="Void",L395,IF(M395="Cash out",N(N395),IF(M395="Lost",0,"")))))</f>
        <v/>
      </c>
      <c r="P395" s="10">
        <f>IF(OR(L395="",M395="",M395="Pending"),"",O395-L395)</f>
        <v/>
      </c>
      <c r="Q395" s="21" t="n"/>
      <c r="R395" s="11">
        <f>IF(OR(G395="",Q395=""),"",G395/Q395-1)</f>
        <v/>
      </c>
      <c r="S395" s="10">
        <f>IF(OR(L395="",J395=""),"",L395*J395)</f>
        <v/>
      </c>
      <c r="T395" s="10">
        <f>IF(P395="","",StartBank+SUM(P$2:P395))</f>
        <v/>
      </c>
    </row>
    <row r="396">
      <c r="A396" s="22" t="n"/>
      <c r="G396" s="21" t="n"/>
      <c r="H396" s="11" t="n"/>
      <c r="I396" s="21">
        <f>IF(OR(H396="",H396=0),"",1/H396)</f>
        <v/>
      </c>
      <c r="J396" s="11">
        <f>IF(OR(G396="",H396=""),"",H396*G396-1)</f>
        <v/>
      </c>
      <c r="K396" s="10">
        <f>IF(OR(G396="",H396="",G396&lt;=1),"",IF(J396&lt;IF(D396="Builder",MinEdgeBuilder,IF(D396="Player",MinEdgePlayer,MinEdgeSingle)),0,ROUND(MIN(IF(D396="Single",KellySingle,KellyBuilder)*(StartBank+SUM(P$1:P395))*J396/(G396-1),IF(D396="Builder",CapBuilder,CapSingle)*Unit),2)))</f>
        <v/>
      </c>
      <c r="L396" s="10" t="n"/>
      <c r="N396" s="10" t="n"/>
      <c r="O396" s="10">
        <f>IF(L396="","",IF(M396="Won",L396*G396,IF(M396="Void",L396,IF(M396="Cash out",N(N396),IF(M396="Lost",0,"")))))</f>
        <v/>
      </c>
      <c r="P396" s="10">
        <f>IF(OR(L396="",M396="",M396="Pending"),"",O396-L396)</f>
        <v/>
      </c>
      <c r="Q396" s="21" t="n"/>
      <c r="R396" s="11">
        <f>IF(OR(G396="",Q396=""),"",G396/Q396-1)</f>
        <v/>
      </c>
      <c r="S396" s="10">
        <f>IF(OR(L396="",J396=""),"",L396*J396)</f>
        <v/>
      </c>
      <c r="T396" s="10">
        <f>IF(P396="","",StartBank+SUM(P$2:P396))</f>
        <v/>
      </c>
    </row>
    <row r="397">
      <c r="A397" s="22" t="n"/>
      <c r="G397" s="21" t="n"/>
      <c r="H397" s="11" t="n"/>
      <c r="I397" s="21">
        <f>IF(OR(H397="",H397=0),"",1/H397)</f>
        <v/>
      </c>
      <c r="J397" s="11">
        <f>IF(OR(G397="",H397=""),"",H397*G397-1)</f>
        <v/>
      </c>
      <c r="K397" s="10">
        <f>IF(OR(G397="",H397="",G397&lt;=1),"",IF(J397&lt;IF(D397="Builder",MinEdgeBuilder,IF(D397="Player",MinEdgePlayer,MinEdgeSingle)),0,ROUND(MIN(IF(D397="Single",KellySingle,KellyBuilder)*(StartBank+SUM(P$1:P396))*J397/(G397-1),IF(D397="Builder",CapBuilder,CapSingle)*Unit),2)))</f>
        <v/>
      </c>
      <c r="L397" s="10" t="n"/>
      <c r="N397" s="10" t="n"/>
      <c r="O397" s="10">
        <f>IF(L397="","",IF(M397="Won",L397*G397,IF(M397="Void",L397,IF(M397="Cash out",N(N397),IF(M397="Lost",0,"")))))</f>
        <v/>
      </c>
      <c r="P397" s="10">
        <f>IF(OR(L397="",M397="",M397="Pending"),"",O397-L397)</f>
        <v/>
      </c>
      <c r="Q397" s="21" t="n"/>
      <c r="R397" s="11">
        <f>IF(OR(G397="",Q397=""),"",G397/Q397-1)</f>
        <v/>
      </c>
      <c r="S397" s="10">
        <f>IF(OR(L397="",J397=""),"",L397*J397)</f>
        <v/>
      </c>
      <c r="T397" s="10">
        <f>IF(P397="","",StartBank+SUM(P$2:P397))</f>
        <v/>
      </c>
    </row>
    <row r="398">
      <c r="A398" s="22" t="n"/>
      <c r="G398" s="21" t="n"/>
      <c r="H398" s="11" t="n"/>
      <c r="I398" s="21">
        <f>IF(OR(H398="",H398=0),"",1/H398)</f>
        <v/>
      </c>
      <c r="J398" s="11">
        <f>IF(OR(G398="",H398=""),"",H398*G398-1)</f>
        <v/>
      </c>
      <c r="K398" s="10">
        <f>IF(OR(G398="",H398="",G398&lt;=1),"",IF(J398&lt;IF(D398="Builder",MinEdgeBuilder,IF(D398="Player",MinEdgePlayer,MinEdgeSingle)),0,ROUND(MIN(IF(D398="Single",KellySingle,KellyBuilder)*(StartBank+SUM(P$1:P397))*J398/(G398-1),IF(D398="Builder",CapBuilder,CapSingle)*Unit),2)))</f>
        <v/>
      </c>
      <c r="L398" s="10" t="n"/>
      <c r="N398" s="10" t="n"/>
      <c r="O398" s="10">
        <f>IF(L398="","",IF(M398="Won",L398*G398,IF(M398="Void",L398,IF(M398="Cash out",N(N398),IF(M398="Lost",0,"")))))</f>
        <v/>
      </c>
      <c r="P398" s="10">
        <f>IF(OR(L398="",M398="",M398="Pending"),"",O398-L398)</f>
        <v/>
      </c>
      <c r="Q398" s="21" t="n"/>
      <c r="R398" s="11">
        <f>IF(OR(G398="",Q398=""),"",G398/Q398-1)</f>
        <v/>
      </c>
      <c r="S398" s="10">
        <f>IF(OR(L398="",J398=""),"",L398*J398)</f>
        <v/>
      </c>
      <c r="T398" s="10">
        <f>IF(P398="","",StartBank+SUM(P$2:P398))</f>
        <v/>
      </c>
    </row>
    <row r="399">
      <c r="A399" s="22" t="n"/>
      <c r="G399" s="21" t="n"/>
      <c r="H399" s="11" t="n"/>
      <c r="I399" s="21">
        <f>IF(OR(H399="",H399=0),"",1/H399)</f>
        <v/>
      </c>
      <c r="J399" s="11">
        <f>IF(OR(G399="",H399=""),"",H399*G399-1)</f>
        <v/>
      </c>
      <c r="K399" s="10">
        <f>IF(OR(G399="",H399="",G399&lt;=1),"",IF(J399&lt;IF(D399="Builder",MinEdgeBuilder,IF(D399="Player",MinEdgePlayer,MinEdgeSingle)),0,ROUND(MIN(IF(D399="Single",KellySingle,KellyBuilder)*(StartBank+SUM(P$1:P398))*J399/(G399-1),IF(D399="Builder",CapBuilder,CapSingle)*Unit),2)))</f>
        <v/>
      </c>
      <c r="L399" s="10" t="n"/>
      <c r="N399" s="10" t="n"/>
      <c r="O399" s="10">
        <f>IF(L399="","",IF(M399="Won",L399*G399,IF(M399="Void",L399,IF(M399="Cash out",N(N399),IF(M399="Lost",0,"")))))</f>
        <v/>
      </c>
      <c r="P399" s="10">
        <f>IF(OR(L399="",M399="",M399="Pending"),"",O399-L399)</f>
        <v/>
      </c>
      <c r="Q399" s="21" t="n"/>
      <c r="R399" s="11">
        <f>IF(OR(G399="",Q399=""),"",G399/Q399-1)</f>
        <v/>
      </c>
      <c r="S399" s="10">
        <f>IF(OR(L399="",J399=""),"",L399*J399)</f>
        <v/>
      </c>
      <c r="T399" s="10">
        <f>IF(P399="","",StartBank+SUM(P$2:P399))</f>
        <v/>
      </c>
    </row>
    <row r="400">
      <c r="A400" s="22" t="n"/>
      <c r="G400" s="21" t="n"/>
      <c r="H400" s="11" t="n"/>
      <c r="I400" s="21">
        <f>IF(OR(H400="",H400=0),"",1/H400)</f>
        <v/>
      </c>
      <c r="J400" s="11">
        <f>IF(OR(G400="",H400=""),"",H400*G400-1)</f>
        <v/>
      </c>
      <c r="K400" s="10">
        <f>IF(OR(G400="",H400="",G400&lt;=1),"",IF(J400&lt;IF(D400="Builder",MinEdgeBuilder,IF(D400="Player",MinEdgePlayer,MinEdgeSingle)),0,ROUND(MIN(IF(D400="Single",KellySingle,KellyBuilder)*(StartBank+SUM(P$1:P399))*J400/(G400-1),IF(D400="Builder",CapBuilder,CapSingle)*Unit),2)))</f>
        <v/>
      </c>
      <c r="L400" s="10" t="n"/>
      <c r="N400" s="10" t="n"/>
      <c r="O400" s="10">
        <f>IF(L400="","",IF(M400="Won",L400*G400,IF(M400="Void",L400,IF(M400="Cash out",N(N400),IF(M400="Lost",0,"")))))</f>
        <v/>
      </c>
      <c r="P400" s="10">
        <f>IF(OR(L400="",M400="",M400="Pending"),"",O400-L400)</f>
        <v/>
      </c>
      <c r="Q400" s="21" t="n"/>
      <c r="R400" s="11">
        <f>IF(OR(G400="",Q400=""),"",G400/Q400-1)</f>
        <v/>
      </c>
      <c r="S400" s="10">
        <f>IF(OR(L400="",J400=""),"",L400*J400)</f>
        <v/>
      </c>
      <c r="T400" s="10">
        <f>IF(P400="","",StartBank+SUM(P$2:P400))</f>
        <v/>
      </c>
    </row>
    <row r="401">
      <c r="A401" s="22" t="n"/>
      <c r="G401" s="21" t="n"/>
      <c r="H401" s="11" t="n"/>
      <c r="I401" s="21">
        <f>IF(OR(H401="",H401=0),"",1/H401)</f>
        <v/>
      </c>
      <c r="J401" s="11">
        <f>IF(OR(G401="",H401=""),"",H401*G401-1)</f>
        <v/>
      </c>
      <c r="K401" s="10">
        <f>IF(OR(G401="",H401="",G401&lt;=1),"",IF(J401&lt;IF(D401="Builder",MinEdgeBuilder,IF(D401="Player",MinEdgePlayer,MinEdgeSingle)),0,ROUND(MIN(IF(D401="Single",KellySingle,KellyBuilder)*(StartBank+SUM(P$1:P400))*J401/(G401-1),IF(D401="Builder",CapBuilder,CapSingle)*Unit),2)))</f>
        <v/>
      </c>
      <c r="L401" s="10" t="n"/>
      <c r="N401" s="10" t="n"/>
      <c r="O401" s="10">
        <f>IF(L401="","",IF(M401="Won",L401*G401,IF(M401="Void",L401,IF(M401="Cash out",N(N401),IF(M401="Lost",0,"")))))</f>
        <v/>
      </c>
      <c r="P401" s="10">
        <f>IF(OR(L401="",M401="",M401="Pending"),"",O401-L401)</f>
        <v/>
      </c>
      <c r="Q401" s="21" t="n"/>
      <c r="R401" s="11">
        <f>IF(OR(G401="",Q401=""),"",G401/Q401-1)</f>
        <v/>
      </c>
      <c r="S401" s="10">
        <f>IF(OR(L401="",J401=""),"",L401*J401)</f>
        <v/>
      </c>
      <c r="T401" s="10">
        <f>IF(P401="","",StartBank+SUM(P$2:P401))</f>
        <v/>
      </c>
    </row>
    <row r="402">
      <c r="A402" s="22" t="n"/>
      <c r="G402" s="21" t="n"/>
      <c r="H402" s="11" t="n"/>
      <c r="I402" s="21">
        <f>IF(OR(H402="",H402=0),"",1/H402)</f>
        <v/>
      </c>
      <c r="J402" s="11">
        <f>IF(OR(G402="",H402=""),"",H402*G402-1)</f>
        <v/>
      </c>
      <c r="K402" s="10">
        <f>IF(OR(G402="",H402="",G402&lt;=1),"",IF(J402&lt;IF(D402="Builder",MinEdgeBuilder,IF(D402="Player",MinEdgePlayer,MinEdgeSingle)),0,ROUND(MIN(IF(D402="Single",KellySingle,KellyBuilder)*(StartBank+SUM(P$1:P401))*J402/(G402-1),IF(D402="Builder",CapBuilder,CapSingle)*Unit),2)))</f>
        <v/>
      </c>
      <c r="L402" s="10" t="n"/>
      <c r="N402" s="10" t="n"/>
      <c r="O402" s="10">
        <f>IF(L402="","",IF(M402="Won",L402*G402,IF(M402="Void",L402,IF(M402="Cash out",N(N402),IF(M402="Lost",0,"")))))</f>
        <v/>
      </c>
      <c r="P402" s="10">
        <f>IF(OR(L402="",M402="",M402="Pending"),"",O402-L402)</f>
        <v/>
      </c>
      <c r="Q402" s="21" t="n"/>
      <c r="R402" s="11">
        <f>IF(OR(G402="",Q402=""),"",G402/Q402-1)</f>
        <v/>
      </c>
      <c r="S402" s="10">
        <f>IF(OR(L402="",J402=""),"",L402*J402)</f>
        <v/>
      </c>
      <c r="T402" s="10">
        <f>IF(P402="","",StartBank+SUM(P$2:P402))</f>
        <v/>
      </c>
    </row>
    <row r="403">
      <c r="A403" s="22" t="n"/>
      <c r="G403" s="21" t="n"/>
      <c r="H403" s="11" t="n"/>
      <c r="I403" s="21">
        <f>IF(OR(H403="",H403=0),"",1/H403)</f>
        <v/>
      </c>
      <c r="J403" s="11">
        <f>IF(OR(G403="",H403=""),"",H403*G403-1)</f>
        <v/>
      </c>
      <c r="K403" s="10">
        <f>IF(OR(G403="",H403="",G403&lt;=1),"",IF(J403&lt;IF(D403="Builder",MinEdgeBuilder,IF(D403="Player",MinEdgePlayer,MinEdgeSingle)),0,ROUND(MIN(IF(D403="Single",KellySingle,KellyBuilder)*(StartBank+SUM(P$1:P402))*J403/(G403-1),IF(D403="Builder",CapBuilder,CapSingle)*Unit),2)))</f>
        <v/>
      </c>
      <c r="L403" s="10" t="n"/>
      <c r="N403" s="10" t="n"/>
      <c r="O403" s="10">
        <f>IF(L403="","",IF(M403="Won",L403*G403,IF(M403="Void",L403,IF(M403="Cash out",N(N403),IF(M403="Lost",0,"")))))</f>
        <v/>
      </c>
      <c r="P403" s="10">
        <f>IF(OR(L403="",M403="",M403="Pending"),"",O403-L403)</f>
        <v/>
      </c>
      <c r="Q403" s="21" t="n"/>
      <c r="R403" s="11">
        <f>IF(OR(G403="",Q403=""),"",G403/Q403-1)</f>
        <v/>
      </c>
      <c r="S403" s="10">
        <f>IF(OR(L403="",J403=""),"",L403*J403)</f>
        <v/>
      </c>
      <c r="T403" s="10">
        <f>IF(P403="","",StartBank+SUM(P$2:P403))</f>
        <v/>
      </c>
    </row>
    <row r="404">
      <c r="A404" s="22" t="n"/>
      <c r="G404" s="21" t="n"/>
      <c r="H404" s="11" t="n"/>
      <c r="I404" s="21">
        <f>IF(OR(H404="",H404=0),"",1/H404)</f>
        <v/>
      </c>
      <c r="J404" s="11">
        <f>IF(OR(G404="",H404=""),"",H404*G404-1)</f>
        <v/>
      </c>
      <c r="K404" s="10">
        <f>IF(OR(G404="",H404="",G404&lt;=1),"",IF(J404&lt;IF(D404="Builder",MinEdgeBuilder,IF(D404="Player",MinEdgePlayer,MinEdgeSingle)),0,ROUND(MIN(IF(D404="Single",KellySingle,KellyBuilder)*(StartBank+SUM(P$1:P403))*J404/(G404-1),IF(D404="Builder",CapBuilder,CapSingle)*Unit),2)))</f>
        <v/>
      </c>
      <c r="L404" s="10" t="n"/>
      <c r="N404" s="10" t="n"/>
      <c r="O404" s="10">
        <f>IF(L404="","",IF(M404="Won",L404*G404,IF(M404="Void",L404,IF(M404="Cash out",N(N404),IF(M404="Lost",0,"")))))</f>
        <v/>
      </c>
      <c r="P404" s="10">
        <f>IF(OR(L404="",M404="",M404="Pending"),"",O404-L404)</f>
        <v/>
      </c>
      <c r="Q404" s="21" t="n"/>
      <c r="R404" s="11">
        <f>IF(OR(G404="",Q404=""),"",G404/Q404-1)</f>
        <v/>
      </c>
      <c r="S404" s="10">
        <f>IF(OR(L404="",J404=""),"",L404*J404)</f>
        <v/>
      </c>
      <c r="T404" s="10">
        <f>IF(P404="","",StartBank+SUM(P$2:P404))</f>
        <v/>
      </c>
    </row>
    <row r="405">
      <c r="A405" s="22" t="n"/>
      <c r="G405" s="21" t="n"/>
      <c r="H405" s="11" t="n"/>
      <c r="I405" s="21">
        <f>IF(OR(H405="",H405=0),"",1/H405)</f>
        <v/>
      </c>
      <c r="J405" s="11">
        <f>IF(OR(G405="",H405=""),"",H405*G405-1)</f>
        <v/>
      </c>
      <c r="K405" s="10">
        <f>IF(OR(G405="",H405="",G405&lt;=1),"",IF(J405&lt;IF(D405="Builder",MinEdgeBuilder,IF(D405="Player",MinEdgePlayer,MinEdgeSingle)),0,ROUND(MIN(IF(D405="Single",KellySingle,KellyBuilder)*(StartBank+SUM(P$1:P404))*J405/(G405-1),IF(D405="Builder",CapBuilder,CapSingle)*Unit),2)))</f>
        <v/>
      </c>
      <c r="L405" s="10" t="n"/>
      <c r="N405" s="10" t="n"/>
      <c r="O405" s="10">
        <f>IF(L405="","",IF(M405="Won",L405*G405,IF(M405="Void",L405,IF(M405="Cash out",N(N405),IF(M405="Lost",0,"")))))</f>
        <v/>
      </c>
      <c r="P405" s="10">
        <f>IF(OR(L405="",M405="",M405="Pending"),"",O405-L405)</f>
        <v/>
      </c>
      <c r="Q405" s="21" t="n"/>
      <c r="R405" s="11">
        <f>IF(OR(G405="",Q405=""),"",G405/Q405-1)</f>
        <v/>
      </c>
      <c r="S405" s="10">
        <f>IF(OR(L405="",J405=""),"",L405*J405)</f>
        <v/>
      </c>
      <c r="T405" s="10">
        <f>IF(P405="","",StartBank+SUM(P$2:P405))</f>
        <v/>
      </c>
    </row>
    <row r="406">
      <c r="A406" s="22" t="n"/>
      <c r="G406" s="21" t="n"/>
      <c r="H406" s="11" t="n"/>
      <c r="I406" s="21">
        <f>IF(OR(H406="",H406=0),"",1/H406)</f>
        <v/>
      </c>
      <c r="J406" s="11">
        <f>IF(OR(G406="",H406=""),"",H406*G406-1)</f>
        <v/>
      </c>
      <c r="K406" s="10">
        <f>IF(OR(G406="",H406="",G406&lt;=1),"",IF(J406&lt;IF(D406="Builder",MinEdgeBuilder,IF(D406="Player",MinEdgePlayer,MinEdgeSingle)),0,ROUND(MIN(IF(D406="Single",KellySingle,KellyBuilder)*(StartBank+SUM(P$1:P405))*J406/(G406-1),IF(D406="Builder",CapBuilder,CapSingle)*Unit),2)))</f>
        <v/>
      </c>
      <c r="L406" s="10" t="n"/>
      <c r="N406" s="10" t="n"/>
      <c r="O406" s="10">
        <f>IF(L406="","",IF(M406="Won",L406*G406,IF(M406="Void",L406,IF(M406="Cash out",N(N406),IF(M406="Lost",0,"")))))</f>
        <v/>
      </c>
      <c r="P406" s="10">
        <f>IF(OR(L406="",M406="",M406="Pending"),"",O406-L406)</f>
        <v/>
      </c>
      <c r="Q406" s="21" t="n"/>
      <c r="R406" s="11">
        <f>IF(OR(G406="",Q406=""),"",G406/Q406-1)</f>
        <v/>
      </c>
      <c r="S406" s="10">
        <f>IF(OR(L406="",J406=""),"",L406*J406)</f>
        <v/>
      </c>
      <c r="T406" s="10">
        <f>IF(P406="","",StartBank+SUM(P$2:P406))</f>
        <v/>
      </c>
    </row>
    <row r="407">
      <c r="A407" s="22" t="n"/>
      <c r="G407" s="21" t="n"/>
      <c r="H407" s="11" t="n"/>
      <c r="I407" s="21">
        <f>IF(OR(H407="",H407=0),"",1/H407)</f>
        <v/>
      </c>
      <c r="J407" s="11">
        <f>IF(OR(G407="",H407=""),"",H407*G407-1)</f>
        <v/>
      </c>
      <c r="K407" s="10">
        <f>IF(OR(G407="",H407="",G407&lt;=1),"",IF(J407&lt;IF(D407="Builder",MinEdgeBuilder,IF(D407="Player",MinEdgePlayer,MinEdgeSingle)),0,ROUND(MIN(IF(D407="Single",KellySingle,KellyBuilder)*(StartBank+SUM(P$1:P406))*J407/(G407-1),IF(D407="Builder",CapBuilder,CapSingle)*Unit),2)))</f>
        <v/>
      </c>
      <c r="L407" s="10" t="n"/>
      <c r="N407" s="10" t="n"/>
      <c r="O407" s="10">
        <f>IF(L407="","",IF(M407="Won",L407*G407,IF(M407="Void",L407,IF(M407="Cash out",N(N407),IF(M407="Lost",0,"")))))</f>
        <v/>
      </c>
      <c r="P407" s="10">
        <f>IF(OR(L407="",M407="",M407="Pending"),"",O407-L407)</f>
        <v/>
      </c>
      <c r="Q407" s="21" t="n"/>
      <c r="R407" s="11">
        <f>IF(OR(G407="",Q407=""),"",G407/Q407-1)</f>
        <v/>
      </c>
      <c r="S407" s="10">
        <f>IF(OR(L407="",J407=""),"",L407*J407)</f>
        <v/>
      </c>
      <c r="T407" s="10">
        <f>IF(P407="","",StartBank+SUM(P$2:P407))</f>
        <v/>
      </c>
    </row>
    <row r="408">
      <c r="A408" s="22" t="n"/>
      <c r="G408" s="21" t="n"/>
      <c r="H408" s="11" t="n"/>
      <c r="I408" s="21">
        <f>IF(OR(H408="",H408=0),"",1/H408)</f>
        <v/>
      </c>
      <c r="J408" s="11">
        <f>IF(OR(G408="",H408=""),"",H408*G408-1)</f>
        <v/>
      </c>
      <c r="K408" s="10">
        <f>IF(OR(G408="",H408="",G408&lt;=1),"",IF(J408&lt;IF(D408="Builder",MinEdgeBuilder,IF(D408="Player",MinEdgePlayer,MinEdgeSingle)),0,ROUND(MIN(IF(D408="Single",KellySingle,KellyBuilder)*(StartBank+SUM(P$1:P407))*J408/(G408-1),IF(D408="Builder",CapBuilder,CapSingle)*Unit),2)))</f>
        <v/>
      </c>
      <c r="L408" s="10" t="n"/>
      <c r="N408" s="10" t="n"/>
      <c r="O408" s="10">
        <f>IF(L408="","",IF(M408="Won",L408*G408,IF(M408="Void",L408,IF(M408="Cash out",N(N408),IF(M408="Lost",0,"")))))</f>
        <v/>
      </c>
      <c r="P408" s="10">
        <f>IF(OR(L408="",M408="",M408="Pending"),"",O408-L408)</f>
        <v/>
      </c>
      <c r="Q408" s="21" t="n"/>
      <c r="R408" s="11">
        <f>IF(OR(G408="",Q408=""),"",G408/Q408-1)</f>
        <v/>
      </c>
      <c r="S408" s="10">
        <f>IF(OR(L408="",J408=""),"",L408*J408)</f>
        <v/>
      </c>
      <c r="T408" s="10">
        <f>IF(P408="","",StartBank+SUM(P$2:P408))</f>
        <v/>
      </c>
    </row>
    <row r="409">
      <c r="A409" s="22" t="n"/>
      <c r="G409" s="21" t="n"/>
      <c r="H409" s="11" t="n"/>
      <c r="I409" s="21">
        <f>IF(OR(H409="",H409=0),"",1/H409)</f>
        <v/>
      </c>
      <c r="J409" s="11">
        <f>IF(OR(G409="",H409=""),"",H409*G409-1)</f>
        <v/>
      </c>
      <c r="K409" s="10">
        <f>IF(OR(G409="",H409="",G409&lt;=1),"",IF(J409&lt;IF(D409="Builder",MinEdgeBuilder,IF(D409="Player",MinEdgePlayer,MinEdgeSingle)),0,ROUND(MIN(IF(D409="Single",KellySingle,KellyBuilder)*(StartBank+SUM(P$1:P408))*J409/(G409-1),IF(D409="Builder",CapBuilder,CapSingle)*Unit),2)))</f>
        <v/>
      </c>
      <c r="L409" s="10" t="n"/>
      <c r="N409" s="10" t="n"/>
      <c r="O409" s="10">
        <f>IF(L409="","",IF(M409="Won",L409*G409,IF(M409="Void",L409,IF(M409="Cash out",N(N409),IF(M409="Lost",0,"")))))</f>
        <v/>
      </c>
      <c r="P409" s="10">
        <f>IF(OR(L409="",M409="",M409="Pending"),"",O409-L409)</f>
        <v/>
      </c>
      <c r="Q409" s="21" t="n"/>
      <c r="R409" s="11">
        <f>IF(OR(G409="",Q409=""),"",G409/Q409-1)</f>
        <v/>
      </c>
      <c r="S409" s="10">
        <f>IF(OR(L409="",J409=""),"",L409*J409)</f>
        <v/>
      </c>
      <c r="T409" s="10">
        <f>IF(P409="","",StartBank+SUM(P$2:P409))</f>
        <v/>
      </c>
    </row>
    <row r="410">
      <c r="A410" s="22" t="n"/>
      <c r="G410" s="21" t="n"/>
      <c r="H410" s="11" t="n"/>
      <c r="I410" s="21">
        <f>IF(OR(H410="",H410=0),"",1/H410)</f>
        <v/>
      </c>
      <c r="J410" s="11">
        <f>IF(OR(G410="",H410=""),"",H410*G410-1)</f>
        <v/>
      </c>
      <c r="K410" s="10">
        <f>IF(OR(G410="",H410="",G410&lt;=1),"",IF(J410&lt;IF(D410="Builder",MinEdgeBuilder,IF(D410="Player",MinEdgePlayer,MinEdgeSingle)),0,ROUND(MIN(IF(D410="Single",KellySingle,KellyBuilder)*(StartBank+SUM(P$1:P409))*J410/(G410-1),IF(D410="Builder",CapBuilder,CapSingle)*Unit),2)))</f>
        <v/>
      </c>
      <c r="L410" s="10" t="n"/>
      <c r="N410" s="10" t="n"/>
      <c r="O410" s="10">
        <f>IF(L410="","",IF(M410="Won",L410*G410,IF(M410="Void",L410,IF(M410="Cash out",N(N410),IF(M410="Lost",0,"")))))</f>
        <v/>
      </c>
      <c r="P410" s="10">
        <f>IF(OR(L410="",M410="",M410="Pending"),"",O410-L410)</f>
        <v/>
      </c>
      <c r="Q410" s="21" t="n"/>
      <c r="R410" s="11">
        <f>IF(OR(G410="",Q410=""),"",G410/Q410-1)</f>
        <v/>
      </c>
      <c r="S410" s="10">
        <f>IF(OR(L410="",J410=""),"",L410*J410)</f>
        <v/>
      </c>
      <c r="T410" s="10">
        <f>IF(P410="","",StartBank+SUM(P$2:P410))</f>
        <v/>
      </c>
    </row>
    <row r="411">
      <c r="A411" s="22" t="n"/>
      <c r="G411" s="21" t="n"/>
      <c r="H411" s="11" t="n"/>
      <c r="I411" s="21">
        <f>IF(OR(H411="",H411=0),"",1/H411)</f>
        <v/>
      </c>
      <c r="J411" s="11">
        <f>IF(OR(G411="",H411=""),"",H411*G411-1)</f>
        <v/>
      </c>
      <c r="K411" s="10">
        <f>IF(OR(G411="",H411="",G411&lt;=1),"",IF(J411&lt;IF(D411="Builder",MinEdgeBuilder,IF(D411="Player",MinEdgePlayer,MinEdgeSingle)),0,ROUND(MIN(IF(D411="Single",KellySingle,KellyBuilder)*(StartBank+SUM(P$1:P410))*J411/(G411-1),IF(D411="Builder",CapBuilder,CapSingle)*Unit),2)))</f>
        <v/>
      </c>
      <c r="L411" s="10" t="n"/>
      <c r="N411" s="10" t="n"/>
      <c r="O411" s="10">
        <f>IF(L411="","",IF(M411="Won",L411*G411,IF(M411="Void",L411,IF(M411="Cash out",N(N411),IF(M411="Lost",0,"")))))</f>
        <v/>
      </c>
      <c r="P411" s="10">
        <f>IF(OR(L411="",M411="",M411="Pending"),"",O411-L411)</f>
        <v/>
      </c>
      <c r="Q411" s="21" t="n"/>
      <c r="R411" s="11">
        <f>IF(OR(G411="",Q411=""),"",G411/Q411-1)</f>
        <v/>
      </c>
      <c r="S411" s="10">
        <f>IF(OR(L411="",J411=""),"",L411*J411)</f>
        <v/>
      </c>
      <c r="T411" s="10">
        <f>IF(P411="","",StartBank+SUM(P$2:P411))</f>
        <v/>
      </c>
    </row>
    <row r="412">
      <c r="A412" s="22" t="n"/>
      <c r="G412" s="21" t="n"/>
      <c r="H412" s="11" t="n"/>
      <c r="I412" s="21">
        <f>IF(OR(H412="",H412=0),"",1/H412)</f>
        <v/>
      </c>
      <c r="J412" s="11">
        <f>IF(OR(G412="",H412=""),"",H412*G412-1)</f>
        <v/>
      </c>
      <c r="K412" s="10">
        <f>IF(OR(G412="",H412="",G412&lt;=1),"",IF(J412&lt;IF(D412="Builder",MinEdgeBuilder,IF(D412="Player",MinEdgePlayer,MinEdgeSingle)),0,ROUND(MIN(IF(D412="Single",KellySingle,KellyBuilder)*(StartBank+SUM(P$1:P411))*J412/(G412-1),IF(D412="Builder",CapBuilder,CapSingle)*Unit),2)))</f>
        <v/>
      </c>
      <c r="L412" s="10" t="n"/>
      <c r="N412" s="10" t="n"/>
      <c r="O412" s="10">
        <f>IF(L412="","",IF(M412="Won",L412*G412,IF(M412="Void",L412,IF(M412="Cash out",N(N412),IF(M412="Lost",0,"")))))</f>
        <v/>
      </c>
      <c r="P412" s="10">
        <f>IF(OR(L412="",M412="",M412="Pending"),"",O412-L412)</f>
        <v/>
      </c>
      <c r="Q412" s="21" t="n"/>
      <c r="R412" s="11">
        <f>IF(OR(G412="",Q412=""),"",G412/Q412-1)</f>
        <v/>
      </c>
      <c r="S412" s="10">
        <f>IF(OR(L412="",J412=""),"",L412*J412)</f>
        <v/>
      </c>
      <c r="T412" s="10">
        <f>IF(P412="","",StartBank+SUM(P$2:P412))</f>
        <v/>
      </c>
    </row>
    <row r="413">
      <c r="A413" s="22" t="n"/>
      <c r="G413" s="21" t="n"/>
      <c r="H413" s="11" t="n"/>
      <c r="I413" s="21">
        <f>IF(OR(H413="",H413=0),"",1/H413)</f>
        <v/>
      </c>
      <c r="J413" s="11">
        <f>IF(OR(G413="",H413=""),"",H413*G413-1)</f>
        <v/>
      </c>
      <c r="K413" s="10">
        <f>IF(OR(G413="",H413="",G413&lt;=1),"",IF(J413&lt;IF(D413="Builder",MinEdgeBuilder,IF(D413="Player",MinEdgePlayer,MinEdgeSingle)),0,ROUND(MIN(IF(D413="Single",KellySingle,KellyBuilder)*(StartBank+SUM(P$1:P412))*J413/(G413-1),IF(D413="Builder",CapBuilder,CapSingle)*Unit),2)))</f>
        <v/>
      </c>
      <c r="L413" s="10" t="n"/>
      <c r="N413" s="10" t="n"/>
      <c r="O413" s="10">
        <f>IF(L413="","",IF(M413="Won",L413*G413,IF(M413="Void",L413,IF(M413="Cash out",N(N413),IF(M413="Lost",0,"")))))</f>
        <v/>
      </c>
      <c r="P413" s="10">
        <f>IF(OR(L413="",M413="",M413="Pending"),"",O413-L413)</f>
        <v/>
      </c>
      <c r="Q413" s="21" t="n"/>
      <c r="R413" s="11">
        <f>IF(OR(G413="",Q413=""),"",G413/Q413-1)</f>
        <v/>
      </c>
      <c r="S413" s="10">
        <f>IF(OR(L413="",J413=""),"",L413*J413)</f>
        <v/>
      </c>
      <c r="T413" s="10">
        <f>IF(P413="","",StartBank+SUM(P$2:P413))</f>
        <v/>
      </c>
    </row>
    <row r="414">
      <c r="A414" s="22" t="n"/>
      <c r="G414" s="21" t="n"/>
      <c r="H414" s="11" t="n"/>
      <c r="I414" s="21">
        <f>IF(OR(H414="",H414=0),"",1/H414)</f>
        <v/>
      </c>
      <c r="J414" s="11">
        <f>IF(OR(G414="",H414=""),"",H414*G414-1)</f>
        <v/>
      </c>
      <c r="K414" s="10">
        <f>IF(OR(G414="",H414="",G414&lt;=1),"",IF(J414&lt;IF(D414="Builder",MinEdgeBuilder,IF(D414="Player",MinEdgePlayer,MinEdgeSingle)),0,ROUND(MIN(IF(D414="Single",KellySingle,KellyBuilder)*(StartBank+SUM(P$1:P413))*J414/(G414-1),IF(D414="Builder",CapBuilder,CapSingle)*Unit),2)))</f>
        <v/>
      </c>
      <c r="L414" s="10" t="n"/>
      <c r="N414" s="10" t="n"/>
      <c r="O414" s="10">
        <f>IF(L414="","",IF(M414="Won",L414*G414,IF(M414="Void",L414,IF(M414="Cash out",N(N414),IF(M414="Lost",0,"")))))</f>
        <v/>
      </c>
      <c r="P414" s="10">
        <f>IF(OR(L414="",M414="",M414="Pending"),"",O414-L414)</f>
        <v/>
      </c>
      <c r="Q414" s="21" t="n"/>
      <c r="R414" s="11">
        <f>IF(OR(G414="",Q414=""),"",G414/Q414-1)</f>
        <v/>
      </c>
      <c r="S414" s="10">
        <f>IF(OR(L414="",J414=""),"",L414*J414)</f>
        <v/>
      </c>
      <c r="T414" s="10">
        <f>IF(P414="","",StartBank+SUM(P$2:P414))</f>
        <v/>
      </c>
    </row>
    <row r="415">
      <c r="A415" s="22" t="n"/>
      <c r="G415" s="21" t="n"/>
      <c r="H415" s="11" t="n"/>
      <c r="I415" s="21">
        <f>IF(OR(H415="",H415=0),"",1/H415)</f>
        <v/>
      </c>
      <c r="J415" s="11">
        <f>IF(OR(G415="",H415=""),"",H415*G415-1)</f>
        <v/>
      </c>
      <c r="K415" s="10">
        <f>IF(OR(G415="",H415="",G415&lt;=1),"",IF(J415&lt;IF(D415="Builder",MinEdgeBuilder,IF(D415="Player",MinEdgePlayer,MinEdgeSingle)),0,ROUND(MIN(IF(D415="Single",KellySingle,KellyBuilder)*(StartBank+SUM(P$1:P414))*J415/(G415-1),IF(D415="Builder",CapBuilder,CapSingle)*Unit),2)))</f>
        <v/>
      </c>
      <c r="L415" s="10" t="n"/>
      <c r="N415" s="10" t="n"/>
      <c r="O415" s="10">
        <f>IF(L415="","",IF(M415="Won",L415*G415,IF(M415="Void",L415,IF(M415="Cash out",N(N415),IF(M415="Lost",0,"")))))</f>
        <v/>
      </c>
      <c r="P415" s="10">
        <f>IF(OR(L415="",M415="",M415="Pending"),"",O415-L415)</f>
        <v/>
      </c>
      <c r="Q415" s="21" t="n"/>
      <c r="R415" s="11">
        <f>IF(OR(G415="",Q415=""),"",G415/Q415-1)</f>
        <v/>
      </c>
      <c r="S415" s="10">
        <f>IF(OR(L415="",J415=""),"",L415*J415)</f>
        <v/>
      </c>
      <c r="T415" s="10">
        <f>IF(P415="","",StartBank+SUM(P$2:P415))</f>
        <v/>
      </c>
    </row>
    <row r="416">
      <c r="A416" s="22" t="n"/>
      <c r="G416" s="21" t="n"/>
      <c r="H416" s="11" t="n"/>
      <c r="I416" s="21">
        <f>IF(OR(H416="",H416=0),"",1/H416)</f>
        <v/>
      </c>
      <c r="J416" s="11">
        <f>IF(OR(G416="",H416=""),"",H416*G416-1)</f>
        <v/>
      </c>
      <c r="K416" s="10">
        <f>IF(OR(G416="",H416="",G416&lt;=1),"",IF(J416&lt;IF(D416="Builder",MinEdgeBuilder,IF(D416="Player",MinEdgePlayer,MinEdgeSingle)),0,ROUND(MIN(IF(D416="Single",KellySingle,KellyBuilder)*(StartBank+SUM(P$1:P415))*J416/(G416-1),IF(D416="Builder",CapBuilder,CapSingle)*Unit),2)))</f>
        <v/>
      </c>
      <c r="L416" s="10" t="n"/>
      <c r="N416" s="10" t="n"/>
      <c r="O416" s="10">
        <f>IF(L416="","",IF(M416="Won",L416*G416,IF(M416="Void",L416,IF(M416="Cash out",N(N416),IF(M416="Lost",0,"")))))</f>
        <v/>
      </c>
      <c r="P416" s="10">
        <f>IF(OR(L416="",M416="",M416="Pending"),"",O416-L416)</f>
        <v/>
      </c>
      <c r="Q416" s="21" t="n"/>
      <c r="R416" s="11">
        <f>IF(OR(G416="",Q416=""),"",G416/Q416-1)</f>
        <v/>
      </c>
      <c r="S416" s="10">
        <f>IF(OR(L416="",J416=""),"",L416*J416)</f>
        <v/>
      </c>
      <c r="T416" s="10">
        <f>IF(P416="","",StartBank+SUM(P$2:P416))</f>
        <v/>
      </c>
    </row>
    <row r="417">
      <c r="A417" s="22" t="n"/>
      <c r="G417" s="21" t="n"/>
      <c r="H417" s="11" t="n"/>
      <c r="I417" s="21">
        <f>IF(OR(H417="",H417=0),"",1/H417)</f>
        <v/>
      </c>
      <c r="J417" s="11">
        <f>IF(OR(G417="",H417=""),"",H417*G417-1)</f>
        <v/>
      </c>
      <c r="K417" s="10">
        <f>IF(OR(G417="",H417="",G417&lt;=1),"",IF(J417&lt;IF(D417="Builder",MinEdgeBuilder,IF(D417="Player",MinEdgePlayer,MinEdgeSingle)),0,ROUND(MIN(IF(D417="Single",KellySingle,KellyBuilder)*(StartBank+SUM(P$1:P416))*J417/(G417-1),IF(D417="Builder",CapBuilder,CapSingle)*Unit),2)))</f>
        <v/>
      </c>
      <c r="L417" s="10" t="n"/>
      <c r="N417" s="10" t="n"/>
      <c r="O417" s="10">
        <f>IF(L417="","",IF(M417="Won",L417*G417,IF(M417="Void",L417,IF(M417="Cash out",N(N417),IF(M417="Lost",0,"")))))</f>
        <v/>
      </c>
      <c r="P417" s="10">
        <f>IF(OR(L417="",M417="",M417="Pending"),"",O417-L417)</f>
        <v/>
      </c>
      <c r="Q417" s="21" t="n"/>
      <c r="R417" s="11">
        <f>IF(OR(G417="",Q417=""),"",G417/Q417-1)</f>
        <v/>
      </c>
      <c r="S417" s="10">
        <f>IF(OR(L417="",J417=""),"",L417*J417)</f>
        <v/>
      </c>
      <c r="T417" s="10">
        <f>IF(P417="","",StartBank+SUM(P$2:P417))</f>
        <v/>
      </c>
    </row>
    <row r="418">
      <c r="A418" s="22" t="n"/>
      <c r="G418" s="21" t="n"/>
      <c r="H418" s="11" t="n"/>
      <c r="I418" s="21">
        <f>IF(OR(H418="",H418=0),"",1/H418)</f>
        <v/>
      </c>
      <c r="J418" s="11">
        <f>IF(OR(G418="",H418=""),"",H418*G418-1)</f>
        <v/>
      </c>
      <c r="K418" s="10">
        <f>IF(OR(G418="",H418="",G418&lt;=1),"",IF(J418&lt;IF(D418="Builder",MinEdgeBuilder,IF(D418="Player",MinEdgePlayer,MinEdgeSingle)),0,ROUND(MIN(IF(D418="Single",KellySingle,KellyBuilder)*(StartBank+SUM(P$1:P417))*J418/(G418-1),IF(D418="Builder",CapBuilder,CapSingle)*Unit),2)))</f>
        <v/>
      </c>
      <c r="L418" s="10" t="n"/>
      <c r="N418" s="10" t="n"/>
      <c r="O418" s="10">
        <f>IF(L418="","",IF(M418="Won",L418*G418,IF(M418="Void",L418,IF(M418="Cash out",N(N418),IF(M418="Lost",0,"")))))</f>
        <v/>
      </c>
      <c r="P418" s="10">
        <f>IF(OR(L418="",M418="",M418="Pending"),"",O418-L418)</f>
        <v/>
      </c>
      <c r="Q418" s="21" t="n"/>
      <c r="R418" s="11">
        <f>IF(OR(G418="",Q418=""),"",G418/Q418-1)</f>
        <v/>
      </c>
      <c r="S418" s="10">
        <f>IF(OR(L418="",J418=""),"",L418*J418)</f>
        <v/>
      </c>
      <c r="T418" s="10">
        <f>IF(P418="","",StartBank+SUM(P$2:P418))</f>
        <v/>
      </c>
    </row>
    <row r="419">
      <c r="A419" s="22" t="n"/>
      <c r="G419" s="21" t="n"/>
      <c r="H419" s="11" t="n"/>
      <c r="I419" s="21">
        <f>IF(OR(H419="",H419=0),"",1/H419)</f>
        <v/>
      </c>
      <c r="J419" s="11">
        <f>IF(OR(G419="",H419=""),"",H419*G419-1)</f>
        <v/>
      </c>
      <c r="K419" s="10">
        <f>IF(OR(G419="",H419="",G419&lt;=1),"",IF(J419&lt;IF(D419="Builder",MinEdgeBuilder,IF(D419="Player",MinEdgePlayer,MinEdgeSingle)),0,ROUND(MIN(IF(D419="Single",KellySingle,KellyBuilder)*(StartBank+SUM(P$1:P418))*J419/(G419-1),IF(D419="Builder",CapBuilder,CapSingle)*Unit),2)))</f>
        <v/>
      </c>
      <c r="L419" s="10" t="n"/>
      <c r="N419" s="10" t="n"/>
      <c r="O419" s="10">
        <f>IF(L419="","",IF(M419="Won",L419*G419,IF(M419="Void",L419,IF(M419="Cash out",N(N419),IF(M419="Lost",0,"")))))</f>
        <v/>
      </c>
      <c r="P419" s="10">
        <f>IF(OR(L419="",M419="",M419="Pending"),"",O419-L419)</f>
        <v/>
      </c>
      <c r="Q419" s="21" t="n"/>
      <c r="R419" s="11">
        <f>IF(OR(G419="",Q419=""),"",G419/Q419-1)</f>
        <v/>
      </c>
      <c r="S419" s="10">
        <f>IF(OR(L419="",J419=""),"",L419*J419)</f>
        <v/>
      </c>
      <c r="T419" s="10">
        <f>IF(P419="","",StartBank+SUM(P$2:P419))</f>
        <v/>
      </c>
    </row>
    <row r="420">
      <c r="A420" s="22" t="n"/>
      <c r="G420" s="21" t="n"/>
      <c r="H420" s="11" t="n"/>
      <c r="I420" s="21">
        <f>IF(OR(H420="",H420=0),"",1/H420)</f>
        <v/>
      </c>
      <c r="J420" s="11">
        <f>IF(OR(G420="",H420=""),"",H420*G420-1)</f>
        <v/>
      </c>
      <c r="K420" s="10">
        <f>IF(OR(G420="",H420="",G420&lt;=1),"",IF(J420&lt;IF(D420="Builder",MinEdgeBuilder,IF(D420="Player",MinEdgePlayer,MinEdgeSingle)),0,ROUND(MIN(IF(D420="Single",KellySingle,KellyBuilder)*(StartBank+SUM(P$1:P419))*J420/(G420-1),IF(D420="Builder",CapBuilder,CapSingle)*Unit),2)))</f>
        <v/>
      </c>
      <c r="L420" s="10" t="n"/>
      <c r="N420" s="10" t="n"/>
      <c r="O420" s="10">
        <f>IF(L420="","",IF(M420="Won",L420*G420,IF(M420="Void",L420,IF(M420="Cash out",N(N420),IF(M420="Lost",0,"")))))</f>
        <v/>
      </c>
      <c r="P420" s="10">
        <f>IF(OR(L420="",M420="",M420="Pending"),"",O420-L420)</f>
        <v/>
      </c>
      <c r="Q420" s="21" t="n"/>
      <c r="R420" s="11">
        <f>IF(OR(G420="",Q420=""),"",G420/Q420-1)</f>
        <v/>
      </c>
      <c r="S420" s="10">
        <f>IF(OR(L420="",J420=""),"",L420*J420)</f>
        <v/>
      </c>
      <c r="T420" s="10">
        <f>IF(P420="","",StartBank+SUM(P$2:P420))</f>
        <v/>
      </c>
    </row>
    <row r="421">
      <c r="A421" s="22" t="n"/>
      <c r="G421" s="21" t="n"/>
      <c r="H421" s="11" t="n"/>
      <c r="I421" s="21">
        <f>IF(OR(H421="",H421=0),"",1/H421)</f>
        <v/>
      </c>
      <c r="J421" s="11">
        <f>IF(OR(G421="",H421=""),"",H421*G421-1)</f>
        <v/>
      </c>
      <c r="K421" s="10">
        <f>IF(OR(G421="",H421="",G421&lt;=1),"",IF(J421&lt;IF(D421="Builder",MinEdgeBuilder,IF(D421="Player",MinEdgePlayer,MinEdgeSingle)),0,ROUND(MIN(IF(D421="Single",KellySingle,KellyBuilder)*(StartBank+SUM(P$1:P420))*J421/(G421-1),IF(D421="Builder",CapBuilder,CapSingle)*Unit),2)))</f>
        <v/>
      </c>
      <c r="L421" s="10" t="n"/>
      <c r="N421" s="10" t="n"/>
      <c r="O421" s="10">
        <f>IF(L421="","",IF(M421="Won",L421*G421,IF(M421="Void",L421,IF(M421="Cash out",N(N421),IF(M421="Lost",0,"")))))</f>
        <v/>
      </c>
      <c r="P421" s="10">
        <f>IF(OR(L421="",M421="",M421="Pending"),"",O421-L421)</f>
        <v/>
      </c>
      <c r="Q421" s="21" t="n"/>
      <c r="R421" s="11">
        <f>IF(OR(G421="",Q421=""),"",G421/Q421-1)</f>
        <v/>
      </c>
      <c r="S421" s="10">
        <f>IF(OR(L421="",J421=""),"",L421*J421)</f>
        <v/>
      </c>
      <c r="T421" s="10">
        <f>IF(P421="","",StartBank+SUM(P$2:P421))</f>
        <v/>
      </c>
    </row>
    <row r="422">
      <c r="A422" s="22" t="n"/>
      <c r="G422" s="21" t="n"/>
      <c r="H422" s="11" t="n"/>
      <c r="I422" s="21">
        <f>IF(OR(H422="",H422=0),"",1/H422)</f>
        <v/>
      </c>
      <c r="J422" s="11">
        <f>IF(OR(G422="",H422=""),"",H422*G422-1)</f>
        <v/>
      </c>
      <c r="K422" s="10">
        <f>IF(OR(G422="",H422="",G422&lt;=1),"",IF(J422&lt;IF(D422="Builder",MinEdgeBuilder,IF(D422="Player",MinEdgePlayer,MinEdgeSingle)),0,ROUND(MIN(IF(D422="Single",KellySingle,KellyBuilder)*(StartBank+SUM(P$1:P421))*J422/(G422-1),IF(D422="Builder",CapBuilder,CapSingle)*Unit),2)))</f>
        <v/>
      </c>
      <c r="L422" s="10" t="n"/>
      <c r="N422" s="10" t="n"/>
      <c r="O422" s="10">
        <f>IF(L422="","",IF(M422="Won",L422*G422,IF(M422="Void",L422,IF(M422="Cash out",N(N422),IF(M422="Lost",0,"")))))</f>
        <v/>
      </c>
      <c r="P422" s="10">
        <f>IF(OR(L422="",M422="",M422="Pending"),"",O422-L422)</f>
        <v/>
      </c>
      <c r="Q422" s="21" t="n"/>
      <c r="R422" s="11">
        <f>IF(OR(G422="",Q422=""),"",G422/Q422-1)</f>
        <v/>
      </c>
      <c r="S422" s="10">
        <f>IF(OR(L422="",J422=""),"",L422*J422)</f>
        <v/>
      </c>
      <c r="T422" s="10">
        <f>IF(P422="","",StartBank+SUM(P$2:P422))</f>
        <v/>
      </c>
    </row>
    <row r="423">
      <c r="A423" s="22" t="n"/>
      <c r="G423" s="21" t="n"/>
      <c r="H423" s="11" t="n"/>
      <c r="I423" s="21">
        <f>IF(OR(H423="",H423=0),"",1/H423)</f>
        <v/>
      </c>
      <c r="J423" s="11">
        <f>IF(OR(G423="",H423=""),"",H423*G423-1)</f>
        <v/>
      </c>
      <c r="K423" s="10">
        <f>IF(OR(G423="",H423="",G423&lt;=1),"",IF(J423&lt;IF(D423="Builder",MinEdgeBuilder,IF(D423="Player",MinEdgePlayer,MinEdgeSingle)),0,ROUND(MIN(IF(D423="Single",KellySingle,KellyBuilder)*(StartBank+SUM(P$1:P422))*J423/(G423-1),IF(D423="Builder",CapBuilder,CapSingle)*Unit),2)))</f>
        <v/>
      </c>
      <c r="L423" s="10" t="n"/>
      <c r="N423" s="10" t="n"/>
      <c r="O423" s="10">
        <f>IF(L423="","",IF(M423="Won",L423*G423,IF(M423="Void",L423,IF(M423="Cash out",N(N423),IF(M423="Lost",0,"")))))</f>
        <v/>
      </c>
      <c r="P423" s="10">
        <f>IF(OR(L423="",M423="",M423="Pending"),"",O423-L423)</f>
        <v/>
      </c>
      <c r="Q423" s="21" t="n"/>
      <c r="R423" s="11">
        <f>IF(OR(G423="",Q423=""),"",G423/Q423-1)</f>
        <v/>
      </c>
      <c r="S423" s="10">
        <f>IF(OR(L423="",J423=""),"",L423*J423)</f>
        <v/>
      </c>
      <c r="T423" s="10">
        <f>IF(P423="","",StartBank+SUM(P$2:P423))</f>
        <v/>
      </c>
    </row>
    <row r="424">
      <c r="A424" s="22" t="n"/>
      <c r="G424" s="21" t="n"/>
      <c r="H424" s="11" t="n"/>
      <c r="I424" s="21">
        <f>IF(OR(H424="",H424=0),"",1/H424)</f>
        <v/>
      </c>
      <c r="J424" s="11">
        <f>IF(OR(G424="",H424=""),"",H424*G424-1)</f>
        <v/>
      </c>
      <c r="K424" s="10">
        <f>IF(OR(G424="",H424="",G424&lt;=1),"",IF(J424&lt;IF(D424="Builder",MinEdgeBuilder,IF(D424="Player",MinEdgePlayer,MinEdgeSingle)),0,ROUND(MIN(IF(D424="Single",KellySingle,KellyBuilder)*(StartBank+SUM(P$1:P423))*J424/(G424-1),IF(D424="Builder",CapBuilder,CapSingle)*Unit),2)))</f>
        <v/>
      </c>
      <c r="L424" s="10" t="n"/>
      <c r="N424" s="10" t="n"/>
      <c r="O424" s="10">
        <f>IF(L424="","",IF(M424="Won",L424*G424,IF(M424="Void",L424,IF(M424="Cash out",N(N424),IF(M424="Lost",0,"")))))</f>
        <v/>
      </c>
      <c r="P424" s="10">
        <f>IF(OR(L424="",M424="",M424="Pending"),"",O424-L424)</f>
        <v/>
      </c>
      <c r="Q424" s="21" t="n"/>
      <c r="R424" s="11">
        <f>IF(OR(G424="",Q424=""),"",G424/Q424-1)</f>
        <v/>
      </c>
      <c r="S424" s="10">
        <f>IF(OR(L424="",J424=""),"",L424*J424)</f>
        <v/>
      </c>
      <c r="T424" s="10">
        <f>IF(P424="","",StartBank+SUM(P$2:P424))</f>
        <v/>
      </c>
    </row>
    <row r="425">
      <c r="A425" s="22" t="n"/>
      <c r="G425" s="21" t="n"/>
      <c r="H425" s="11" t="n"/>
      <c r="I425" s="21">
        <f>IF(OR(H425="",H425=0),"",1/H425)</f>
        <v/>
      </c>
      <c r="J425" s="11">
        <f>IF(OR(G425="",H425=""),"",H425*G425-1)</f>
        <v/>
      </c>
      <c r="K425" s="10">
        <f>IF(OR(G425="",H425="",G425&lt;=1),"",IF(J425&lt;IF(D425="Builder",MinEdgeBuilder,IF(D425="Player",MinEdgePlayer,MinEdgeSingle)),0,ROUND(MIN(IF(D425="Single",KellySingle,KellyBuilder)*(StartBank+SUM(P$1:P424))*J425/(G425-1),IF(D425="Builder",CapBuilder,CapSingle)*Unit),2)))</f>
        <v/>
      </c>
      <c r="L425" s="10" t="n"/>
      <c r="N425" s="10" t="n"/>
      <c r="O425" s="10">
        <f>IF(L425="","",IF(M425="Won",L425*G425,IF(M425="Void",L425,IF(M425="Cash out",N(N425),IF(M425="Lost",0,"")))))</f>
        <v/>
      </c>
      <c r="P425" s="10">
        <f>IF(OR(L425="",M425="",M425="Pending"),"",O425-L425)</f>
        <v/>
      </c>
      <c r="Q425" s="21" t="n"/>
      <c r="R425" s="11">
        <f>IF(OR(G425="",Q425=""),"",G425/Q425-1)</f>
        <v/>
      </c>
      <c r="S425" s="10">
        <f>IF(OR(L425="",J425=""),"",L425*J425)</f>
        <v/>
      </c>
      <c r="T425" s="10">
        <f>IF(P425="","",StartBank+SUM(P$2:P425))</f>
        <v/>
      </c>
    </row>
    <row r="426">
      <c r="A426" s="22" t="n"/>
      <c r="G426" s="21" t="n"/>
      <c r="H426" s="11" t="n"/>
      <c r="I426" s="21">
        <f>IF(OR(H426="",H426=0),"",1/H426)</f>
        <v/>
      </c>
      <c r="J426" s="11">
        <f>IF(OR(G426="",H426=""),"",H426*G426-1)</f>
        <v/>
      </c>
      <c r="K426" s="10">
        <f>IF(OR(G426="",H426="",G426&lt;=1),"",IF(J426&lt;IF(D426="Builder",MinEdgeBuilder,IF(D426="Player",MinEdgePlayer,MinEdgeSingle)),0,ROUND(MIN(IF(D426="Single",KellySingle,KellyBuilder)*(StartBank+SUM(P$1:P425))*J426/(G426-1),IF(D426="Builder",CapBuilder,CapSingle)*Unit),2)))</f>
        <v/>
      </c>
      <c r="L426" s="10" t="n"/>
      <c r="N426" s="10" t="n"/>
      <c r="O426" s="10">
        <f>IF(L426="","",IF(M426="Won",L426*G426,IF(M426="Void",L426,IF(M426="Cash out",N(N426),IF(M426="Lost",0,"")))))</f>
        <v/>
      </c>
      <c r="P426" s="10">
        <f>IF(OR(L426="",M426="",M426="Pending"),"",O426-L426)</f>
        <v/>
      </c>
      <c r="Q426" s="21" t="n"/>
      <c r="R426" s="11">
        <f>IF(OR(G426="",Q426=""),"",G426/Q426-1)</f>
        <v/>
      </c>
      <c r="S426" s="10">
        <f>IF(OR(L426="",J426=""),"",L426*J426)</f>
        <v/>
      </c>
      <c r="T426" s="10">
        <f>IF(P426="","",StartBank+SUM(P$2:P426))</f>
        <v/>
      </c>
    </row>
    <row r="427">
      <c r="A427" s="22" t="n"/>
      <c r="G427" s="21" t="n"/>
      <c r="H427" s="11" t="n"/>
      <c r="I427" s="21">
        <f>IF(OR(H427="",H427=0),"",1/H427)</f>
        <v/>
      </c>
      <c r="J427" s="11">
        <f>IF(OR(G427="",H427=""),"",H427*G427-1)</f>
        <v/>
      </c>
      <c r="K427" s="10">
        <f>IF(OR(G427="",H427="",G427&lt;=1),"",IF(J427&lt;IF(D427="Builder",MinEdgeBuilder,IF(D427="Player",MinEdgePlayer,MinEdgeSingle)),0,ROUND(MIN(IF(D427="Single",KellySingle,KellyBuilder)*(StartBank+SUM(P$1:P426))*J427/(G427-1),IF(D427="Builder",CapBuilder,CapSingle)*Unit),2)))</f>
        <v/>
      </c>
      <c r="L427" s="10" t="n"/>
      <c r="N427" s="10" t="n"/>
      <c r="O427" s="10">
        <f>IF(L427="","",IF(M427="Won",L427*G427,IF(M427="Void",L427,IF(M427="Cash out",N(N427),IF(M427="Lost",0,"")))))</f>
        <v/>
      </c>
      <c r="P427" s="10">
        <f>IF(OR(L427="",M427="",M427="Pending"),"",O427-L427)</f>
        <v/>
      </c>
      <c r="Q427" s="21" t="n"/>
      <c r="R427" s="11">
        <f>IF(OR(G427="",Q427=""),"",G427/Q427-1)</f>
        <v/>
      </c>
      <c r="S427" s="10">
        <f>IF(OR(L427="",J427=""),"",L427*J427)</f>
        <v/>
      </c>
      <c r="T427" s="10">
        <f>IF(P427="","",StartBank+SUM(P$2:P427))</f>
        <v/>
      </c>
    </row>
    <row r="428">
      <c r="A428" s="22" t="n"/>
      <c r="G428" s="21" t="n"/>
      <c r="H428" s="11" t="n"/>
      <c r="I428" s="21">
        <f>IF(OR(H428="",H428=0),"",1/H428)</f>
        <v/>
      </c>
      <c r="J428" s="11">
        <f>IF(OR(G428="",H428=""),"",H428*G428-1)</f>
        <v/>
      </c>
      <c r="K428" s="10">
        <f>IF(OR(G428="",H428="",G428&lt;=1),"",IF(J428&lt;IF(D428="Builder",MinEdgeBuilder,IF(D428="Player",MinEdgePlayer,MinEdgeSingle)),0,ROUND(MIN(IF(D428="Single",KellySingle,KellyBuilder)*(StartBank+SUM(P$1:P427))*J428/(G428-1),IF(D428="Builder",CapBuilder,CapSingle)*Unit),2)))</f>
        <v/>
      </c>
      <c r="L428" s="10" t="n"/>
      <c r="N428" s="10" t="n"/>
      <c r="O428" s="10">
        <f>IF(L428="","",IF(M428="Won",L428*G428,IF(M428="Void",L428,IF(M428="Cash out",N(N428),IF(M428="Lost",0,"")))))</f>
        <v/>
      </c>
      <c r="P428" s="10">
        <f>IF(OR(L428="",M428="",M428="Pending"),"",O428-L428)</f>
        <v/>
      </c>
      <c r="Q428" s="21" t="n"/>
      <c r="R428" s="11">
        <f>IF(OR(G428="",Q428=""),"",G428/Q428-1)</f>
        <v/>
      </c>
      <c r="S428" s="10">
        <f>IF(OR(L428="",J428=""),"",L428*J428)</f>
        <v/>
      </c>
      <c r="T428" s="10">
        <f>IF(P428="","",StartBank+SUM(P$2:P428))</f>
        <v/>
      </c>
    </row>
    <row r="429">
      <c r="A429" s="22" t="n"/>
      <c r="G429" s="21" t="n"/>
      <c r="H429" s="11" t="n"/>
      <c r="I429" s="21">
        <f>IF(OR(H429="",H429=0),"",1/H429)</f>
        <v/>
      </c>
      <c r="J429" s="11">
        <f>IF(OR(G429="",H429=""),"",H429*G429-1)</f>
        <v/>
      </c>
      <c r="K429" s="10">
        <f>IF(OR(G429="",H429="",G429&lt;=1),"",IF(J429&lt;IF(D429="Builder",MinEdgeBuilder,IF(D429="Player",MinEdgePlayer,MinEdgeSingle)),0,ROUND(MIN(IF(D429="Single",KellySingle,KellyBuilder)*(StartBank+SUM(P$1:P428))*J429/(G429-1),IF(D429="Builder",CapBuilder,CapSingle)*Unit),2)))</f>
        <v/>
      </c>
      <c r="L429" s="10" t="n"/>
      <c r="N429" s="10" t="n"/>
      <c r="O429" s="10">
        <f>IF(L429="","",IF(M429="Won",L429*G429,IF(M429="Void",L429,IF(M429="Cash out",N(N429),IF(M429="Lost",0,"")))))</f>
        <v/>
      </c>
      <c r="P429" s="10">
        <f>IF(OR(L429="",M429="",M429="Pending"),"",O429-L429)</f>
        <v/>
      </c>
      <c r="Q429" s="21" t="n"/>
      <c r="R429" s="11">
        <f>IF(OR(G429="",Q429=""),"",G429/Q429-1)</f>
        <v/>
      </c>
      <c r="S429" s="10">
        <f>IF(OR(L429="",J429=""),"",L429*J429)</f>
        <v/>
      </c>
      <c r="T429" s="10">
        <f>IF(P429="","",StartBank+SUM(P$2:P429))</f>
        <v/>
      </c>
    </row>
    <row r="430">
      <c r="A430" s="22" t="n"/>
      <c r="G430" s="21" t="n"/>
      <c r="H430" s="11" t="n"/>
      <c r="I430" s="21">
        <f>IF(OR(H430="",H430=0),"",1/H430)</f>
        <v/>
      </c>
      <c r="J430" s="11">
        <f>IF(OR(G430="",H430=""),"",H430*G430-1)</f>
        <v/>
      </c>
      <c r="K430" s="10">
        <f>IF(OR(G430="",H430="",G430&lt;=1),"",IF(J430&lt;IF(D430="Builder",MinEdgeBuilder,IF(D430="Player",MinEdgePlayer,MinEdgeSingle)),0,ROUND(MIN(IF(D430="Single",KellySingle,KellyBuilder)*(StartBank+SUM(P$1:P429))*J430/(G430-1),IF(D430="Builder",CapBuilder,CapSingle)*Unit),2)))</f>
        <v/>
      </c>
      <c r="L430" s="10" t="n"/>
      <c r="N430" s="10" t="n"/>
      <c r="O430" s="10">
        <f>IF(L430="","",IF(M430="Won",L430*G430,IF(M430="Void",L430,IF(M430="Cash out",N(N430),IF(M430="Lost",0,"")))))</f>
        <v/>
      </c>
      <c r="P430" s="10">
        <f>IF(OR(L430="",M430="",M430="Pending"),"",O430-L430)</f>
        <v/>
      </c>
      <c r="Q430" s="21" t="n"/>
      <c r="R430" s="11">
        <f>IF(OR(G430="",Q430=""),"",G430/Q430-1)</f>
        <v/>
      </c>
      <c r="S430" s="10">
        <f>IF(OR(L430="",J430=""),"",L430*J430)</f>
        <v/>
      </c>
      <c r="T430" s="10">
        <f>IF(P430="","",StartBank+SUM(P$2:P430))</f>
        <v/>
      </c>
    </row>
    <row r="431">
      <c r="A431" s="22" t="n"/>
      <c r="G431" s="21" t="n"/>
      <c r="H431" s="11" t="n"/>
      <c r="I431" s="21">
        <f>IF(OR(H431="",H431=0),"",1/H431)</f>
        <v/>
      </c>
      <c r="J431" s="11">
        <f>IF(OR(G431="",H431=""),"",H431*G431-1)</f>
        <v/>
      </c>
      <c r="K431" s="10">
        <f>IF(OR(G431="",H431="",G431&lt;=1),"",IF(J431&lt;IF(D431="Builder",MinEdgeBuilder,IF(D431="Player",MinEdgePlayer,MinEdgeSingle)),0,ROUND(MIN(IF(D431="Single",KellySingle,KellyBuilder)*(StartBank+SUM(P$1:P430))*J431/(G431-1),IF(D431="Builder",CapBuilder,CapSingle)*Unit),2)))</f>
        <v/>
      </c>
      <c r="L431" s="10" t="n"/>
      <c r="N431" s="10" t="n"/>
      <c r="O431" s="10">
        <f>IF(L431="","",IF(M431="Won",L431*G431,IF(M431="Void",L431,IF(M431="Cash out",N(N431),IF(M431="Lost",0,"")))))</f>
        <v/>
      </c>
      <c r="P431" s="10">
        <f>IF(OR(L431="",M431="",M431="Pending"),"",O431-L431)</f>
        <v/>
      </c>
      <c r="Q431" s="21" t="n"/>
      <c r="R431" s="11">
        <f>IF(OR(G431="",Q431=""),"",G431/Q431-1)</f>
        <v/>
      </c>
      <c r="S431" s="10">
        <f>IF(OR(L431="",J431=""),"",L431*J431)</f>
        <v/>
      </c>
      <c r="T431" s="10">
        <f>IF(P431="","",StartBank+SUM(P$2:P431))</f>
        <v/>
      </c>
    </row>
    <row r="432">
      <c r="A432" s="22" t="n"/>
      <c r="G432" s="21" t="n"/>
      <c r="H432" s="11" t="n"/>
      <c r="I432" s="21">
        <f>IF(OR(H432="",H432=0),"",1/H432)</f>
        <v/>
      </c>
      <c r="J432" s="11">
        <f>IF(OR(G432="",H432=""),"",H432*G432-1)</f>
        <v/>
      </c>
      <c r="K432" s="10">
        <f>IF(OR(G432="",H432="",G432&lt;=1),"",IF(J432&lt;IF(D432="Builder",MinEdgeBuilder,IF(D432="Player",MinEdgePlayer,MinEdgeSingle)),0,ROUND(MIN(IF(D432="Single",KellySingle,KellyBuilder)*(StartBank+SUM(P$1:P431))*J432/(G432-1),IF(D432="Builder",CapBuilder,CapSingle)*Unit),2)))</f>
        <v/>
      </c>
      <c r="L432" s="10" t="n"/>
      <c r="N432" s="10" t="n"/>
      <c r="O432" s="10">
        <f>IF(L432="","",IF(M432="Won",L432*G432,IF(M432="Void",L432,IF(M432="Cash out",N(N432),IF(M432="Lost",0,"")))))</f>
        <v/>
      </c>
      <c r="P432" s="10">
        <f>IF(OR(L432="",M432="",M432="Pending"),"",O432-L432)</f>
        <v/>
      </c>
      <c r="Q432" s="21" t="n"/>
      <c r="R432" s="11">
        <f>IF(OR(G432="",Q432=""),"",G432/Q432-1)</f>
        <v/>
      </c>
      <c r="S432" s="10">
        <f>IF(OR(L432="",J432=""),"",L432*J432)</f>
        <v/>
      </c>
      <c r="T432" s="10">
        <f>IF(P432="","",StartBank+SUM(P$2:P432))</f>
        <v/>
      </c>
    </row>
    <row r="433">
      <c r="A433" s="22" t="n"/>
      <c r="G433" s="21" t="n"/>
      <c r="H433" s="11" t="n"/>
      <c r="I433" s="21">
        <f>IF(OR(H433="",H433=0),"",1/H433)</f>
        <v/>
      </c>
      <c r="J433" s="11">
        <f>IF(OR(G433="",H433=""),"",H433*G433-1)</f>
        <v/>
      </c>
      <c r="K433" s="10">
        <f>IF(OR(G433="",H433="",G433&lt;=1),"",IF(J433&lt;IF(D433="Builder",MinEdgeBuilder,IF(D433="Player",MinEdgePlayer,MinEdgeSingle)),0,ROUND(MIN(IF(D433="Single",KellySingle,KellyBuilder)*(StartBank+SUM(P$1:P432))*J433/(G433-1),IF(D433="Builder",CapBuilder,CapSingle)*Unit),2)))</f>
        <v/>
      </c>
      <c r="L433" s="10" t="n"/>
      <c r="N433" s="10" t="n"/>
      <c r="O433" s="10">
        <f>IF(L433="","",IF(M433="Won",L433*G433,IF(M433="Void",L433,IF(M433="Cash out",N(N433),IF(M433="Lost",0,"")))))</f>
        <v/>
      </c>
      <c r="P433" s="10">
        <f>IF(OR(L433="",M433="",M433="Pending"),"",O433-L433)</f>
        <v/>
      </c>
      <c r="Q433" s="21" t="n"/>
      <c r="R433" s="11">
        <f>IF(OR(G433="",Q433=""),"",G433/Q433-1)</f>
        <v/>
      </c>
      <c r="S433" s="10">
        <f>IF(OR(L433="",J433=""),"",L433*J433)</f>
        <v/>
      </c>
      <c r="T433" s="10">
        <f>IF(P433="","",StartBank+SUM(P$2:P433))</f>
        <v/>
      </c>
    </row>
    <row r="434">
      <c r="A434" s="22" t="n"/>
      <c r="G434" s="21" t="n"/>
      <c r="H434" s="11" t="n"/>
      <c r="I434" s="21">
        <f>IF(OR(H434="",H434=0),"",1/H434)</f>
        <v/>
      </c>
      <c r="J434" s="11">
        <f>IF(OR(G434="",H434=""),"",H434*G434-1)</f>
        <v/>
      </c>
      <c r="K434" s="10">
        <f>IF(OR(G434="",H434="",G434&lt;=1),"",IF(J434&lt;IF(D434="Builder",MinEdgeBuilder,IF(D434="Player",MinEdgePlayer,MinEdgeSingle)),0,ROUND(MIN(IF(D434="Single",KellySingle,KellyBuilder)*(StartBank+SUM(P$1:P433))*J434/(G434-1),IF(D434="Builder",CapBuilder,CapSingle)*Unit),2)))</f>
        <v/>
      </c>
      <c r="L434" s="10" t="n"/>
      <c r="N434" s="10" t="n"/>
      <c r="O434" s="10">
        <f>IF(L434="","",IF(M434="Won",L434*G434,IF(M434="Void",L434,IF(M434="Cash out",N(N434),IF(M434="Lost",0,"")))))</f>
        <v/>
      </c>
      <c r="P434" s="10">
        <f>IF(OR(L434="",M434="",M434="Pending"),"",O434-L434)</f>
        <v/>
      </c>
      <c r="Q434" s="21" t="n"/>
      <c r="R434" s="11">
        <f>IF(OR(G434="",Q434=""),"",G434/Q434-1)</f>
        <v/>
      </c>
      <c r="S434" s="10">
        <f>IF(OR(L434="",J434=""),"",L434*J434)</f>
        <v/>
      </c>
      <c r="T434" s="10">
        <f>IF(P434="","",StartBank+SUM(P$2:P434))</f>
        <v/>
      </c>
    </row>
    <row r="435">
      <c r="A435" s="22" t="n"/>
      <c r="G435" s="21" t="n"/>
      <c r="H435" s="11" t="n"/>
      <c r="I435" s="21">
        <f>IF(OR(H435="",H435=0),"",1/H435)</f>
        <v/>
      </c>
      <c r="J435" s="11">
        <f>IF(OR(G435="",H435=""),"",H435*G435-1)</f>
        <v/>
      </c>
      <c r="K435" s="10">
        <f>IF(OR(G435="",H435="",G435&lt;=1),"",IF(J435&lt;IF(D435="Builder",MinEdgeBuilder,IF(D435="Player",MinEdgePlayer,MinEdgeSingle)),0,ROUND(MIN(IF(D435="Single",KellySingle,KellyBuilder)*(StartBank+SUM(P$1:P434))*J435/(G435-1),IF(D435="Builder",CapBuilder,CapSingle)*Unit),2)))</f>
        <v/>
      </c>
      <c r="L435" s="10" t="n"/>
      <c r="N435" s="10" t="n"/>
      <c r="O435" s="10">
        <f>IF(L435="","",IF(M435="Won",L435*G435,IF(M435="Void",L435,IF(M435="Cash out",N(N435),IF(M435="Lost",0,"")))))</f>
        <v/>
      </c>
      <c r="P435" s="10">
        <f>IF(OR(L435="",M435="",M435="Pending"),"",O435-L435)</f>
        <v/>
      </c>
      <c r="Q435" s="21" t="n"/>
      <c r="R435" s="11">
        <f>IF(OR(G435="",Q435=""),"",G435/Q435-1)</f>
        <v/>
      </c>
      <c r="S435" s="10">
        <f>IF(OR(L435="",J435=""),"",L435*J435)</f>
        <v/>
      </c>
      <c r="T435" s="10">
        <f>IF(P435="","",StartBank+SUM(P$2:P435))</f>
        <v/>
      </c>
    </row>
    <row r="436">
      <c r="A436" s="22" t="n"/>
      <c r="G436" s="21" t="n"/>
      <c r="H436" s="11" t="n"/>
      <c r="I436" s="21">
        <f>IF(OR(H436="",H436=0),"",1/H436)</f>
        <v/>
      </c>
      <c r="J436" s="11">
        <f>IF(OR(G436="",H436=""),"",H436*G436-1)</f>
        <v/>
      </c>
      <c r="K436" s="10">
        <f>IF(OR(G436="",H436="",G436&lt;=1),"",IF(J436&lt;IF(D436="Builder",MinEdgeBuilder,IF(D436="Player",MinEdgePlayer,MinEdgeSingle)),0,ROUND(MIN(IF(D436="Single",KellySingle,KellyBuilder)*(StartBank+SUM(P$1:P435))*J436/(G436-1),IF(D436="Builder",CapBuilder,CapSingle)*Unit),2)))</f>
        <v/>
      </c>
      <c r="L436" s="10" t="n"/>
      <c r="N436" s="10" t="n"/>
      <c r="O436" s="10">
        <f>IF(L436="","",IF(M436="Won",L436*G436,IF(M436="Void",L436,IF(M436="Cash out",N(N436),IF(M436="Lost",0,"")))))</f>
        <v/>
      </c>
      <c r="P436" s="10">
        <f>IF(OR(L436="",M436="",M436="Pending"),"",O436-L436)</f>
        <v/>
      </c>
      <c r="Q436" s="21" t="n"/>
      <c r="R436" s="11">
        <f>IF(OR(G436="",Q436=""),"",G436/Q436-1)</f>
        <v/>
      </c>
      <c r="S436" s="10">
        <f>IF(OR(L436="",J436=""),"",L436*J436)</f>
        <v/>
      </c>
      <c r="T436" s="10">
        <f>IF(P436="","",StartBank+SUM(P$2:P436))</f>
        <v/>
      </c>
    </row>
    <row r="437">
      <c r="A437" s="22" t="n"/>
      <c r="G437" s="21" t="n"/>
      <c r="H437" s="11" t="n"/>
      <c r="I437" s="21">
        <f>IF(OR(H437="",H437=0),"",1/H437)</f>
        <v/>
      </c>
      <c r="J437" s="11">
        <f>IF(OR(G437="",H437=""),"",H437*G437-1)</f>
        <v/>
      </c>
      <c r="K437" s="10">
        <f>IF(OR(G437="",H437="",G437&lt;=1),"",IF(J437&lt;IF(D437="Builder",MinEdgeBuilder,IF(D437="Player",MinEdgePlayer,MinEdgeSingle)),0,ROUND(MIN(IF(D437="Single",KellySingle,KellyBuilder)*(StartBank+SUM(P$1:P436))*J437/(G437-1),IF(D437="Builder",CapBuilder,CapSingle)*Unit),2)))</f>
        <v/>
      </c>
      <c r="L437" s="10" t="n"/>
      <c r="N437" s="10" t="n"/>
      <c r="O437" s="10">
        <f>IF(L437="","",IF(M437="Won",L437*G437,IF(M437="Void",L437,IF(M437="Cash out",N(N437),IF(M437="Lost",0,"")))))</f>
        <v/>
      </c>
      <c r="P437" s="10">
        <f>IF(OR(L437="",M437="",M437="Pending"),"",O437-L437)</f>
        <v/>
      </c>
      <c r="Q437" s="21" t="n"/>
      <c r="R437" s="11">
        <f>IF(OR(G437="",Q437=""),"",G437/Q437-1)</f>
        <v/>
      </c>
      <c r="S437" s="10">
        <f>IF(OR(L437="",J437=""),"",L437*J437)</f>
        <v/>
      </c>
      <c r="T437" s="10">
        <f>IF(P437="","",StartBank+SUM(P$2:P437))</f>
        <v/>
      </c>
    </row>
    <row r="438">
      <c r="A438" s="22" t="n"/>
      <c r="G438" s="21" t="n"/>
      <c r="H438" s="11" t="n"/>
      <c r="I438" s="21">
        <f>IF(OR(H438="",H438=0),"",1/H438)</f>
        <v/>
      </c>
      <c r="J438" s="11">
        <f>IF(OR(G438="",H438=""),"",H438*G438-1)</f>
        <v/>
      </c>
      <c r="K438" s="10">
        <f>IF(OR(G438="",H438="",G438&lt;=1),"",IF(J438&lt;IF(D438="Builder",MinEdgeBuilder,IF(D438="Player",MinEdgePlayer,MinEdgeSingle)),0,ROUND(MIN(IF(D438="Single",KellySingle,KellyBuilder)*(StartBank+SUM(P$1:P437))*J438/(G438-1),IF(D438="Builder",CapBuilder,CapSingle)*Unit),2)))</f>
        <v/>
      </c>
      <c r="L438" s="10" t="n"/>
      <c r="N438" s="10" t="n"/>
      <c r="O438" s="10">
        <f>IF(L438="","",IF(M438="Won",L438*G438,IF(M438="Void",L438,IF(M438="Cash out",N(N438),IF(M438="Lost",0,"")))))</f>
        <v/>
      </c>
      <c r="P438" s="10">
        <f>IF(OR(L438="",M438="",M438="Pending"),"",O438-L438)</f>
        <v/>
      </c>
      <c r="Q438" s="21" t="n"/>
      <c r="R438" s="11">
        <f>IF(OR(G438="",Q438=""),"",G438/Q438-1)</f>
        <v/>
      </c>
      <c r="S438" s="10">
        <f>IF(OR(L438="",J438=""),"",L438*J438)</f>
        <v/>
      </c>
      <c r="T438" s="10">
        <f>IF(P438="","",StartBank+SUM(P$2:P438))</f>
        <v/>
      </c>
    </row>
    <row r="439">
      <c r="A439" s="22" t="n"/>
      <c r="G439" s="21" t="n"/>
      <c r="H439" s="11" t="n"/>
      <c r="I439" s="21">
        <f>IF(OR(H439="",H439=0),"",1/H439)</f>
        <v/>
      </c>
      <c r="J439" s="11">
        <f>IF(OR(G439="",H439=""),"",H439*G439-1)</f>
        <v/>
      </c>
      <c r="K439" s="10">
        <f>IF(OR(G439="",H439="",G439&lt;=1),"",IF(J439&lt;IF(D439="Builder",MinEdgeBuilder,IF(D439="Player",MinEdgePlayer,MinEdgeSingle)),0,ROUND(MIN(IF(D439="Single",KellySingle,KellyBuilder)*(StartBank+SUM(P$1:P438))*J439/(G439-1),IF(D439="Builder",CapBuilder,CapSingle)*Unit),2)))</f>
        <v/>
      </c>
      <c r="L439" s="10" t="n"/>
      <c r="N439" s="10" t="n"/>
      <c r="O439" s="10">
        <f>IF(L439="","",IF(M439="Won",L439*G439,IF(M439="Void",L439,IF(M439="Cash out",N(N439),IF(M439="Lost",0,"")))))</f>
        <v/>
      </c>
      <c r="P439" s="10">
        <f>IF(OR(L439="",M439="",M439="Pending"),"",O439-L439)</f>
        <v/>
      </c>
      <c r="Q439" s="21" t="n"/>
      <c r="R439" s="11">
        <f>IF(OR(G439="",Q439=""),"",G439/Q439-1)</f>
        <v/>
      </c>
      <c r="S439" s="10">
        <f>IF(OR(L439="",J439=""),"",L439*J439)</f>
        <v/>
      </c>
      <c r="T439" s="10">
        <f>IF(P439="","",StartBank+SUM(P$2:P439))</f>
        <v/>
      </c>
    </row>
    <row r="440">
      <c r="A440" s="22" t="n"/>
      <c r="G440" s="21" t="n"/>
      <c r="H440" s="11" t="n"/>
      <c r="I440" s="21">
        <f>IF(OR(H440="",H440=0),"",1/H440)</f>
        <v/>
      </c>
      <c r="J440" s="11">
        <f>IF(OR(G440="",H440=""),"",H440*G440-1)</f>
        <v/>
      </c>
      <c r="K440" s="10">
        <f>IF(OR(G440="",H440="",G440&lt;=1),"",IF(J440&lt;IF(D440="Builder",MinEdgeBuilder,IF(D440="Player",MinEdgePlayer,MinEdgeSingle)),0,ROUND(MIN(IF(D440="Single",KellySingle,KellyBuilder)*(StartBank+SUM(P$1:P439))*J440/(G440-1),IF(D440="Builder",CapBuilder,CapSingle)*Unit),2)))</f>
        <v/>
      </c>
      <c r="L440" s="10" t="n"/>
      <c r="N440" s="10" t="n"/>
      <c r="O440" s="10">
        <f>IF(L440="","",IF(M440="Won",L440*G440,IF(M440="Void",L440,IF(M440="Cash out",N(N440),IF(M440="Lost",0,"")))))</f>
        <v/>
      </c>
      <c r="P440" s="10">
        <f>IF(OR(L440="",M440="",M440="Pending"),"",O440-L440)</f>
        <v/>
      </c>
      <c r="Q440" s="21" t="n"/>
      <c r="R440" s="11">
        <f>IF(OR(G440="",Q440=""),"",G440/Q440-1)</f>
        <v/>
      </c>
      <c r="S440" s="10">
        <f>IF(OR(L440="",J440=""),"",L440*J440)</f>
        <v/>
      </c>
      <c r="T440" s="10">
        <f>IF(P440="","",StartBank+SUM(P$2:P440))</f>
        <v/>
      </c>
    </row>
    <row r="441">
      <c r="A441" s="22" t="n"/>
      <c r="G441" s="21" t="n"/>
      <c r="H441" s="11" t="n"/>
      <c r="I441" s="21">
        <f>IF(OR(H441="",H441=0),"",1/H441)</f>
        <v/>
      </c>
      <c r="J441" s="11">
        <f>IF(OR(G441="",H441=""),"",H441*G441-1)</f>
        <v/>
      </c>
      <c r="K441" s="10">
        <f>IF(OR(G441="",H441="",G441&lt;=1),"",IF(J441&lt;IF(D441="Builder",MinEdgeBuilder,IF(D441="Player",MinEdgePlayer,MinEdgeSingle)),0,ROUND(MIN(IF(D441="Single",KellySingle,KellyBuilder)*(StartBank+SUM(P$1:P440))*J441/(G441-1),IF(D441="Builder",CapBuilder,CapSingle)*Unit),2)))</f>
        <v/>
      </c>
      <c r="L441" s="10" t="n"/>
      <c r="N441" s="10" t="n"/>
      <c r="O441" s="10">
        <f>IF(L441="","",IF(M441="Won",L441*G441,IF(M441="Void",L441,IF(M441="Cash out",N(N441),IF(M441="Lost",0,"")))))</f>
        <v/>
      </c>
      <c r="P441" s="10">
        <f>IF(OR(L441="",M441="",M441="Pending"),"",O441-L441)</f>
        <v/>
      </c>
      <c r="Q441" s="21" t="n"/>
      <c r="R441" s="11">
        <f>IF(OR(G441="",Q441=""),"",G441/Q441-1)</f>
        <v/>
      </c>
      <c r="S441" s="10">
        <f>IF(OR(L441="",J441=""),"",L441*J441)</f>
        <v/>
      </c>
      <c r="T441" s="10">
        <f>IF(P441="","",StartBank+SUM(P$2:P441))</f>
        <v/>
      </c>
    </row>
    <row r="442">
      <c r="A442" s="22" t="n"/>
      <c r="G442" s="21" t="n"/>
      <c r="H442" s="11" t="n"/>
      <c r="I442" s="21">
        <f>IF(OR(H442="",H442=0),"",1/H442)</f>
        <v/>
      </c>
      <c r="J442" s="11">
        <f>IF(OR(G442="",H442=""),"",H442*G442-1)</f>
        <v/>
      </c>
      <c r="K442" s="10">
        <f>IF(OR(G442="",H442="",G442&lt;=1),"",IF(J442&lt;IF(D442="Builder",MinEdgeBuilder,IF(D442="Player",MinEdgePlayer,MinEdgeSingle)),0,ROUND(MIN(IF(D442="Single",KellySingle,KellyBuilder)*(StartBank+SUM(P$1:P441))*J442/(G442-1),IF(D442="Builder",CapBuilder,CapSingle)*Unit),2)))</f>
        <v/>
      </c>
      <c r="L442" s="10" t="n"/>
      <c r="N442" s="10" t="n"/>
      <c r="O442" s="10">
        <f>IF(L442="","",IF(M442="Won",L442*G442,IF(M442="Void",L442,IF(M442="Cash out",N(N442),IF(M442="Lost",0,"")))))</f>
        <v/>
      </c>
      <c r="P442" s="10">
        <f>IF(OR(L442="",M442="",M442="Pending"),"",O442-L442)</f>
        <v/>
      </c>
      <c r="Q442" s="21" t="n"/>
      <c r="R442" s="11">
        <f>IF(OR(G442="",Q442=""),"",G442/Q442-1)</f>
        <v/>
      </c>
      <c r="S442" s="10">
        <f>IF(OR(L442="",J442=""),"",L442*J442)</f>
        <v/>
      </c>
      <c r="T442" s="10">
        <f>IF(P442="","",StartBank+SUM(P$2:P442))</f>
        <v/>
      </c>
    </row>
    <row r="443">
      <c r="A443" s="22" t="n"/>
      <c r="G443" s="21" t="n"/>
      <c r="H443" s="11" t="n"/>
      <c r="I443" s="21">
        <f>IF(OR(H443="",H443=0),"",1/H443)</f>
        <v/>
      </c>
      <c r="J443" s="11">
        <f>IF(OR(G443="",H443=""),"",H443*G443-1)</f>
        <v/>
      </c>
      <c r="K443" s="10">
        <f>IF(OR(G443="",H443="",G443&lt;=1),"",IF(J443&lt;IF(D443="Builder",MinEdgeBuilder,IF(D443="Player",MinEdgePlayer,MinEdgeSingle)),0,ROUND(MIN(IF(D443="Single",KellySingle,KellyBuilder)*(StartBank+SUM(P$1:P442))*J443/(G443-1),IF(D443="Builder",CapBuilder,CapSingle)*Unit),2)))</f>
        <v/>
      </c>
      <c r="L443" s="10" t="n"/>
      <c r="N443" s="10" t="n"/>
      <c r="O443" s="10">
        <f>IF(L443="","",IF(M443="Won",L443*G443,IF(M443="Void",L443,IF(M443="Cash out",N(N443),IF(M443="Lost",0,"")))))</f>
        <v/>
      </c>
      <c r="P443" s="10">
        <f>IF(OR(L443="",M443="",M443="Pending"),"",O443-L443)</f>
        <v/>
      </c>
      <c r="Q443" s="21" t="n"/>
      <c r="R443" s="11">
        <f>IF(OR(G443="",Q443=""),"",G443/Q443-1)</f>
        <v/>
      </c>
      <c r="S443" s="10">
        <f>IF(OR(L443="",J443=""),"",L443*J443)</f>
        <v/>
      </c>
      <c r="T443" s="10">
        <f>IF(P443="","",StartBank+SUM(P$2:P443))</f>
        <v/>
      </c>
    </row>
    <row r="444">
      <c r="A444" s="22" t="n"/>
      <c r="G444" s="21" t="n"/>
      <c r="H444" s="11" t="n"/>
      <c r="I444" s="21">
        <f>IF(OR(H444="",H444=0),"",1/H444)</f>
        <v/>
      </c>
      <c r="J444" s="11">
        <f>IF(OR(G444="",H444=""),"",H444*G444-1)</f>
        <v/>
      </c>
      <c r="K444" s="10">
        <f>IF(OR(G444="",H444="",G444&lt;=1),"",IF(J444&lt;IF(D444="Builder",MinEdgeBuilder,IF(D444="Player",MinEdgePlayer,MinEdgeSingle)),0,ROUND(MIN(IF(D444="Single",KellySingle,KellyBuilder)*(StartBank+SUM(P$1:P443))*J444/(G444-1),IF(D444="Builder",CapBuilder,CapSingle)*Unit),2)))</f>
        <v/>
      </c>
      <c r="L444" s="10" t="n"/>
      <c r="N444" s="10" t="n"/>
      <c r="O444" s="10">
        <f>IF(L444="","",IF(M444="Won",L444*G444,IF(M444="Void",L444,IF(M444="Cash out",N(N444),IF(M444="Lost",0,"")))))</f>
        <v/>
      </c>
      <c r="P444" s="10">
        <f>IF(OR(L444="",M444="",M444="Pending"),"",O444-L444)</f>
        <v/>
      </c>
      <c r="Q444" s="21" t="n"/>
      <c r="R444" s="11">
        <f>IF(OR(G444="",Q444=""),"",G444/Q444-1)</f>
        <v/>
      </c>
      <c r="S444" s="10">
        <f>IF(OR(L444="",J444=""),"",L444*J444)</f>
        <v/>
      </c>
      <c r="T444" s="10">
        <f>IF(P444="","",StartBank+SUM(P$2:P444))</f>
        <v/>
      </c>
    </row>
    <row r="445">
      <c r="A445" s="22" t="n"/>
      <c r="G445" s="21" t="n"/>
      <c r="H445" s="11" t="n"/>
      <c r="I445" s="21">
        <f>IF(OR(H445="",H445=0),"",1/H445)</f>
        <v/>
      </c>
      <c r="J445" s="11">
        <f>IF(OR(G445="",H445=""),"",H445*G445-1)</f>
        <v/>
      </c>
      <c r="K445" s="10">
        <f>IF(OR(G445="",H445="",G445&lt;=1),"",IF(J445&lt;IF(D445="Builder",MinEdgeBuilder,IF(D445="Player",MinEdgePlayer,MinEdgeSingle)),0,ROUND(MIN(IF(D445="Single",KellySingle,KellyBuilder)*(StartBank+SUM(P$1:P444))*J445/(G445-1),IF(D445="Builder",CapBuilder,CapSingle)*Unit),2)))</f>
        <v/>
      </c>
      <c r="L445" s="10" t="n"/>
      <c r="N445" s="10" t="n"/>
      <c r="O445" s="10">
        <f>IF(L445="","",IF(M445="Won",L445*G445,IF(M445="Void",L445,IF(M445="Cash out",N(N445),IF(M445="Lost",0,"")))))</f>
        <v/>
      </c>
      <c r="P445" s="10">
        <f>IF(OR(L445="",M445="",M445="Pending"),"",O445-L445)</f>
        <v/>
      </c>
      <c r="Q445" s="21" t="n"/>
      <c r="R445" s="11">
        <f>IF(OR(G445="",Q445=""),"",G445/Q445-1)</f>
        <v/>
      </c>
      <c r="S445" s="10">
        <f>IF(OR(L445="",J445=""),"",L445*J445)</f>
        <v/>
      </c>
      <c r="T445" s="10">
        <f>IF(P445="","",StartBank+SUM(P$2:P445))</f>
        <v/>
      </c>
    </row>
    <row r="446">
      <c r="A446" s="22" t="n"/>
      <c r="G446" s="21" t="n"/>
      <c r="H446" s="11" t="n"/>
      <c r="I446" s="21">
        <f>IF(OR(H446="",H446=0),"",1/H446)</f>
        <v/>
      </c>
      <c r="J446" s="11">
        <f>IF(OR(G446="",H446=""),"",H446*G446-1)</f>
        <v/>
      </c>
      <c r="K446" s="10">
        <f>IF(OR(G446="",H446="",G446&lt;=1),"",IF(J446&lt;IF(D446="Builder",MinEdgeBuilder,IF(D446="Player",MinEdgePlayer,MinEdgeSingle)),0,ROUND(MIN(IF(D446="Single",KellySingle,KellyBuilder)*(StartBank+SUM(P$1:P445))*J446/(G446-1),IF(D446="Builder",CapBuilder,CapSingle)*Unit),2)))</f>
        <v/>
      </c>
      <c r="L446" s="10" t="n"/>
      <c r="N446" s="10" t="n"/>
      <c r="O446" s="10">
        <f>IF(L446="","",IF(M446="Won",L446*G446,IF(M446="Void",L446,IF(M446="Cash out",N(N446),IF(M446="Lost",0,"")))))</f>
        <v/>
      </c>
      <c r="P446" s="10">
        <f>IF(OR(L446="",M446="",M446="Pending"),"",O446-L446)</f>
        <v/>
      </c>
      <c r="Q446" s="21" t="n"/>
      <c r="R446" s="11">
        <f>IF(OR(G446="",Q446=""),"",G446/Q446-1)</f>
        <v/>
      </c>
      <c r="S446" s="10">
        <f>IF(OR(L446="",J446=""),"",L446*J446)</f>
        <v/>
      </c>
      <c r="T446" s="10">
        <f>IF(P446="","",StartBank+SUM(P$2:P446))</f>
        <v/>
      </c>
    </row>
    <row r="447">
      <c r="A447" s="22" t="n"/>
      <c r="G447" s="21" t="n"/>
      <c r="H447" s="11" t="n"/>
      <c r="I447" s="21">
        <f>IF(OR(H447="",H447=0),"",1/H447)</f>
        <v/>
      </c>
      <c r="J447" s="11">
        <f>IF(OR(G447="",H447=""),"",H447*G447-1)</f>
        <v/>
      </c>
      <c r="K447" s="10">
        <f>IF(OR(G447="",H447="",G447&lt;=1),"",IF(J447&lt;IF(D447="Builder",MinEdgeBuilder,IF(D447="Player",MinEdgePlayer,MinEdgeSingle)),0,ROUND(MIN(IF(D447="Single",KellySingle,KellyBuilder)*(StartBank+SUM(P$1:P446))*J447/(G447-1),IF(D447="Builder",CapBuilder,CapSingle)*Unit),2)))</f>
        <v/>
      </c>
      <c r="L447" s="10" t="n"/>
      <c r="N447" s="10" t="n"/>
      <c r="O447" s="10">
        <f>IF(L447="","",IF(M447="Won",L447*G447,IF(M447="Void",L447,IF(M447="Cash out",N(N447),IF(M447="Lost",0,"")))))</f>
        <v/>
      </c>
      <c r="P447" s="10">
        <f>IF(OR(L447="",M447="",M447="Pending"),"",O447-L447)</f>
        <v/>
      </c>
      <c r="Q447" s="21" t="n"/>
      <c r="R447" s="11">
        <f>IF(OR(G447="",Q447=""),"",G447/Q447-1)</f>
        <v/>
      </c>
      <c r="S447" s="10">
        <f>IF(OR(L447="",J447=""),"",L447*J447)</f>
        <v/>
      </c>
      <c r="T447" s="10">
        <f>IF(P447="","",StartBank+SUM(P$2:P447))</f>
        <v/>
      </c>
    </row>
    <row r="448">
      <c r="A448" s="22" t="n"/>
      <c r="G448" s="21" t="n"/>
      <c r="H448" s="11" t="n"/>
      <c r="I448" s="21">
        <f>IF(OR(H448="",H448=0),"",1/H448)</f>
        <v/>
      </c>
      <c r="J448" s="11">
        <f>IF(OR(G448="",H448=""),"",H448*G448-1)</f>
        <v/>
      </c>
      <c r="K448" s="10">
        <f>IF(OR(G448="",H448="",G448&lt;=1),"",IF(J448&lt;IF(D448="Builder",MinEdgeBuilder,IF(D448="Player",MinEdgePlayer,MinEdgeSingle)),0,ROUND(MIN(IF(D448="Single",KellySingle,KellyBuilder)*(StartBank+SUM(P$1:P447))*J448/(G448-1),IF(D448="Builder",CapBuilder,CapSingle)*Unit),2)))</f>
        <v/>
      </c>
      <c r="L448" s="10" t="n"/>
      <c r="N448" s="10" t="n"/>
      <c r="O448" s="10">
        <f>IF(L448="","",IF(M448="Won",L448*G448,IF(M448="Void",L448,IF(M448="Cash out",N(N448),IF(M448="Lost",0,"")))))</f>
        <v/>
      </c>
      <c r="P448" s="10">
        <f>IF(OR(L448="",M448="",M448="Pending"),"",O448-L448)</f>
        <v/>
      </c>
      <c r="Q448" s="21" t="n"/>
      <c r="R448" s="11">
        <f>IF(OR(G448="",Q448=""),"",G448/Q448-1)</f>
        <v/>
      </c>
      <c r="S448" s="10">
        <f>IF(OR(L448="",J448=""),"",L448*J448)</f>
        <v/>
      </c>
      <c r="T448" s="10">
        <f>IF(P448="","",StartBank+SUM(P$2:P448))</f>
        <v/>
      </c>
    </row>
    <row r="449">
      <c r="A449" s="22" t="n"/>
      <c r="G449" s="21" t="n"/>
      <c r="H449" s="11" t="n"/>
      <c r="I449" s="21">
        <f>IF(OR(H449="",H449=0),"",1/H449)</f>
        <v/>
      </c>
      <c r="J449" s="11">
        <f>IF(OR(G449="",H449=""),"",H449*G449-1)</f>
        <v/>
      </c>
      <c r="K449" s="10">
        <f>IF(OR(G449="",H449="",G449&lt;=1),"",IF(J449&lt;IF(D449="Builder",MinEdgeBuilder,IF(D449="Player",MinEdgePlayer,MinEdgeSingle)),0,ROUND(MIN(IF(D449="Single",KellySingle,KellyBuilder)*(StartBank+SUM(P$1:P448))*J449/(G449-1),IF(D449="Builder",CapBuilder,CapSingle)*Unit),2)))</f>
        <v/>
      </c>
      <c r="L449" s="10" t="n"/>
      <c r="N449" s="10" t="n"/>
      <c r="O449" s="10">
        <f>IF(L449="","",IF(M449="Won",L449*G449,IF(M449="Void",L449,IF(M449="Cash out",N(N449),IF(M449="Lost",0,"")))))</f>
        <v/>
      </c>
      <c r="P449" s="10">
        <f>IF(OR(L449="",M449="",M449="Pending"),"",O449-L449)</f>
        <v/>
      </c>
      <c r="Q449" s="21" t="n"/>
      <c r="R449" s="11">
        <f>IF(OR(G449="",Q449=""),"",G449/Q449-1)</f>
        <v/>
      </c>
      <c r="S449" s="10">
        <f>IF(OR(L449="",J449=""),"",L449*J449)</f>
        <v/>
      </c>
      <c r="T449" s="10">
        <f>IF(P449="","",StartBank+SUM(P$2:P449))</f>
        <v/>
      </c>
    </row>
    <row r="450">
      <c r="A450" s="22" t="n"/>
      <c r="G450" s="21" t="n"/>
      <c r="H450" s="11" t="n"/>
      <c r="I450" s="21">
        <f>IF(OR(H450="",H450=0),"",1/H450)</f>
        <v/>
      </c>
      <c r="J450" s="11">
        <f>IF(OR(G450="",H450=""),"",H450*G450-1)</f>
        <v/>
      </c>
      <c r="K450" s="10">
        <f>IF(OR(G450="",H450="",G450&lt;=1),"",IF(J450&lt;IF(D450="Builder",MinEdgeBuilder,IF(D450="Player",MinEdgePlayer,MinEdgeSingle)),0,ROUND(MIN(IF(D450="Single",KellySingle,KellyBuilder)*(StartBank+SUM(P$1:P449))*J450/(G450-1),IF(D450="Builder",CapBuilder,CapSingle)*Unit),2)))</f>
        <v/>
      </c>
      <c r="L450" s="10" t="n"/>
      <c r="N450" s="10" t="n"/>
      <c r="O450" s="10">
        <f>IF(L450="","",IF(M450="Won",L450*G450,IF(M450="Void",L450,IF(M450="Cash out",N(N450),IF(M450="Lost",0,"")))))</f>
        <v/>
      </c>
      <c r="P450" s="10">
        <f>IF(OR(L450="",M450="",M450="Pending"),"",O450-L450)</f>
        <v/>
      </c>
      <c r="Q450" s="21" t="n"/>
      <c r="R450" s="11">
        <f>IF(OR(G450="",Q450=""),"",G450/Q450-1)</f>
        <v/>
      </c>
      <c r="S450" s="10">
        <f>IF(OR(L450="",J450=""),"",L450*J450)</f>
        <v/>
      </c>
      <c r="T450" s="10">
        <f>IF(P450="","",StartBank+SUM(P$2:P450))</f>
        <v/>
      </c>
    </row>
    <row r="451">
      <c r="A451" s="22" t="n"/>
      <c r="G451" s="21" t="n"/>
      <c r="H451" s="11" t="n"/>
      <c r="I451" s="21">
        <f>IF(OR(H451="",H451=0),"",1/H451)</f>
        <v/>
      </c>
      <c r="J451" s="11">
        <f>IF(OR(G451="",H451=""),"",H451*G451-1)</f>
        <v/>
      </c>
      <c r="K451" s="10">
        <f>IF(OR(G451="",H451="",G451&lt;=1),"",IF(J451&lt;IF(D451="Builder",MinEdgeBuilder,IF(D451="Player",MinEdgePlayer,MinEdgeSingle)),0,ROUND(MIN(IF(D451="Single",KellySingle,KellyBuilder)*(StartBank+SUM(P$1:P450))*J451/(G451-1),IF(D451="Builder",CapBuilder,CapSingle)*Unit),2)))</f>
        <v/>
      </c>
      <c r="L451" s="10" t="n"/>
      <c r="N451" s="10" t="n"/>
      <c r="O451" s="10">
        <f>IF(L451="","",IF(M451="Won",L451*G451,IF(M451="Void",L451,IF(M451="Cash out",N(N451),IF(M451="Lost",0,"")))))</f>
        <v/>
      </c>
      <c r="P451" s="10">
        <f>IF(OR(L451="",M451="",M451="Pending"),"",O451-L451)</f>
        <v/>
      </c>
      <c r="Q451" s="21" t="n"/>
      <c r="R451" s="11">
        <f>IF(OR(G451="",Q451=""),"",G451/Q451-1)</f>
        <v/>
      </c>
      <c r="S451" s="10">
        <f>IF(OR(L451="",J451=""),"",L451*J451)</f>
        <v/>
      </c>
      <c r="T451" s="10">
        <f>IF(P451="","",StartBank+SUM(P$2:P451))</f>
        <v/>
      </c>
    </row>
    <row r="452">
      <c r="A452" s="22" t="n"/>
      <c r="G452" s="21" t="n"/>
      <c r="H452" s="11" t="n"/>
      <c r="I452" s="21">
        <f>IF(OR(H452="",H452=0),"",1/H452)</f>
        <v/>
      </c>
      <c r="J452" s="11">
        <f>IF(OR(G452="",H452=""),"",H452*G452-1)</f>
        <v/>
      </c>
      <c r="K452" s="10">
        <f>IF(OR(G452="",H452="",G452&lt;=1),"",IF(J452&lt;IF(D452="Builder",MinEdgeBuilder,IF(D452="Player",MinEdgePlayer,MinEdgeSingle)),0,ROUND(MIN(IF(D452="Single",KellySingle,KellyBuilder)*(StartBank+SUM(P$1:P451))*J452/(G452-1),IF(D452="Builder",CapBuilder,CapSingle)*Unit),2)))</f>
        <v/>
      </c>
      <c r="L452" s="10" t="n"/>
      <c r="N452" s="10" t="n"/>
      <c r="O452" s="10">
        <f>IF(L452="","",IF(M452="Won",L452*G452,IF(M452="Void",L452,IF(M452="Cash out",N(N452),IF(M452="Lost",0,"")))))</f>
        <v/>
      </c>
      <c r="P452" s="10">
        <f>IF(OR(L452="",M452="",M452="Pending"),"",O452-L452)</f>
        <v/>
      </c>
      <c r="Q452" s="21" t="n"/>
      <c r="R452" s="11">
        <f>IF(OR(G452="",Q452=""),"",G452/Q452-1)</f>
        <v/>
      </c>
      <c r="S452" s="10">
        <f>IF(OR(L452="",J452=""),"",L452*J452)</f>
        <v/>
      </c>
      <c r="T452" s="10">
        <f>IF(P452="","",StartBank+SUM(P$2:P452))</f>
        <v/>
      </c>
    </row>
    <row r="453">
      <c r="A453" s="22" t="n"/>
      <c r="G453" s="21" t="n"/>
      <c r="H453" s="11" t="n"/>
      <c r="I453" s="21">
        <f>IF(OR(H453="",H453=0),"",1/H453)</f>
        <v/>
      </c>
      <c r="J453" s="11">
        <f>IF(OR(G453="",H453=""),"",H453*G453-1)</f>
        <v/>
      </c>
      <c r="K453" s="10">
        <f>IF(OR(G453="",H453="",G453&lt;=1),"",IF(J453&lt;IF(D453="Builder",MinEdgeBuilder,IF(D453="Player",MinEdgePlayer,MinEdgeSingle)),0,ROUND(MIN(IF(D453="Single",KellySingle,KellyBuilder)*(StartBank+SUM(P$1:P452))*J453/(G453-1),IF(D453="Builder",CapBuilder,CapSingle)*Unit),2)))</f>
        <v/>
      </c>
      <c r="L453" s="10" t="n"/>
      <c r="N453" s="10" t="n"/>
      <c r="O453" s="10">
        <f>IF(L453="","",IF(M453="Won",L453*G453,IF(M453="Void",L453,IF(M453="Cash out",N(N453),IF(M453="Lost",0,"")))))</f>
        <v/>
      </c>
      <c r="P453" s="10">
        <f>IF(OR(L453="",M453="",M453="Pending"),"",O453-L453)</f>
        <v/>
      </c>
      <c r="Q453" s="21" t="n"/>
      <c r="R453" s="11">
        <f>IF(OR(G453="",Q453=""),"",G453/Q453-1)</f>
        <v/>
      </c>
      <c r="S453" s="10">
        <f>IF(OR(L453="",J453=""),"",L453*J453)</f>
        <v/>
      </c>
      <c r="T453" s="10">
        <f>IF(P453="","",StartBank+SUM(P$2:P453))</f>
        <v/>
      </c>
    </row>
    <row r="454">
      <c r="A454" s="22" t="n"/>
      <c r="G454" s="21" t="n"/>
      <c r="H454" s="11" t="n"/>
      <c r="I454" s="21">
        <f>IF(OR(H454="",H454=0),"",1/H454)</f>
        <v/>
      </c>
      <c r="J454" s="11">
        <f>IF(OR(G454="",H454=""),"",H454*G454-1)</f>
        <v/>
      </c>
      <c r="K454" s="10">
        <f>IF(OR(G454="",H454="",G454&lt;=1),"",IF(J454&lt;IF(D454="Builder",MinEdgeBuilder,IF(D454="Player",MinEdgePlayer,MinEdgeSingle)),0,ROUND(MIN(IF(D454="Single",KellySingle,KellyBuilder)*(StartBank+SUM(P$1:P453))*J454/(G454-1),IF(D454="Builder",CapBuilder,CapSingle)*Unit),2)))</f>
        <v/>
      </c>
      <c r="L454" s="10" t="n"/>
      <c r="N454" s="10" t="n"/>
      <c r="O454" s="10">
        <f>IF(L454="","",IF(M454="Won",L454*G454,IF(M454="Void",L454,IF(M454="Cash out",N(N454),IF(M454="Lost",0,"")))))</f>
        <v/>
      </c>
      <c r="P454" s="10">
        <f>IF(OR(L454="",M454="",M454="Pending"),"",O454-L454)</f>
        <v/>
      </c>
      <c r="Q454" s="21" t="n"/>
      <c r="R454" s="11">
        <f>IF(OR(G454="",Q454=""),"",G454/Q454-1)</f>
        <v/>
      </c>
      <c r="S454" s="10">
        <f>IF(OR(L454="",J454=""),"",L454*J454)</f>
        <v/>
      </c>
      <c r="T454" s="10">
        <f>IF(P454="","",StartBank+SUM(P$2:P454))</f>
        <v/>
      </c>
    </row>
    <row r="455">
      <c r="A455" s="22" t="n"/>
      <c r="G455" s="21" t="n"/>
      <c r="H455" s="11" t="n"/>
      <c r="I455" s="21">
        <f>IF(OR(H455="",H455=0),"",1/H455)</f>
        <v/>
      </c>
      <c r="J455" s="11">
        <f>IF(OR(G455="",H455=""),"",H455*G455-1)</f>
        <v/>
      </c>
      <c r="K455" s="10">
        <f>IF(OR(G455="",H455="",G455&lt;=1),"",IF(J455&lt;IF(D455="Builder",MinEdgeBuilder,IF(D455="Player",MinEdgePlayer,MinEdgeSingle)),0,ROUND(MIN(IF(D455="Single",KellySingle,KellyBuilder)*(StartBank+SUM(P$1:P454))*J455/(G455-1),IF(D455="Builder",CapBuilder,CapSingle)*Unit),2)))</f>
        <v/>
      </c>
      <c r="L455" s="10" t="n"/>
      <c r="N455" s="10" t="n"/>
      <c r="O455" s="10">
        <f>IF(L455="","",IF(M455="Won",L455*G455,IF(M455="Void",L455,IF(M455="Cash out",N(N455),IF(M455="Lost",0,"")))))</f>
        <v/>
      </c>
      <c r="P455" s="10">
        <f>IF(OR(L455="",M455="",M455="Pending"),"",O455-L455)</f>
        <v/>
      </c>
      <c r="Q455" s="21" t="n"/>
      <c r="R455" s="11">
        <f>IF(OR(G455="",Q455=""),"",G455/Q455-1)</f>
        <v/>
      </c>
      <c r="S455" s="10">
        <f>IF(OR(L455="",J455=""),"",L455*J455)</f>
        <v/>
      </c>
      <c r="T455" s="10">
        <f>IF(P455="","",StartBank+SUM(P$2:P455))</f>
        <v/>
      </c>
    </row>
    <row r="456">
      <c r="A456" s="22" t="n"/>
      <c r="G456" s="21" t="n"/>
      <c r="H456" s="11" t="n"/>
      <c r="I456" s="21">
        <f>IF(OR(H456="",H456=0),"",1/H456)</f>
        <v/>
      </c>
      <c r="J456" s="11">
        <f>IF(OR(G456="",H456=""),"",H456*G456-1)</f>
        <v/>
      </c>
      <c r="K456" s="10">
        <f>IF(OR(G456="",H456="",G456&lt;=1),"",IF(J456&lt;IF(D456="Builder",MinEdgeBuilder,IF(D456="Player",MinEdgePlayer,MinEdgeSingle)),0,ROUND(MIN(IF(D456="Single",KellySingle,KellyBuilder)*(StartBank+SUM(P$1:P455))*J456/(G456-1),IF(D456="Builder",CapBuilder,CapSingle)*Unit),2)))</f>
        <v/>
      </c>
      <c r="L456" s="10" t="n"/>
      <c r="N456" s="10" t="n"/>
      <c r="O456" s="10">
        <f>IF(L456="","",IF(M456="Won",L456*G456,IF(M456="Void",L456,IF(M456="Cash out",N(N456),IF(M456="Lost",0,"")))))</f>
        <v/>
      </c>
      <c r="P456" s="10">
        <f>IF(OR(L456="",M456="",M456="Pending"),"",O456-L456)</f>
        <v/>
      </c>
      <c r="Q456" s="21" t="n"/>
      <c r="R456" s="11">
        <f>IF(OR(G456="",Q456=""),"",G456/Q456-1)</f>
        <v/>
      </c>
      <c r="S456" s="10">
        <f>IF(OR(L456="",J456=""),"",L456*J456)</f>
        <v/>
      </c>
      <c r="T456" s="10">
        <f>IF(P456="","",StartBank+SUM(P$2:P456))</f>
        <v/>
      </c>
    </row>
    <row r="457">
      <c r="A457" s="22" t="n"/>
      <c r="G457" s="21" t="n"/>
      <c r="H457" s="11" t="n"/>
      <c r="I457" s="21">
        <f>IF(OR(H457="",H457=0),"",1/H457)</f>
        <v/>
      </c>
      <c r="J457" s="11">
        <f>IF(OR(G457="",H457=""),"",H457*G457-1)</f>
        <v/>
      </c>
      <c r="K457" s="10">
        <f>IF(OR(G457="",H457="",G457&lt;=1),"",IF(J457&lt;IF(D457="Builder",MinEdgeBuilder,IF(D457="Player",MinEdgePlayer,MinEdgeSingle)),0,ROUND(MIN(IF(D457="Single",KellySingle,KellyBuilder)*(StartBank+SUM(P$1:P456))*J457/(G457-1),IF(D457="Builder",CapBuilder,CapSingle)*Unit),2)))</f>
        <v/>
      </c>
      <c r="L457" s="10" t="n"/>
      <c r="N457" s="10" t="n"/>
      <c r="O457" s="10">
        <f>IF(L457="","",IF(M457="Won",L457*G457,IF(M457="Void",L457,IF(M457="Cash out",N(N457),IF(M457="Lost",0,"")))))</f>
        <v/>
      </c>
      <c r="P457" s="10">
        <f>IF(OR(L457="",M457="",M457="Pending"),"",O457-L457)</f>
        <v/>
      </c>
      <c r="Q457" s="21" t="n"/>
      <c r="R457" s="11">
        <f>IF(OR(G457="",Q457=""),"",G457/Q457-1)</f>
        <v/>
      </c>
      <c r="S457" s="10">
        <f>IF(OR(L457="",J457=""),"",L457*J457)</f>
        <v/>
      </c>
      <c r="T457" s="10">
        <f>IF(P457="","",StartBank+SUM(P$2:P457))</f>
        <v/>
      </c>
    </row>
    <row r="458">
      <c r="A458" s="22" t="n"/>
      <c r="G458" s="21" t="n"/>
      <c r="H458" s="11" t="n"/>
      <c r="I458" s="21">
        <f>IF(OR(H458="",H458=0),"",1/H458)</f>
        <v/>
      </c>
      <c r="J458" s="11">
        <f>IF(OR(G458="",H458=""),"",H458*G458-1)</f>
        <v/>
      </c>
      <c r="K458" s="10">
        <f>IF(OR(G458="",H458="",G458&lt;=1),"",IF(J458&lt;IF(D458="Builder",MinEdgeBuilder,IF(D458="Player",MinEdgePlayer,MinEdgeSingle)),0,ROUND(MIN(IF(D458="Single",KellySingle,KellyBuilder)*(StartBank+SUM(P$1:P457))*J458/(G458-1),IF(D458="Builder",CapBuilder,CapSingle)*Unit),2)))</f>
        <v/>
      </c>
      <c r="L458" s="10" t="n"/>
      <c r="N458" s="10" t="n"/>
      <c r="O458" s="10">
        <f>IF(L458="","",IF(M458="Won",L458*G458,IF(M458="Void",L458,IF(M458="Cash out",N(N458),IF(M458="Lost",0,"")))))</f>
        <v/>
      </c>
      <c r="P458" s="10">
        <f>IF(OR(L458="",M458="",M458="Pending"),"",O458-L458)</f>
        <v/>
      </c>
      <c r="Q458" s="21" t="n"/>
      <c r="R458" s="11">
        <f>IF(OR(G458="",Q458=""),"",G458/Q458-1)</f>
        <v/>
      </c>
      <c r="S458" s="10">
        <f>IF(OR(L458="",J458=""),"",L458*J458)</f>
        <v/>
      </c>
      <c r="T458" s="10">
        <f>IF(P458="","",StartBank+SUM(P$2:P458))</f>
        <v/>
      </c>
    </row>
    <row r="459">
      <c r="A459" s="22" t="n"/>
      <c r="G459" s="21" t="n"/>
      <c r="H459" s="11" t="n"/>
      <c r="I459" s="21">
        <f>IF(OR(H459="",H459=0),"",1/H459)</f>
        <v/>
      </c>
      <c r="J459" s="11">
        <f>IF(OR(G459="",H459=""),"",H459*G459-1)</f>
        <v/>
      </c>
      <c r="K459" s="10">
        <f>IF(OR(G459="",H459="",G459&lt;=1),"",IF(J459&lt;IF(D459="Builder",MinEdgeBuilder,IF(D459="Player",MinEdgePlayer,MinEdgeSingle)),0,ROUND(MIN(IF(D459="Single",KellySingle,KellyBuilder)*(StartBank+SUM(P$1:P458))*J459/(G459-1),IF(D459="Builder",CapBuilder,CapSingle)*Unit),2)))</f>
        <v/>
      </c>
      <c r="L459" s="10" t="n"/>
      <c r="N459" s="10" t="n"/>
      <c r="O459" s="10">
        <f>IF(L459="","",IF(M459="Won",L459*G459,IF(M459="Void",L459,IF(M459="Cash out",N(N459),IF(M459="Lost",0,"")))))</f>
        <v/>
      </c>
      <c r="P459" s="10">
        <f>IF(OR(L459="",M459="",M459="Pending"),"",O459-L459)</f>
        <v/>
      </c>
      <c r="Q459" s="21" t="n"/>
      <c r="R459" s="11">
        <f>IF(OR(G459="",Q459=""),"",G459/Q459-1)</f>
        <v/>
      </c>
      <c r="S459" s="10">
        <f>IF(OR(L459="",J459=""),"",L459*J459)</f>
        <v/>
      </c>
      <c r="T459" s="10">
        <f>IF(P459="","",StartBank+SUM(P$2:P459))</f>
        <v/>
      </c>
    </row>
    <row r="460">
      <c r="A460" s="22" t="n"/>
      <c r="G460" s="21" t="n"/>
      <c r="H460" s="11" t="n"/>
      <c r="I460" s="21">
        <f>IF(OR(H460="",H460=0),"",1/H460)</f>
        <v/>
      </c>
      <c r="J460" s="11">
        <f>IF(OR(G460="",H460=""),"",H460*G460-1)</f>
        <v/>
      </c>
      <c r="K460" s="10">
        <f>IF(OR(G460="",H460="",G460&lt;=1),"",IF(J460&lt;IF(D460="Builder",MinEdgeBuilder,IF(D460="Player",MinEdgePlayer,MinEdgeSingle)),0,ROUND(MIN(IF(D460="Single",KellySingle,KellyBuilder)*(StartBank+SUM(P$1:P459))*J460/(G460-1),IF(D460="Builder",CapBuilder,CapSingle)*Unit),2)))</f>
        <v/>
      </c>
      <c r="L460" s="10" t="n"/>
      <c r="N460" s="10" t="n"/>
      <c r="O460" s="10">
        <f>IF(L460="","",IF(M460="Won",L460*G460,IF(M460="Void",L460,IF(M460="Cash out",N(N460),IF(M460="Lost",0,"")))))</f>
        <v/>
      </c>
      <c r="P460" s="10">
        <f>IF(OR(L460="",M460="",M460="Pending"),"",O460-L460)</f>
        <v/>
      </c>
      <c r="Q460" s="21" t="n"/>
      <c r="R460" s="11">
        <f>IF(OR(G460="",Q460=""),"",G460/Q460-1)</f>
        <v/>
      </c>
      <c r="S460" s="10">
        <f>IF(OR(L460="",J460=""),"",L460*J460)</f>
        <v/>
      </c>
      <c r="T460" s="10">
        <f>IF(P460="","",StartBank+SUM(P$2:P460))</f>
        <v/>
      </c>
    </row>
    <row r="461">
      <c r="A461" s="22" t="n"/>
      <c r="G461" s="21" t="n"/>
      <c r="H461" s="11" t="n"/>
      <c r="I461" s="21">
        <f>IF(OR(H461="",H461=0),"",1/H461)</f>
        <v/>
      </c>
      <c r="J461" s="11">
        <f>IF(OR(G461="",H461=""),"",H461*G461-1)</f>
        <v/>
      </c>
      <c r="K461" s="10">
        <f>IF(OR(G461="",H461="",G461&lt;=1),"",IF(J461&lt;IF(D461="Builder",MinEdgeBuilder,IF(D461="Player",MinEdgePlayer,MinEdgeSingle)),0,ROUND(MIN(IF(D461="Single",KellySingle,KellyBuilder)*(StartBank+SUM(P$1:P460))*J461/(G461-1),IF(D461="Builder",CapBuilder,CapSingle)*Unit),2)))</f>
        <v/>
      </c>
      <c r="L461" s="10" t="n"/>
      <c r="N461" s="10" t="n"/>
      <c r="O461" s="10">
        <f>IF(L461="","",IF(M461="Won",L461*G461,IF(M461="Void",L461,IF(M461="Cash out",N(N461),IF(M461="Lost",0,"")))))</f>
        <v/>
      </c>
      <c r="P461" s="10">
        <f>IF(OR(L461="",M461="",M461="Pending"),"",O461-L461)</f>
        <v/>
      </c>
      <c r="Q461" s="21" t="n"/>
      <c r="R461" s="11">
        <f>IF(OR(G461="",Q461=""),"",G461/Q461-1)</f>
        <v/>
      </c>
      <c r="S461" s="10">
        <f>IF(OR(L461="",J461=""),"",L461*J461)</f>
        <v/>
      </c>
      <c r="T461" s="10">
        <f>IF(P461="","",StartBank+SUM(P$2:P461))</f>
        <v/>
      </c>
    </row>
    <row r="462">
      <c r="A462" s="22" t="n"/>
      <c r="G462" s="21" t="n"/>
      <c r="H462" s="11" t="n"/>
      <c r="I462" s="21">
        <f>IF(OR(H462="",H462=0),"",1/H462)</f>
        <v/>
      </c>
      <c r="J462" s="11">
        <f>IF(OR(G462="",H462=""),"",H462*G462-1)</f>
        <v/>
      </c>
      <c r="K462" s="10">
        <f>IF(OR(G462="",H462="",G462&lt;=1),"",IF(J462&lt;IF(D462="Builder",MinEdgeBuilder,IF(D462="Player",MinEdgePlayer,MinEdgeSingle)),0,ROUND(MIN(IF(D462="Single",KellySingle,KellyBuilder)*(StartBank+SUM(P$1:P461))*J462/(G462-1),IF(D462="Builder",CapBuilder,CapSingle)*Unit),2)))</f>
        <v/>
      </c>
      <c r="L462" s="10" t="n"/>
      <c r="N462" s="10" t="n"/>
      <c r="O462" s="10">
        <f>IF(L462="","",IF(M462="Won",L462*G462,IF(M462="Void",L462,IF(M462="Cash out",N(N462),IF(M462="Lost",0,"")))))</f>
        <v/>
      </c>
      <c r="P462" s="10">
        <f>IF(OR(L462="",M462="",M462="Pending"),"",O462-L462)</f>
        <v/>
      </c>
      <c r="Q462" s="21" t="n"/>
      <c r="R462" s="11">
        <f>IF(OR(G462="",Q462=""),"",G462/Q462-1)</f>
        <v/>
      </c>
      <c r="S462" s="10">
        <f>IF(OR(L462="",J462=""),"",L462*J462)</f>
        <v/>
      </c>
      <c r="T462" s="10">
        <f>IF(P462="","",StartBank+SUM(P$2:P462))</f>
        <v/>
      </c>
    </row>
    <row r="463">
      <c r="A463" s="22" t="n"/>
      <c r="G463" s="21" t="n"/>
      <c r="H463" s="11" t="n"/>
      <c r="I463" s="21">
        <f>IF(OR(H463="",H463=0),"",1/H463)</f>
        <v/>
      </c>
      <c r="J463" s="11">
        <f>IF(OR(G463="",H463=""),"",H463*G463-1)</f>
        <v/>
      </c>
      <c r="K463" s="10">
        <f>IF(OR(G463="",H463="",G463&lt;=1),"",IF(J463&lt;IF(D463="Builder",MinEdgeBuilder,IF(D463="Player",MinEdgePlayer,MinEdgeSingle)),0,ROUND(MIN(IF(D463="Single",KellySingle,KellyBuilder)*(StartBank+SUM(P$1:P462))*J463/(G463-1),IF(D463="Builder",CapBuilder,CapSingle)*Unit),2)))</f>
        <v/>
      </c>
      <c r="L463" s="10" t="n"/>
      <c r="N463" s="10" t="n"/>
      <c r="O463" s="10">
        <f>IF(L463="","",IF(M463="Won",L463*G463,IF(M463="Void",L463,IF(M463="Cash out",N(N463),IF(M463="Lost",0,"")))))</f>
        <v/>
      </c>
      <c r="P463" s="10">
        <f>IF(OR(L463="",M463="",M463="Pending"),"",O463-L463)</f>
        <v/>
      </c>
      <c r="Q463" s="21" t="n"/>
      <c r="R463" s="11">
        <f>IF(OR(G463="",Q463=""),"",G463/Q463-1)</f>
        <v/>
      </c>
      <c r="S463" s="10">
        <f>IF(OR(L463="",J463=""),"",L463*J463)</f>
        <v/>
      </c>
      <c r="T463" s="10">
        <f>IF(P463="","",StartBank+SUM(P$2:P463))</f>
        <v/>
      </c>
    </row>
    <row r="464">
      <c r="A464" s="22" t="n"/>
      <c r="G464" s="21" t="n"/>
      <c r="H464" s="11" t="n"/>
      <c r="I464" s="21">
        <f>IF(OR(H464="",H464=0),"",1/H464)</f>
        <v/>
      </c>
      <c r="J464" s="11">
        <f>IF(OR(G464="",H464=""),"",H464*G464-1)</f>
        <v/>
      </c>
      <c r="K464" s="10">
        <f>IF(OR(G464="",H464="",G464&lt;=1),"",IF(J464&lt;IF(D464="Builder",MinEdgeBuilder,IF(D464="Player",MinEdgePlayer,MinEdgeSingle)),0,ROUND(MIN(IF(D464="Single",KellySingle,KellyBuilder)*(StartBank+SUM(P$1:P463))*J464/(G464-1),IF(D464="Builder",CapBuilder,CapSingle)*Unit),2)))</f>
        <v/>
      </c>
      <c r="L464" s="10" t="n"/>
      <c r="N464" s="10" t="n"/>
      <c r="O464" s="10">
        <f>IF(L464="","",IF(M464="Won",L464*G464,IF(M464="Void",L464,IF(M464="Cash out",N(N464),IF(M464="Lost",0,"")))))</f>
        <v/>
      </c>
      <c r="P464" s="10">
        <f>IF(OR(L464="",M464="",M464="Pending"),"",O464-L464)</f>
        <v/>
      </c>
      <c r="Q464" s="21" t="n"/>
      <c r="R464" s="11">
        <f>IF(OR(G464="",Q464=""),"",G464/Q464-1)</f>
        <v/>
      </c>
      <c r="S464" s="10">
        <f>IF(OR(L464="",J464=""),"",L464*J464)</f>
        <v/>
      </c>
      <c r="T464" s="10">
        <f>IF(P464="","",StartBank+SUM(P$2:P464))</f>
        <v/>
      </c>
    </row>
    <row r="465">
      <c r="A465" s="22" t="n"/>
      <c r="G465" s="21" t="n"/>
      <c r="H465" s="11" t="n"/>
      <c r="I465" s="21">
        <f>IF(OR(H465="",H465=0),"",1/H465)</f>
        <v/>
      </c>
      <c r="J465" s="11">
        <f>IF(OR(G465="",H465=""),"",H465*G465-1)</f>
        <v/>
      </c>
      <c r="K465" s="10">
        <f>IF(OR(G465="",H465="",G465&lt;=1),"",IF(J465&lt;IF(D465="Builder",MinEdgeBuilder,IF(D465="Player",MinEdgePlayer,MinEdgeSingle)),0,ROUND(MIN(IF(D465="Single",KellySingle,KellyBuilder)*(StartBank+SUM(P$1:P464))*J465/(G465-1),IF(D465="Builder",CapBuilder,CapSingle)*Unit),2)))</f>
        <v/>
      </c>
      <c r="L465" s="10" t="n"/>
      <c r="N465" s="10" t="n"/>
      <c r="O465" s="10">
        <f>IF(L465="","",IF(M465="Won",L465*G465,IF(M465="Void",L465,IF(M465="Cash out",N(N465),IF(M465="Lost",0,"")))))</f>
        <v/>
      </c>
      <c r="P465" s="10">
        <f>IF(OR(L465="",M465="",M465="Pending"),"",O465-L465)</f>
        <v/>
      </c>
      <c r="Q465" s="21" t="n"/>
      <c r="R465" s="11">
        <f>IF(OR(G465="",Q465=""),"",G465/Q465-1)</f>
        <v/>
      </c>
      <c r="S465" s="10">
        <f>IF(OR(L465="",J465=""),"",L465*J465)</f>
        <v/>
      </c>
      <c r="T465" s="10">
        <f>IF(P465="","",StartBank+SUM(P$2:P465))</f>
        <v/>
      </c>
    </row>
    <row r="466">
      <c r="A466" s="22" t="n"/>
      <c r="G466" s="21" t="n"/>
      <c r="H466" s="11" t="n"/>
      <c r="I466" s="21">
        <f>IF(OR(H466="",H466=0),"",1/H466)</f>
        <v/>
      </c>
      <c r="J466" s="11">
        <f>IF(OR(G466="",H466=""),"",H466*G466-1)</f>
        <v/>
      </c>
      <c r="K466" s="10">
        <f>IF(OR(G466="",H466="",G466&lt;=1),"",IF(J466&lt;IF(D466="Builder",MinEdgeBuilder,IF(D466="Player",MinEdgePlayer,MinEdgeSingle)),0,ROUND(MIN(IF(D466="Single",KellySingle,KellyBuilder)*(StartBank+SUM(P$1:P465))*J466/(G466-1),IF(D466="Builder",CapBuilder,CapSingle)*Unit),2)))</f>
        <v/>
      </c>
      <c r="L466" s="10" t="n"/>
      <c r="N466" s="10" t="n"/>
      <c r="O466" s="10">
        <f>IF(L466="","",IF(M466="Won",L466*G466,IF(M466="Void",L466,IF(M466="Cash out",N(N466),IF(M466="Lost",0,"")))))</f>
        <v/>
      </c>
      <c r="P466" s="10">
        <f>IF(OR(L466="",M466="",M466="Pending"),"",O466-L466)</f>
        <v/>
      </c>
      <c r="Q466" s="21" t="n"/>
      <c r="R466" s="11">
        <f>IF(OR(G466="",Q466=""),"",G466/Q466-1)</f>
        <v/>
      </c>
      <c r="S466" s="10">
        <f>IF(OR(L466="",J466=""),"",L466*J466)</f>
        <v/>
      </c>
      <c r="T466" s="10">
        <f>IF(P466="","",StartBank+SUM(P$2:P466))</f>
        <v/>
      </c>
    </row>
    <row r="467">
      <c r="A467" s="22" t="n"/>
      <c r="G467" s="21" t="n"/>
      <c r="H467" s="11" t="n"/>
      <c r="I467" s="21">
        <f>IF(OR(H467="",H467=0),"",1/H467)</f>
        <v/>
      </c>
      <c r="J467" s="11">
        <f>IF(OR(G467="",H467=""),"",H467*G467-1)</f>
        <v/>
      </c>
      <c r="K467" s="10">
        <f>IF(OR(G467="",H467="",G467&lt;=1),"",IF(J467&lt;IF(D467="Builder",MinEdgeBuilder,IF(D467="Player",MinEdgePlayer,MinEdgeSingle)),0,ROUND(MIN(IF(D467="Single",KellySingle,KellyBuilder)*(StartBank+SUM(P$1:P466))*J467/(G467-1),IF(D467="Builder",CapBuilder,CapSingle)*Unit),2)))</f>
        <v/>
      </c>
      <c r="L467" s="10" t="n"/>
      <c r="N467" s="10" t="n"/>
      <c r="O467" s="10">
        <f>IF(L467="","",IF(M467="Won",L467*G467,IF(M467="Void",L467,IF(M467="Cash out",N(N467),IF(M467="Lost",0,"")))))</f>
        <v/>
      </c>
      <c r="P467" s="10">
        <f>IF(OR(L467="",M467="",M467="Pending"),"",O467-L467)</f>
        <v/>
      </c>
      <c r="Q467" s="21" t="n"/>
      <c r="R467" s="11">
        <f>IF(OR(G467="",Q467=""),"",G467/Q467-1)</f>
        <v/>
      </c>
      <c r="S467" s="10">
        <f>IF(OR(L467="",J467=""),"",L467*J467)</f>
        <v/>
      </c>
      <c r="T467" s="10">
        <f>IF(P467="","",StartBank+SUM(P$2:P467))</f>
        <v/>
      </c>
    </row>
    <row r="468">
      <c r="A468" s="22" t="n"/>
      <c r="G468" s="21" t="n"/>
      <c r="H468" s="11" t="n"/>
      <c r="I468" s="21">
        <f>IF(OR(H468="",H468=0),"",1/H468)</f>
        <v/>
      </c>
      <c r="J468" s="11">
        <f>IF(OR(G468="",H468=""),"",H468*G468-1)</f>
        <v/>
      </c>
      <c r="K468" s="10">
        <f>IF(OR(G468="",H468="",G468&lt;=1),"",IF(J468&lt;IF(D468="Builder",MinEdgeBuilder,IF(D468="Player",MinEdgePlayer,MinEdgeSingle)),0,ROUND(MIN(IF(D468="Single",KellySingle,KellyBuilder)*(StartBank+SUM(P$1:P467))*J468/(G468-1),IF(D468="Builder",CapBuilder,CapSingle)*Unit),2)))</f>
        <v/>
      </c>
      <c r="L468" s="10" t="n"/>
      <c r="N468" s="10" t="n"/>
      <c r="O468" s="10">
        <f>IF(L468="","",IF(M468="Won",L468*G468,IF(M468="Void",L468,IF(M468="Cash out",N(N468),IF(M468="Lost",0,"")))))</f>
        <v/>
      </c>
      <c r="P468" s="10">
        <f>IF(OR(L468="",M468="",M468="Pending"),"",O468-L468)</f>
        <v/>
      </c>
      <c r="Q468" s="21" t="n"/>
      <c r="R468" s="11">
        <f>IF(OR(G468="",Q468=""),"",G468/Q468-1)</f>
        <v/>
      </c>
      <c r="S468" s="10">
        <f>IF(OR(L468="",J468=""),"",L468*J468)</f>
        <v/>
      </c>
      <c r="T468" s="10">
        <f>IF(P468="","",StartBank+SUM(P$2:P468))</f>
        <v/>
      </c>
    </row>
    <row r="469">
      <c r="A469" s="22" t="n"/>
      <c r="G469" s="21" t="n"/>
      <c r="H469" s="11" t="n"/>
      <c r="I469" s="21">
        <f>IF(OR(H469="",H469=0),"",1/H469)</f>
        <v/>
      </c>
      <c r="J469" s="11">
        <f>IF(OR(G469="",H469=""),"",H469*G469-1)</f>
        <v/>
      </c>
      <c r="K469" s="10">
        <f>IF(OR(G469="",H469="",G469&lt;=1),"",IF(J469&lt;IF(D469="Builder",MinEdgeBuilder,IF(D469="Player",MinEdgePlayer,MinEdgeSingle)),0,ROUND(MIN(IF(D469="Single",KellySingle,KellyBuilder)*(StartBank+SUM(P$1:P468))*J469/(G469-1),IF(D469="Builder",CapBuilder,CapSingle)*Unit),2)))</f>
        <v/>
      </c>
      <c r="L469" s="10" t="n"/>
      <c r="N469" s="10" t="n"/>
      <c r="O469" s="10">
        <f>IF(L469="","",IF(M469="Won",L469*G469,IF(M469="Void",L469,IF(M469="Cash out",N(N469),IF(M469="Lost",0,"")))))</f>
        <v/>
      </c>
      <c r="P469" s="10">
        <f>IF(OR(L469="",M469="",M469="Pending"),"",O469-L469)</f>
        <v/>
      </c>
      <c r="Q469" s="21" t="n"/>
      <c r="R469" s="11">
        <f>IF(OR(G469="",Q469=""),"",G469/Q469-1)</f>
        <v/>
      </c>
      <c r="S469" s="10">
        <f>IF(OR(L469="",J469=""),"",L469*J469)</f>
        <v/>
      </c>
      <c r="T469" s="10">
        <f>IF(P469="","",StartBank+SUM(P$2:P469))</f>
        <v/>
      </c>
    </row>
    <row r="470">
      <c r="A470" s="22" t="n"/>
      <c r="G470" s="21" t="n"/>
      <c r="H470" s="11" t="n"/>
      <c r="I470" s="21">
        <f>IF(OR(H470="",H470=0),"",1/H470)</f>
        <v/>
      </c>
      <c r="J470" s="11">
        <f>IF(OR(G470="",H470=""),"",H470*G470-1)</f>
        <v/>
      </c>
      <c r="K470" s="10">
        <f>IF(OR(G470="",H470="",G470&lt;=1),"",IF(J470&lt;IF(D470="Builder",MinEdgeBuilder,IF(D470="Player",MinEdgePlayer,MinEdgeSingle)),0,ROUND(MIN(IF(D470="Single",KellySingle,KellyBuilder)*(StartBank+SUM(P$1:P469))*J470/(G470-1),IF(D470="Builder",CapBuilder,CapSingle)*Unit),2)))</f>
        <v/>
      </c>
      <c r="L470" s="10" t="n"/>
      <c r="N470" s="10" t="n"/>
      <c r="O470" s="10">
        <f>IF(L470="","",IF(M470="Won",L470*G470,IF(M470="Void",L470,IF(M470="Cash out",N(N470),IF(M470="Lost",0,"")))))</f>
        <v/>
      </c>
      <c r="P470" s="10">
        <f>IF(OR(L470="",M470="",M470="Pending"),"",O470-L470)</f>
        <v/>
      </c>
      <c r="Q470" s="21" t="n"/>
      <c r="R470" s="11">
        <f>IF(OR(G470="",Q470=""),"",G470/Q470-1)</f>
        <v/>
      </c>
      <c r="S470" s="10">
        <f>IF(OR(L470="",J470=""),"",L470*J470)</f>
        <v/>
      </c>
      <c r="T470" s="10">
        <f>IF(P470="","",StartBank+SUM(P$2:P470))</f>
        <v/>
      </c>
    </row>
    <row r="471">
      <c r="A471" s="22" t="n"/>
      <c r="G471" s="21" t="n"/>
      <c r="H471" s="11" t="n"/>
      <c r="I471" s="21">
        <f>IF(OR(H471="",H471=0),"",1/H471)</f>
        <v/>
      </c>
      <c r="J471" s="11">
        <f>IF(OR(G471="",H471=""),"",H471*G471-1)</f>
        <v/>
      </c>
      <c r="K471" s="10">
        <f>IF(OR(G471="",H471="",G471&lt;=1),"",IF(J471&lt;IF(D471="Builder",MinEdgeBuilder,IF(D471="Player",MinEdgePlayer,MinEdgeSingle)),0,ROUND(MIN(IF(D471="Single",KellySingle,KellyBuilder)*(StartBank+SUM(P$1:P470))*J471/(G471-1),IF(D471="Builder",CapBuilder,CapSingle)*Unit),2)))</f>
        <v/>
      </c>
      <c r="L471" s="10" t="n"/>
      <c r="N471" s="10" t="n"/>
      <c r="O471" s="10">
        <f>IF(L471="","",IF(M471="Won",L471*G471,IF(M471="Void",L471,IF(M471="Cash out",N(N471),IF(M471="Lost",0,"")))))</f>
        <v/>
      </c>
      <c r="P471" s="10">
        <f>IF(OR(L471="",M471="",M471="Pending"),"",O471-L471)</f>
        <v/>
      </c>
      <c r="Q471" s="21" t="n"/>
      <c r="R471" s="11">
        <f>IF(OR(G471="",Q471=""),"",G471/Q471-1)</f>
        <v/>
      </c>
      <c r="S471" s="10">
        <f>IF(OR(L471="",J471=""),"",L471*J471)</f>
        <v/>
      </c>
      <c r="T471" s="10">
        <f>IF(P471="","",StartBank+SUM(P$2:P471))</f>
        <v/>
      </c>
    </row>
    <row r="472">
      <c r="A472" s="22" t="n"/>
      <c r="G472" s="21" t="n"/>
      <c r="H472" s="11" t="n"/>
      <c r="I472" s="21">
        <f>IF(OR(H472="",H472=0),"",1/H472)</f>
        <v/>
      </c>
      <c r="J472" s="11">
        <f>IF(OR(G472="",H472=""),"",H472*G472-1)</f>
        <v/>
      </c>
      <c r="K472" s="10">
        <f>IF(OR(G472="",H472="",G472&lt;=1),"",IF(J472&lt;IF(D472="Builder",MinEdgeBuilder,IF(D472="Player",MinEdgePlayer,MinEdgeSingle)),0,ROUND(MIN(IF(D472="Single",KellySingle,KellyBuilder)*(StartBank+SUM(P$1:P471))*J472/(G472-1),IF(D472="Builder",CapBuilder,CapSingle)*Unit),2)))</f>
        <v/>
      </c>
      <c r="L472" s="10" t="n"/>
      <c r="N472" s="10" t="n"/>
      <c r="O472" s="10">
        <f>IF(L472="","",IF(M472="Won",L472*G472,IF(M472="Void",L472,IF(M472="Cash out",N(N472),IF(M472="Lost",0,"")))))</f>
        <v/>
      </c>
      <c r="P472" s="10">
        <f>IF(OR(L472="",M472="",M472="Pending"),"",O472-L472)</f>
        <v/>
      </c>
      <c r="Q472" s="21" t="n"/>
      <c r="R472" s="11">
        <f>IF(OR(G472="",Q472=""),"",G472/Q472-1)</f>
        <v/>
      </c>
      <c r="S472" s="10">
        <f>IF(OR(L472="",J472=""),"",L472*J472)</f>
        <v/>
      </c>
      <c r="T472" s="10">
        <f>IF(P472="","",StartBank+SUM(P$2:P472))</f>
        <v/>
      </c>
    </row>
    <row r="473">
      <c r="A473" s="22" t="n"/>
      <c r="G473" s="21" t="n"/>
      <c r="H473" s="11" t="n"/>
      <c r="I473" s="21">
        <f>IF(OR(H473="",H473=0),"",1/H473)</f>
        <v/>
      </c>
      <c r="J473" s="11">
        <f>IF(OR(G473="",H473=""),"",H473*G473-1)</f>
        <v/>
      </c>
      <c r="K473" s="10">
        <f>IF(OR(G473="",H473="",G473&lt;=1),"",IF(J473&lt;IF(D473="Builder",MinEdgeBuilder,IF(D473="Player",MinEdgePlayer,MinEdgeSingle)),0,ROUND(MIN(IF(D473="Single",KellySingle,KellyBuilder)*(StartBank+SUM(P$1:P472))*J473/(G473-1),IF(D473="Builder",CapBuilder,CapSingle)*Unit),2)))</f>
        <v/>
      </c>
      <c r="L473" s="10" t="n"/>
      <c r="N473" s="10" t="n"/>
      <c r="O473" s="10">
        <f>IF(L473="","",IF(M473="Won",L473*G473,IF(M473="Void",L473,IF(M473="Cash out",N(N473),IF(M473="Lost",0,"")))))</f>
        <v/>
      </c>
      <c r="P473" s="10">
        <f>IF(OR(L473="",M473="",M473="Pending"),"",O473-L473)</f>
        <v/>
      </c>
      <c r="Q473" s="21" t="n"/>
      <c r="R473" s="11">
        <f>IF(OR(G473="",Q473=""),"",G473/Q473-1)</f>
        <v/>
      </c>
      <c r="S473" s="10">
        <f>IF(OR(L473="",J473=""),"",L473*J473)</f>
        <v/>
      </c>
      <c r="T473" s="10">
        <f>IF(P473="","",StartBank+SUM(P$2:P473))</f>
        <v/>
      </c>
    </row>
    <row r="474">
      <c r="A474" s="22" t="n"/>
      <c r="G474" s="21" t="n"/>
      <c r="H474" s="11" t="n"/>
      <c r="I474" s="21">
        <f>IF(OR(H474="",H474=0),"",1/H474)</f>
        <v/>
      </c>
      <c r="J474" s="11">
        <f>IF(OR(G474="",H474=""),"",H474*G474-1)</f>
        <v/>
      </c>
      <c r="K474" s="10">
        <f>IF(OR(G474="",H474="",G474&lt;=1),"",IF(J474&lt;IF(D474="Builder",MinEdgeBuilder,IF(D474="Player",MinEdgePlayer,MinEdgeSingle)),0,ROUND(MIN(IF(D474="Single",KellySingle,KellyBuilder)*(StartBank+SUM(P$1:P473))*J474/(G474-1),IF(D474="Builder",CapBuilder,CapSingle)*Unit),2)))</f>
        <v/>
      </c>
      <c r="L474" s="10" t="n"/>
      <c r="N474" s="10" t="n"/>
      <c r="O474" s="10">
        <f>IF(L474="","",IF(M474="Won",L474*G474,IF(M474="Void",L474,IF(M474="Cash out",N(N474),IF(M474="Lost",0,"")))))</f>
        <v/>
      </c>
      <c r="P474" s="10">
        <f>IF(OR(L474="",M474="",M474="Pending"),"",O474-L474)</f>
        <v/>
      </c>
      <c r="Q474" s="21" t="n"/>
      <c r="R474" s="11">
        <f>IF(OR(G474="",Q474=""),"",G474/Q474-1)</f>
        <v/>
      </c>
      <c r="S474" s="10">
        <f>IF(OR(L474="",J474=""),"",L474*J474)</f>
        <v/>
      </c>
      <c r="T474" s="10">
        <f>IF(P474="","",StartBank+SUM(P$2:P474))</f>
        <v/>
      </c>
    </row>
    <row r="475">
      <c r="A475" s="22" t="n"/>
      <c r="G475" s="21" t="n"/>
      <c r="H475" s="11" t="n"/>
      <c r="I475" s="21">
        <f>IF(OR(H475="",H475=0),"",1/H475)</f>
        <v/>
      </c>
      <c r="J475" s="11">
        <f>IF(OR(G475="",H475=""),"",H475*G475-1)</f>
        <v/>
      </c>
      <c r="K475" s="10">
        <f>IF(OR(G475="",H475="",G475&lt;=1),"",IF(J475&lt;IF(D475="Builder",MinEdgeBuilder,IF(D475="Player",MinEdgePlayer,MinEdgeSingle)),0,ROUND(MIN(IF(D475="Single",KellySingle,KellyBuilder)*(StartBank+SUM(P$1:P474))*J475/(G475-1),IF(D475="Builder",CapBuilder,CapSingle)*Unit),2)))</f>
        <v/>
      </c>
      <c r="L475" s="10" t="n"/>
      <c r="N475" s="10" t="n"/>
      <c r="O475" s="10">
        <f>IF(L475="","",IF(M475="Won",L475*G475,IF(M475="Void",L475,IF(M475="Cash out",N(N475),IF(M475="Lost",0,"")))))</f>
        <v/>
      </c>
      <c r="P475" s="10">
        <f>IF(OR(L475="",M475="",M475="Pending"),"",O475-L475)</f>
        <v/>
      </c>
      <c r="Q475" s="21" t="n"/>
      <c r="R475" s="11">
        <f>IF(OR(G475="",Q475=""),"",G475/Q475-1)</f>
        <v/>
      </c>
      <c r="S475" s="10">
        <f>IF(OR(L475="",J475=""),"",L475*J475)</f>
        <v/>
      </c>
      <c r="T475" s="10">
        <f>IF(P475="","",StartBank+SUM(P$2:P475))</f>
        <v/>
      </c>
    </row>
    <row r="476">
      <c r="A476" s="22" t="n"/>
      <c r="G476" s="21" t="n"/>
      <c r="H476" s="11" t="n"/>
      <c r="I476" s="21">
        <f>IF(OR(H476="",H476=0),"",1/H476)</f>
        <v/>
      </c>
      <c r="J476" s="11">
        <f>IF(OR(G476="",H476=""),"",H476*G476-1)</f>
        <v/>
      </c>
      <c r="K476" s="10">
        <f>IF(OR(G476="",H476="",G476&lt;=1),"",IF(J476&lt;IF(D476="Builder",MinEdgeBuilder,IF(D476="Player",MinEdgePlayer,MinEdgeSingle)),0,ROUND(MIN(IF(D476="Single",KellySingle,KellyBuilder)*(StartBank+SUM(P$1:P475))*J476/(G476-1),IF(D476="Builder",CapBuilder,CapSingle)*Unit),2)))</f>
        <v/>
      </c>
      <c r="L476" s="10" t="n"/>
      <c r="N476" s="10" t="n"/>
      <c r="O476" s="10">
        <f>IF(L476="","",IF(M476="Won",L476*G476,IF(M476="Void",L476,IF(M476="Cash out",N(N476),IF(M476="Lost",0,"")))))</f>
        <v/>
      </c>
      <c r="P476" s="10">
        <f>IF(OR(L476="",M476="",M476="Pending"),"",O476-L476)</f>
        <v/>
      </c>
      <c r="Q476" s="21" t="n"/>
      <c r="R476" s="11">
        <f>IF(OR(G476="",Q476=""),"",G476/Q476-1)</f>
        <v/>
      </c>
      <c r="S476" s="10">
        <f>IF(OR(L476="",J476=""),"",L476*J476)</f>
        <v/>
      </c>
      <c r="T476" s="10">
        <f>IF(P476="","",StartBank+SUM(P$2:P476))</f>
        <v/>
      </c>
    </row>
    <row r="477">
      <c r="A477" s="22" t="n"/>
      <c r="G477" s="21" t="n"/>
      <c r="H477" s="11" t="n"/>
      <c r="I477" s="21">
        <f>IF(OR(H477="",H477=0),"",1/H477)</f>
        <v/>
      </c>
      <c r="J477" s="11">
        <f>IF(OR(G477="",H477=""),"",H477*G477-1)</f>
        <v/>
      </c>
      <c r="K477" s="10">
        <f>IF(OR(G477="",H477="",G477&lt;=1),"",IF(J477&lt;IF(D477="Builder",MinEdgeBuilder,IF(D477="Player",MinEdgePlayer,MinEdgeSingle)),0,ROUND(MIN(IF(D477="Single",KellySingle,KellyBuilder)*(StartBank+SUM(P$1:P476))*J477/(G477-1),IF(D477="Builder",CapBuilder,CapSingle)*Unit),2)))</f>
        <v/>
      </c>
      <c r="L477" s="10" t="n"/>
      <c r="N477" s="10" t="n"/>
      <c r="O477" s="10">
        <f>IF(L477="","",IF(M477="Won",L477*G477,IF(M477="Void",L477,IF(M477="Cash out",N(N477),IF(M477="Lost",0,"")))))</f>
        <v/>
      </c>
      <c r="P477" s="10">
        <f>IF(OR(L477="",M477="",M477="Pending"),"",O477-L477)</f>
        <v/>
      </c>
      <c r="Q477" s="21" t="n"/>
      <c r="R477" s="11">
        <f>IF(OR(G477="",Q477=""),"",G477/Q477-1)</f>
        <v/>
      </c>
      <c r="S477" s="10">
        <f>IF(OR(L477="",J477=""),"",L477*J477)</f>
        <v/>
      </c>
      <c r="T477" s="10">
        <f>IF(P477="","",StartBank+SUM(P$2:P477))</f>
        <v/>
      </c>
    </row>
    <row r="478">
      <c r="A478" s="22" t="n"/>
      <c r="G478" s="21" t="n"/>
      <c r="H478" s="11" t="n"/>
      <c r="I478" s="21">
        <f>IF(OR(H478="",H478=0),"",1/H478)</f>
        <v/>
      </c>
      <c r="J478" s="11">
        <f>IF(OR(G478="",H478=""),"",H478*G478-1)</f>
        <v/>
      </c>
      <c r="K478" s="10">
        <f>IF(OR(G478="",H478="",G478&lt;=1),"",IF(J478&lt;IF(D478="Builder",MinEdgeBuilder,IF(D478="Player",MinEdgePlayer,MinEdgeSingle)),0,ROUND(MIN(IF(D478="Single",KellySingle,KellyBuilder)*(StartBank+SUM(P$1:P477))*J478/(G478-1),IF(D478="Builder",CapBuilder,CapSingle)*Unit),2)))</f>
        <v/>
      </c>
      <c r="L478" s="10" t="n"/>
      <c r="N478" s="10" t="n"/>
      <c r="O478" s="10">
        <f>IF(L478="","",IF(M478="Won",L478*G478,IF(M478="Void",L478,IF(M478="Cash out",N(N478),IF(M478="Lost",0,"")))))</f>
        <v/>
      </c>
      <c r="P478" s="10">
        <f>IF(OR(L478="",M478="",M478="Pending"),"",O478-L478)</f>
        <v/>
      </c>
      <c r="Q478" s="21" t="n"/>
      <c r="R478" s="11">
        <f>IF(OR(G478="",Q478=""),"",G478/Q478-1)</f>
        <v/>
      </c>
      <c r="S478" s="10">
        <f>IF(OR(L478="",J478=""),"",L478*J478)</f>
        <v/>
      </c>
      <c r="T478" s="10">
        <f>IF(P478="","",StartBank+SUM(P$2:P478))</f>
        <v/>
      </c>
    </row>
    <row r="479">
      <c r="A479" s="22" t="n"/>
      <c r="G479" s="21" t="n"/>
      <c r="H479" s="11" t="n"/>
      <c r="I479" s="21">
        <f>IF(OR(H479="",H479=0),"",1/H479)</f>
        <v/>
      </c>
      <c r="J479" s="11">
        <f>IF(OR(G479="",H479=""),"",H479*G479-1)</f>
        <v/>
      </c>
      <c r="K479" s="10">
        <f>IF(OR(G479="",H479="",G479&lt;=1),"",IF(J479&lt;IF(D479="Builder",MinEdgeBuilder,IF(D479="Player",MinEdgePlayer,MinEdgeSingle)),0,ROUND(MIN(IF(D479="Single",KellySingle,KellyBuilder)*(StartBank+SUM(P$1:P478))*J479/(G479-1),IF(D479="Builder",CapBuilder,CapSingle)*Unit),2)))</f>
        <v/>
      </c>
      <c r="L479" s="10" t="n"/>
      <c r="N479" s="10" t="n"/>
      <c r="O479" s="10">
        <f>IF(L479="","",IF(M479="Won",L479*G479,IF(M479="Void",L479,IF(M479="Cash out",N(N479),IF(M479="Lost",0,"")))))</f>
        <v/>
      </c>
      <c r="P479" s="10">
        <f>IF(OR(L479="",M479="",M479="Pending"),"",O479-L479)</f>
        <v/>
      </c>
      <c r="Q479" s="21" t="n"/>
      <c r="R479" s="11">
        <f>IF(OR(G479="",Q479=""),"",G479/Q479-1)</f>
        <v/>
      </c>
      <c r="S479" s="10">
        <f>IF(OR(L479="",J479=""),"",L479*J479)</f>
        <v/>
      </c>
      <c r="T479" s="10">
        <f>IF(P479="","",StartBank+SUM(P$2:P479))</f>
        <v/>
      </c>
    </row>
    <row r="480">
      <c r="A480" s="22" t="n"/>
      <c r="G480" s="21" t="n"/>
      <c r="H480" s="11" t="n"/>
      <c r="I480" s="21">
        <f>IF(OR(H480="",H480=0),"",1/H480)</f>
        <v/>
      </c>
      <c r="J480" s="11">
        <f>IF(OR(G480="",H480=""),"",H480*G480-1)</f>
        <v/>
      </c>
      <c r="K480" s="10">
        <f>IF(OR(G480="",H480="",G480&lt;=1),"",IF(J480&lt;IF(D480="Builder",MinEdgeBuilder,IF(D480="Player",MinEdgePlayer,MinEdgeSingle)),0,ROUND(MIN(IF(D480="Single",KellySingle,KellyBuilder)*(StartBank+SUM(P$1:P479))*J480/(G480-1),IF(D480="Builder",CapBuilder,CapSingle)*Unit),2)))</f>
        <v/>
      </c>
      <c r="L480" s="10" t="n"/>
      <c r="N480" s="10" t="n"/>
      <c r="O480" s="10">
        <f>IF(L480="","",IF(M480="Won",L480*G480,IF(M480="Void",L480,IF(M480="Cash out",N(N480),IF(M480="Lost",0,"")))))</f>
        <v/>
      </c>
      <c r="P480" s="10">
        <f>IF(OR(L480="",M480="",M480="Pending"),"",O480-L480)</f>
        <v/>
      </c>
      <c r="Q480" s="21" t="n"/>
      <c r="R480" s="11">
        <f>IF(OR(G480="",Q480=""),"",G480/Q480-1)</f>
        <v/>
      </c>
      <c r="S480" s="10">
        <f>IF(OR(L480="",J480=""),"",L480*J480)</f>
        <v/>
      </c>
      <c r="T480" s="10">
        <f>IF(P480="","",StartBank+SUM(P$2:P480))</f>
        <v/>
      </c>
    </row>
    <row r="481">
      <c r="A481" s="22" t="n"/>
      <c r="G481" s="21" t="n"/>
      <c r="H481" s="11" t="n"/>
      <c r="I481" s="21">
        <f>IF(OR(H481="",H481=0),"",1/H481)</f>
        <v/>
      </c>
      <c r="J481" s="11">
        <f>IF(OR(G481="",H481=""),"",H481*G481-1)</f>
        <v/>
      </c>
      <c r="K481" s="10">
        <f>IF(OR(G481="",H481="",G481&lt;=1),"",IF(J481&lt;IF(D481="Builder",MinEdgeBuilder,IF(D481="Player",MinEdgePlayer,MinEdgeSingle)),0,ROUND(MIN(IF(D481="Single",KellySingle,KellyBuilder)*(StartBank+SUM(P$1:P480))*J481/(G481-1),IF(D481="Builder",CapBuilder,CapSingle)*Unit),2)))</f>
        <v/>
      </c>
      <c r="L481" s="10" t="n"/>
      <c r="N481" s="10" t="n"/>
      <c r="O481" s="10">
        <f>IF(L481="","",IF(M481="Won",L481*G481,IF(M481="Void",L481,IF(M481="Cash out",N(N481),IF(M481="Lost",0,"")))))</f>
        <v/>
      </c>
      <c r="P481" s="10">
        <f>IF(OR(L481="",M481="",M481="Pending"),"",O481-L481)</f>
        <v/>
      </c>
      <c r="Q481" s="21" t="n"/>
      <c r="R481" s="11">
        <f>IF(OR(G481="",Q481=""),"",G481/Q481-1)</f>
        <v/>
      </c>
      <c r="S481" s="10">
        <f>IF(OR(L481="",J481=""),"",L481*J481)</f>
        <v/>
      </c>
      <c r="T481" s="10">
        <f>IF(P481="","",StartBank+SUM(P$2:P481))</f>
        <v/>
      </c>
    </row>
    <row r="482">
      <c r="A482" s="22" t="n"/>
      <c r="G482" s="21" t="n"/>
      <c r="H482" s="11" t="n"/>
      <c r="I482" s="21">
        <f>IF(OR(H482="",H482=0),"",1/H482)</f>
        <v/>
      </c>
      <c r="J482" s="11">
        <f>IF(OR(G482="",H482=""),"",H482*G482-1)</f>
        <v/>
      </c>
      <c r="K482" s="10">
        <f>IF(OR(G482="",H482="",G482&lt;=1),"",IF(J482&lt;IF(D482="Builder",MinEdgeBuilder,IF(D482="Player",MinEdgePlayer,MinEdgeSingle)),0,ROUND(MIN(IF(D482="Single",KellySingle,KellyBuilder)*(StartBank+SUM(P$1:P481))*J482/(G482-1),IF(D482="Builder",CapBuilder,CapSingle)*Unit),2)))</f>
        <v/>
      </c>
      <c r="L482" s="10" t="n"/>
      <c r="N482" s="10" t="n"/>
      <c r="O482" s="10">
        <f>IF(L482="","",IF(M482="Won",L482*G482,IF(M482="Void",L482,IF(M482="Cash out",N(N482),IF(M482="Lost",0,"")))))</f>
        <v/>
      </c>
      <c r="P482" s="10">
        <f>IF(OR(L482="",M482="",M482="Pending"),"",O482-L482)</f>
        <v/>
      </c>
      <c r="Q482" s="21" t="n"/>
      <c r="R482" s="11">
        <f>IF(OR(G482="",Q482=""),"",G482/Q482-1)</f>
        <v/>
      </c>
      <c r="S482" s="10">
        <f>IF(OR(L482="",J482=""),"",L482*J482)</f>
        <v/>
      </c>
      <c r="T482" s="10">
        <f>IF(P482="","",StartBank+SUM(P$2:P482))</f>
        <v/>
      </c>
    </row>
    <row r="483">
      <c r="A483" s="22" t="n"/>
      <c r="G483" s="21" t="n"/>
      <c r="H483" s="11" t="n"/>
      <c r="I483" s="21">
        <f>IF(OR(H483="",H483=0),"",1/H483)</f>
        <v/>
      </c>
      <c r="J483" s="11">
        <f>IF(OR(G483="",H483=""),"",H483*G483-1)</f>
        <v/>
      </c>
      <c r="K483" s="10">
        <f>IF(OR(G483="",H483="",G483&lt;=1),"",IF(J483&lt;IF(D483="Builder",MinEdgeBuilder,IF(D483="Player",MinEdgePlayer,MinEdgeSingle)),0,ROUND(MIN(IF(D483="Single",KellySingle,KellyBuilder)*(StartBank+SUM(P$1:P482))*J483/(G483-1),IF(D483="Builder",CapBuilder,CapSingle)*Unit),2)))</f>
        <v/>
      </c>
      <c r="L483" s="10" t="n"/>
      <c r="N483" s="10" t="n"/>
      <c r="O483" s="10">
        <f>IF(L483="","",IF(M483="Won",L483*G483,IF(M483="Void",L483,IF(M483="Cash out",N(N483),IF(M483="Lost",0,"")))))</f>
        <v/>
      </c>
      <c r="P483" s="10">
        <f>IF(OR(L483="",M483="",M483="Pending"),"",O483-L483)</f>
        <v/>
      </c>
      <c r="Q483" s="21" t="n"/>
      <c r="R483" s="11">
        <f>IF(OR(G483="",Q483=""),"",G483/Q483-1)</f>
        <v/>
      </c>
      <c r="S483" s="10">
        <f>IF(OR(L483="",J483=""),"",L483*J483)</f>
        <v/>
      </c>
      <c r="T483" s="10">
        <f>IF(P483="","",StartBank+SUM(P$2:P483))</f>
        <v/>
      </c>
    </row>
    <row r="484">
      <c r="A484" s="22" t="n"/>
      <c r="G484" s="21" t="n"/>
      <c r="H484" s="11" t="n"/>
      <c r="I484" s="21">
        <f>IF(OR(H484="",H484=0),"",1/H484)</f>
        <v/>
      </c>
      <c r="J484" s="11">
        <f>IF(OR(G484="",H484=""),"",H484*G484-1)</f>
        <v/>
      </c>
      <c r="K484" s="10">
        <f>IF(OR(G484="",H484="",G484&lt;=1),"",IF(J484&lt;IF(D484="Builder",MinEdgeBuilder,IF(D484="Player",MinEdgePlayer,MinEdgeSingle)),0,ROUND(MIN(IF(D484="Single",KellySingle,KellyBuilder)*(StartBank+SUM(P$1:P483))*J484/(G484-1),IF(D484="Builder",CapBuilder,CapSingle)*Unit),2)))</f>
        <v/>
      </c>
      <c r="L484" s="10" t="n"/>
      <c r="N484" s="10" t="n"/>
      <c r="O484" s="10">
        <f>IF(L484="","",IF(M484="Won",L484*G484,IF(M484="Void",L484,IF(M484="Cash out",N(N484),IF(M484="Lost",0,"")))))</f>
        <v/>
      </c>
      <c r="P484" s="10">
        <f>IF(OR(L484="",M484="",M484="Pending"),"",O484-L484)</f>
        <v/>
      </c>
      <c r="Q484" s="21" t="n"/>
      <c r="R484" s="11">
        <f>IF(OR(G484="",Q484=""),"",G484/Q484-1)</f>
        <v/>
      </c>
      <c r="S484" s="10">
        <f>IF(OR(L484="",J484=""),"",L484*J484)</f>
        <v/>
      </c>
      <c r="T484" s="10">
        <f>IF(P484="","",StartBank+SUM(P$2:P484))</f>
        <v/>
      </c>
    </row>
    <row r="485">
      <c r="A485" s="22" t="n"/>
      <c r="G485" s="21" t="n"/>
      <c r="H485" s="11" t="n"/>
      <c r="I485" s="21">
        <f>IF(OR(H485="",H485=0),"",1/H485)</f>
        <v/>
      </c>
      <c r="J485" s="11">
        <f>IF(OR(G485="",H485=""),"",H485*G485-1)</f>
        <v/>
      </c>
      <c r="K485" s="10">
        <f>IF(OR(G485="",H485="",G485&lt;=1),"",IF(J485&lt;IF(D485="Builder",MinEdgeBuilder,IF(D485="Player",MinEdgePlayer,MinEdgeSingle)),0,ROUND(MIN(IF(D485="Single",KellySingle,KellyBuilder)*(StartBank+SUM(P$1:P484))*J485/(G485-1),IF(D485="Builder",CapBuilder,CapSingle)*Unit),2)))</f>
        <v/>
      </c>
      <c r="L485" s="10" t="n"/>
      <c r="N485" s="10" t="n"/>
      <c r="O485" s="10">
        <f>IF(L485="","",IF(M485="Won",L485*G485,IF(M485="Void",L485,IF(M485="Cash out",N(N485),IF(M485="Lost",0,"")))))</f>
        <v/>
      </c>
      <c r="P485" s="10">
        <f>IF(OR(L485="",M485="",M485="Pending"),"",O485-L485)</f>
        <v/>
      </c>
      <c r="Q485" s="21" t="n"/>
      <c r="R485" s="11">
        <f>IF(OR(G485="",Q485=""),"",G485/Q485-1)</f>
        <v/>
      </c>
      <c r="S485" s="10">
        <f>IF(OR(L485="",J485=""),"",L485*J485)</f>
        <v/>
      </c>
      <c r="T485" s="10">
        <f>IF(P485="","",StartBank+SUM(P$2:P485))</f>
        <v/>
      </c>
    </row>
    <row r="486">
      <c r="A486" s="22" t="n"/>
      <c r="G486" s="21" t="n"/>
      <c r="H486" s="11" t="n"/>
      <c r="I486" s="21">
        <f>IF(OR(H486="",H486=0),"",1/H486)</f>
        <v/>
      </c>
      <c r="J486" s="11">
        <f>IF(OR(G486="",H486=""),"",H486*G486-1)</f>
        <v/>
      </c>
      <c r="K486" s="10">
        <f>IF(OR(G486="",H486="",G486&lt;=1),"",IF(J486&lt;IF(D486="Builder",MinEdgeBuilder,IF(D486="Player",MinEdgePlayer,MinEdgeSingle)),0,ROUND(MIN(IF(D486="Single",KellySingle,KellyBuilder)*(StartBank+SUM(P$1:P485))*J486/(G486-1),IF(D486="Builder",CapBuilder,CapSingle)*Unit),2)))</f>
        <v/>
      </c>
      <c r="L486" s="10" t="n"/>
      <c r="N486" s="10" t="n"/>
      <c r="O486" s="10">
        <f>IF(L486="","",IF(M486="Won",L486*G486,IF(M486="Void",L486,IF(M486="Cash out",N(N486),IF(M486="Lost",0,"")))))</f>
        <v/>
      </c>
      <c r="P486" s="10">
        <f>IF(OR(L486="",M486="",M486="Pending"),"",O486-L486)</f>
        <v/>
      </c>
      <c r="Q486" s="21" t="n"/>
      <c r="R486" s="11">
        <f>IF(OR(G486="",Q486=""),"",G486/Q486-1)</f>
        <v/>
      </c>
      <c r="S486" s="10">
        <f>IF(OR(L486="",J486=""),"",L486*J486)</f>
        <v/>
      </c>
      <c r="T486" s="10">
        <f>IF(P486="","",StartBank+SUM(P$2:P486))</f>
        <v/>
      </c>
    </row>
    <row r="487">
      <c r="A487" s="22" t="n"/>
      <c r="G487" s="21" t="n"/>
      <c r="H487" s="11" t="n"/>
      <c r="I487" s="21">
        <f>IF(OR(H487="",H487=0),"",1/H487)</f>
        <v/>
      </c>
      <c r="J487" s="11">
        <f>IF(OR(G487="",H487=""),"",H487*G487-1)</f>
        <v/>
      </c>
      <c r="K487" s="10">
        <f>IF(OR(G487="",H487="",G487&lt;=1),"",IF(J487&lt;IF(D487="Builder",MinEdgeBuilder,IF(D487="Player",MinEdgePlayer,MinEdgeSingle)),0,ROUND(MIN(IF(D487="Single",KellySingle,KellyBuilder)*(StartBank+SUM(P$1:P486))*J487/(G487-1),IF(D487="Builder",CapBuilder,CapSingle)*Unit),2)))</f>
        <v/>
      </c>
      <c r="L487" s="10" t="n"/>
      <c r="N487" s="10" t="n"/>
      <c r="O487" s="10">
        <f>IF(L487="","",IF(M487="Won",L487*G487,IF(M487="Void",L487,IF(M487="Cash out",N(N487),IF(M487="Lost",0,"")))))</f>
        <v/>
      </c>
      <c r="P487" s="10">
        <f>IF(OR(L487="",M487="",M487="Pending"),"",O487-L487)</f>
        <v/>
      </c>
      <c r="Q487" s="21" t="n"/>
      <c r="R487" s="11">
        <f>IF(OR(G487="",Q487=""),"",G487/Q487-1)</f>
        <v/>
      </c>
      <c r="S487" s="10">
        <f>IF(OR(L487="",J487=""),"",L487*J487)</f>
        <v/>
      </c>
      <c r="T487" s="10">
        <f>IF(P487="","",StartBank+SUM(P$2:P487))</f>
        <v/>
      </c>
    </row>
    <row r="488">
      <c r="A488" s="22" t="n"/>
      <c r="G488" s="21" t="n"/>
      <c r="H488" s="11" t="n"/>
      <c r="I488" s="21">
        <f>IF(OR(H488="",H488=0),"",1/H488)</f>
        <v/>
      </c>
      <c r="J488" s="11">
        <f>IF(OR(G488="",H488=""),"",H488*G488-1)</f>
        <v/>
      </c>
      <c r="K488" s="10">
        <f>IF(OR(G488="",H488="",G488&lt;=1),"",IF(J488&lt;IF(D488="Builder",MinEdgeBuilder,IF(D488="Player",MinEdgePlayer,MinEdgeSingle)),0,ROUND(MIN(IF(D488="Single",KellySingle,KellyBuilder)*(StartBank+SUM(P$1:P487))*J488/(G488-1),IF(D488="Builder",CapBuilder,CapSingle)*Unit),2)))</f>
        <v/>
      </c>
      <c r="L488" s="10" t="n"/>
      <c r="N488" s="10" t="n"/>
      <c r="O488" s="10">
        <f>IF(L488="","",IF(M488="Won",L488*G488,IF(M488="Void",L488,IF(M488="Cash out",N(N488),IF(M488="Lost",0,"")))))</f>
        <v/>
      </c>
      <c r="P488" s="10">
        <f>IF(OR(L488="",M488="",M488="Pending"),"",O488-L488)</f>
        <v/>
      </c>
      <c r="Q488" s="21" t="n"/>
      <c r="R488" s="11">
        <f>IF(OR(G488="",Q488=""),"",G488/Q488-1)</f>
        <v/>
      </c>
      <c r="S488" s="10">
        <f>IF(OR(L488="",J488=""),"",L488*J488)</f>
        <v/>
      </c>
      <c r="T488" s="10">
        <f>IF(P488="","",StartBank+SUM(P$2:P488))</f>
        <v/>
      </c>
    </row>
    <row r="489">
      <c r="A489" s="22" t="n"/>
      <c r="G489" s="21" t="n"/>
      <c r="H489" s="11" t="n"/>
      <c r="I489" s="21">
        <f>IF(OR(H489="",H489=0),"",1/H489)</f>
        <v/>
      </c>
      <c r="J489" s="11">
        <f>IF(OR(G489="",H489=""),"",H489*G489-1)</f>
        <v/>
      </c>
      <c r="K489" s="10">
        <f>IF(OR(G489="",H489="",G489&lt;=1),"",IF(J489&lt;IF(D489="Builder",MinEdgeBuilder,IF(D489="Player",MinEdgePlayer,MinEdgeSingle)),0,ROUND(MIN(IF(D489="Single",KellySingle,KellyBuilder)*(StartBank+SUM(P$1:P488))*J489/(G489-1),IF(D489="Builder",CapBuilder,CapSingle)*Unit),2)))</f>
        <v/>
      </c>
      <c r="L489" s="10" t="n"/>
      <c r="N489" s="10" t="n"/>
      <c r="O489" s="10">
        <f>IF(L489="","",IF(M489="Won",L489*G489,IF(M489="Void",L489,IF(M489="Cash out",N(N489),IF(M489="Lost",0,"")))))</f>
        <v/>
      </c>
      <c r="P489" s="10">
        <f>IF(OR(L489="",M489="",M489="Pending"),"",O489-L489)</f>
        <v/>
      </c>
      <c r="Q489" s="21" t="n"/>
      <c r="R489" s="11">
        <f>IF(OR(G489="",Q489=""),"",G489/Q489-1)</f>
        <v/>
      </c>
      <c r="S489" s="10">
        <f>IF(OR(L489="",J489=""),"",L489*J489)</f>
        <v/>
      </c>
      <c r="T489" s="10">
        <f>IF(P489="","",StartBank+SUM(P$2:P489))</f>
        <v/>
      </c>
    </row>
    <row r="490">
      <c r="A490" s="22" t="n"/>
      <c r="G490" s="21" t="n"/>
      <c r="H490" s="11" t="n"/>
      <c r="I490" s="21">
        <f>IF(OR(H490="",H490=0),"",1/H490)</f>
        <v/>
      </c>
      <c r="J490" s="11">
        <f>IF(OR(G490="",H490=""),"",H490*G490-1)</f>
        <v/>
      </c>
      <c r="K490" s="10">
        <f>IF(OR(G490="",H490="",G490&lt;=1),"",IF(J490&lt;IF(D490="Builder",MinEdgeBuilder,IF(D490="Player",MinEdgePlayer,MinEdgeSingle)),0,ROUND(MIN(IF(D490="Single",KellySingle,KellyBuilder)*(StartBank+SUM(P$1:P489))*J490/(G490-1),IF(D490="Builder",CapBuilder,CapSingle)*Unit),2)))</f>
        <v/>
      </c>
      <c r="L490" s="10" t="n"/>
      <c r="N490" s="10" t="n"/>
      <c r="O490" s="10">
        <f>IF(L490="","",IF(M490="Won",L490*G490,IF(M490="Void",L490,IF(M490="Cash out",N(N490),IF(M490="Lost",0,"")))))</f>
        <v/>
      </c>
      <c r="P490" s="10">
        <f>IF(OR(L490="",M490="",M490="Pending"),"",O490-L490)</f>
        <v/>
      </c>
      <c r="Q490" s="21" t="n"/>
      <c r="R490" s="11">
        <f>IF(OR(G490="",Q490=""),"",G490/Q490-1)</f>
        <v/>
      </c>
      <c r="S490" s="10">
        <f>IF(OR(L490="",J490=""),"",L490*J490)</f>
        <v/>
      </c>
      <c r="T490" s="10">
        <f>IF(P490="","",StartBank+SUM(P$2:P490))</f>
        <v/>
      </c>
    </row>
    <row r="491">
      <c r="A491" s="22" t="n"/>
      <c r="G491" s="21" t="n"/>
      <c r="H491" s="11" t="n"/>
      <c r="I491" s="21">
        <f>IF(OR(H491="",H491=0),"",1/H491)</f>
        <v/>
      </c>
      <c r="J491" s="11">
        <f>IF(OR(G491="",H491=""),"",H491*G491-1)</f>
        <v/>
      </c>
      <c r="K491" s="10">
        <f>IF(OR(G491="",H491="",G491&lt;=1),"",IF(J491&lt;IF(D491="Builder",MinEdgeBuilder,IF(D491="Player",MinEdgePlayer,MinEdgeSingle)),0,ROUND(MIN(IF(D491="Single",KellySingle,KellyBuilder)*(StartBank+SUM(P$1:P490))*J491/(G491-1),IF(D491="Builder",CapBuilder,CapSingle)*Unit),2)))</f>
        <v/>
      </c>
      <c r="L491" s="10" t="n"/>
      <c r="N491" s="10" t="n"/>
      <c r="O491" s="10">
        <f>IF(L491="","",IF(M491="Won",L491*G491,IF(M491="Void",L491,IF(M491="Cash out",N(N491),IF(M491="Lost",0,"")))))</f>
        <v/>
      </c>
      <c r="P491" s="10">
        <f>IF(OR(L491="",M491="",M491="Pending"),"",O491-L491)</f>
        <v/>
      </c>
      <c r="Q491" s="21" t="n"/>
      <c r="R491" s="11">
        <f>IF(OR(G491="",Q491=""),"",G491/Q491-1)</f>
        <v/>
      </c>
      <c r="S491" s="10">
        <f>IF(OR(L491="",J491=""),"",L491*J491)</f>
        <v/>
      </c>
      <c r="T491" s="10">
        <f>IF(P491="","",StartBank+SUM(P$2:P491))</f>
        <v/>
      </c>
    </row>
    <row r="492">
      <c r="A492" s="22" t="n"/>
      <c r="G492" s="21" t="n"/>
      <c r="H492" s="11" t="n"/>
      <c r="I492" s="21">
        <f>IF(OR(H492="",H492=0),"",1/H492)</f>
        <v/>
      </c>
      <c r="J492" s="11">
        <f>IF(OR(G492="",H492=""),"",H492*G492-1)</f>
        <v/>
      </c>
      <c r="K492" s="10">
        <f>IF(OR(G492="",H492="",G492&lt;=1),"",IF(J492&lt;IF(D492="Builder",MinEdgeBuilder,IF(D492="Player",MinEdgePlayer,MinEdgeSingle)),0,ROUND(MIN(IF(D492="Single",KellySingle,KellyBuilder)*(StartBank+SUM(P$1:P491))*J492/(G492-1),IF(D492="Builder",CapBuilder,CapSingle)*Unit),2)))</f>
        <v/>
      </c>
      <c r="L492" s="10" t="n"/>
      <c r="N492" s="10" t="n"/>
      <c r="O492" s="10">
        <f>IF(L492="","",IF(M492="Won",L492*G492,IF(M492="Void",L492,IF(M492="Cash out",N(N492),IF(M492="Lost",0,"")))))</f>
        <v/>
      </c>
      <c r="P492" s="10">
        <f>IF(OR(L492="",M492="",M492="Pending"),"",O492-L492)</f>
        <v/>
      </c>
      <c r="Q492" s="21" t="n"/>
      <c r="R492" s="11">
        <f>IF(OR(G492="",Q492=""),"",G492/Q492-1)</f>
        <v/>
      </c>
      <c r="S492" s="10">
        <f>IF(OR(L492="",J492=""),"",L492*J492)</f>
        <v/>
      </c>
      <c r="T492" s="10">
        <f>IF(P492="","",StartBank+SUM(P$2:P492))</f>
        <v/>
      </c>
    </row>
    <row r="493">
      <c r="A493" s="22" t="n"/>
      <c r="G493" s="21" t="n"/>
      <c r="H493" s="11" t="n"/>
      <c r="I493" s="21">
        <f>IF(OR(H493="",H493=0),"",1/H493)</f>
        <v/>
      </c>
      <c r="J493" s="11">
        <f>IF(OR(G493="",H493=""),"",H493*G493-1)</f>
        <v/>
      </c>
      <c r="K493" s="10">
        <f>IF(OR(G493="",H493="",G493&lt;=1),"",IF(J493&lt;IF(D493="Builder",MinEdgeBuilder,IF(D493="Player",MinEdgePlayer,MinEdgeSingle)),0,ROUND(MIN(IF(D493="Single",KellySingle,KellyBuilder)*(StartBank+SUM(P$1:P492))*J493/(G493-1),IF(D493="Builder",CapBuilder,CapSingle)*Unit),2)))</f>
        <v/>
      </c>
      <c r="L493" s="10" t="n"/>
      <c r="N493" s="10" t="n"/>
      <c r="O493" s="10">
        <f>IF(L493="","",IF(M493="Won",L493*G493,IF(M493="Void",L493,IF(M493="Cash out",N(N493),IF(M493="Lost",0,"")))))</f>
        <v/>
      </c>
      <c r="P493" s="10">
        <f>IF(OR(L493="",M493="",M493="Pending"),"",O493-L493)</f>
        <v/>
      </c>
      <c r="Q493" s="21" t="n"/>
      <c r="R493" s="11">
        <f>IF(OR(G493="",Q493=""),"",G493/Q493-1)</f>
        <v/>
      </c>
      <c r="S493" s="10">
        <f>IF(OR(L493="",J493=""),"",L493*J493)</f>
        <v/>
      </c>
      <c r="T493" s="10">
        <f>IF(P493="","",StartBank+SUM(P$2:P493))</f>
        <v/>
      </c>
    </row>
    <row r="494">
      <c r="A494" s="22" t="n"/>
      <c r="G494" s="21" t="n"/>
      <c r="H494" s="11" t="n"/>
      <c r="I494" s="21">
        <f>IF(OR(H494="",H494=0),"",1/H494)</f>
        <v/>
      </c>
      <c r="J494" s="11">
        <f>IF(OR(G494="",H494=""),"",H494*G494-1)</f>
        <v/>
      </c>
      <c r="K494" s="10">
        <f>IF(OR(G494="",H494="",G494&lt;=1),"",IF(J494&lt;IF(D494="Builder",MinEdgeBuilder,IF(D494="Player",MinEdgePlayer,MinEdgeSingle)),0,ROUND(MIN(IF(D494="Single",KellySingle,KellyBuilder)*(StartBank+SUM(P$1:P493))*J494/(G494-1),IF(D494="Builder",CapBuilder,CapSingle)*Unit),2)))</f>
        <v/>
      </c>
      <c r="L494" s="10" t="n"/>
      <c r="N494" s="10" t="n"/>
      <c r="O494" s="10">
        <f>IF(L494="","",IF(M494="Won",L494*G494,IF(M494="Void",L494,IF(M494="Cash out",N(N494),IF(M494="Lost",0,"")))))</f>
        <v/>
      </c>
      <c r="P494" s="10">
        <f>IF(OR(L494="",M494="",M494="Pending"),"",O494-L494)</f>
        <v/>
      </c>
      <c r="Q494" s="21" t="n"/>
      <c r="R494" s="11">
        <f>IF(OR(G494="",Q494=""),"",G494/Q494-1)</f>
        <v/>
      </c>
      <c r="S494" s="10">
        <f>IF(OR(L494="",J494=""),"",L494*J494)</f>
        <v/>
      </c>
      <c r="T494" s="10">
        <f>IF(P494="","",StartBank+SUM(P$2:P494))</f>
        <v/>
      </c>
    </row>
    <row r="495">
      <c r="A495" s="22" t="n"/>
      <c r="G495" s="21" t="n"/>
      <c r="H495" s="11" t="n"/>
      <c r="I495" s="21">
        <f>IF(OR(H495="",H495=0),"",1/H495)</f>
        <v/>
      </c>
      <c r="J495" s="11">
        <f>IF(OR(G495="",H495=""),"",H495*G495-1)</f>
        <v/>
      </c>
      <c r="K495" s="10">
        <f>IF(OR(G495="",H495="",G495&lt;=1),"",IF(J495&lt;IF(D495="Builder",MinEdgeBuilder,IF(D495="Player",MinEdgePlayer,MinEdgeSingle)),0,ROUND(MIN(IF(D495="Single",KellySingle,KellyBuilder)*(StartBank+SUM(P$1:P494))*J495/(G495-1),IF(D495="Builder",CapBuilder,CapSingle)*Unit),2)))</f>
        <v/>
      </c>
      <c r="L495" s="10" t="n"/>
      <c r="N495" s="10" t="n"/>
      <c r="O495" s="10">
        <f>IF(L495="","",IF(M495="Won",L495*G495,IF(M495="Void",L495,IF(M495="Cash out",N(N495),IF(M495="Lost",0,"")))))</f>
        <v/>
      </c>
      <c r="P495" s="10">
        <f>IF(OR(L495="",M495="",M495="Pending"),"",O495-L495)</f>
        <v/>
      </c>
      <c r="Q495" s="21" t="n"/>
      <c r="R495" s="11">
        <f>IF(OR(G495="",Q495=""),"",G495/Q495-1)</f>
        <v/>
      </c>
      <c r="S495" s="10">
        <f>IF(OR(L495="",J495=""),"",L495*J495)</f>
        <v/>
      </c>
      <c r="T495" s="10">
        <f>IF(P495="","",StartBank+SUM(P$2:P495))</f>
        <v/>
      </c>
    </row>
    <row r="496">
      <c r="A496" s="22" t="n"/>
      <c r="G496" s="21" t="n"/>
      <c r="H496" s="11" t="n"/>
      <c r="I496" s="21">
        <f>IF(OR(H496="",H496=0),"",1/H496)</f>
        <v/>
      </c>
      <c r="J496" s="11">
        <f>IF(OR(G496="",H496=""),"",H496*G496-1)</f>
        <v/>
      </c>
      <c r="K496" s="10">
        <f>IF(OR(G496="",H496="",G496&lt;=1),"",IF(J496&lt;IF(D496="Builder",MinEdgeBuilder,IF(D496="Player",MinEdgePlayer,MinEdgeSingle)),0,ROUND(MIN(IF(D496="Single",KellySingle,KellyBuilder)*(StartBank+SUM(P$1:P495))*J496/(G496-1),IF(D496="Builder",CapBuilder,CapSingle)*Unit),2)))</f>
        <v/>
      </c>
      <c r="L496" s="10" t="n"/>
      <c r="N496" s="10" t="n"/>
      <c r="O496" s="10">
        <f>IF(L496="","",IF(M496="Won",L496*G496,IF(M496="Void",L496,IF(M496="Cash out",N(N496),IF(M496="Lost",0,"")))))</f>
        <v/>
      </c>
      <c r="P496" s="10">
        <f>IF(OR(L496="",M496="",M496="Pending"),"",O496-L496)</f>
        <v/>
      </c>
      <c r="Q496" s="21" t="n"/>
      <c r="R496" s="11">
        <f>IF(OR(G496="",Q496=""),"",G496/Q496-1)</f>
        <v/>
      </c>
      <c r="S496" s="10">
        <f>IF(OR(L496="",J496=""),"",L496*J496)</f>
        <v/>
      </c>
      <c r="T496" s="10">
        <f>IF(P496="","",StartBank+SUM(P$2:P496))</f>
        <v/>
      </c>
    </row>
    <row r="497">
      <c r="A497" s="22" t="n"/>
      <c r="G497" s="21" t="n"/>
      <c r="H497" s="11" t="n"/>
      <c r="I497" s="21">
        <f>IF(OR(H497="",H497=0),"",1/H497)</f>
        <v/>
      </c>
      <c r="J497" s="11">
        <f>IF(OR(G497="",H497=""),"",H497*G497-1)</f>
        <v/>
      </c>
      <c r="K497" s="10">
        <f>IF(OR(G497="",H497="",G497&lt;=1),"",IF(J497&lt;IF(D497="Builder",MinEdgeBuilder,IF(D497="Player",MinEdgePlayer,MinEdgeSingle)),0,ROUND(MIN(IF(D497="Single",KellySingle,KellyBuilder)*(StartBank+SUM(P$1:P496))*J497/(G497-1),IF(D497="Builder",CapBuilder,CapSingle)*Unit),2)))</f>
        <v/>
      </c>
      <c r="L497" s="10" t="n"/>
      <c r="N497" s="10" t="n"/>
      <c r="O497" s="10">
        <f>IF(L497="","",IF(M497="Won",L497*G497,IF(M497="Void",L497,IF(M497="Cash out",N(N497),IF(M497="Lost",0,"")))))</f>
        <v/>
      </c>
      <c r="P497" s="10">
        <f>IF(OR(L497="",M497="",M497="Pending"),"",O497-L497)</f>
        <v/>
      </c>
      <c r="Q497" s="21" t="n"/>
      <c r="R497" s="11">
        <f>IF(OR(G497="",Q497=""),"",G497/Q497-1)</f>
        <v/>
      </c>
      <c r="S497" s="10">
        <f>IF(OR(L497="",J497=""),"",L497*J497)</f>
        <v/>
      </c>
      <c r="T497" s="10">
        <f>IF(P497="","",StartBank+SUM(P$2:P497))</f>
        <v/>
      </c>
    </row>
    <row r="498">
      <c r="A498" s="22" t="n"/>
      <c r="G498" s="21" t="n"/>
      <c r="H498" s="11" t="n"/>
      <c r="I498" s="21">
        <f>IF(OR(H498="",H498=0),"",1/H498)</f>
        <v/>
      </c>
      <c r="J498" s="11">
        <f>IF(OR(G498="",H498=""),"",H498*G498-1)</f>
        <v/>
      </c>
      <c r="K498" s="10">
        <f>IF(OR(G498="",H498="",G498&lt;=1),"",IF(J498&lt;IF(D498="Builder",MinEdgeBuilder,IF(D498="Player",MinEdgePlayer,MinEdgeSingle)),0,ROUND(MIN(IF(D498="Single",KellySingle,KellyBuilder)*(StartBank+SUM(P$1:P497))*J498/(G498-1),IF(D498="Builder",CapBuilder,CapSingle)*Unit),2)))</f>
        <v/>
      </c>
      <c r="L498" s="10" t="n"/>
      <c r="N498" s="10" t="n"/>
      <c r="O498" s="10">
        <f>IF(L498="","",IF(M498="Won",L498*G498,IF(M498="Void",L498,IF(M498="Cash out",N(N498),IF(M498="Lost",0,"")))))</f>
        <v/>
      </c>
      <c r="P498" s="10">
        <f>IF(OR(L498="",M498="",M498="Pending"),"",O498-L498)</f>
        <v/>
      </c>
      <c r="Q498" s="21" t="n"/>
      <c r="R498" s="11">
        <f>IF(OR(G498="",Q498=""),"",G498/Q498-1)</f>
        <v/>
      </c>
      <c r="S498" s="10">
        <f>IF(OR(L498="",J498=""),"",L498*J498)</f>
        <v/>
      </c>
      <c r="T498" s="10">
        <f>IF(P498="","",StartBank+SUM(P$2:P498))</f>
        <v/>
      </c>
    </row>
    <row r="499">
      <c r="A499" s="22" t="n"/>
      <c r="G499" s="21" t="n"/>
      <c r="H499" s="11" t="n"/>
      <c r="I499" s="21">
        <f>IF(OR(H499="",H499=0),"",1/H499)</f>
        <v/>
      </c>
      <c r="J499" s="11">
        <f>IF(OR(G499="",H499=""),"",H499*G499-1)</f>
        <v/>
      </c>
      <c r="K499" s="10">
        <f>IF(OR(G499="",H499="",G499&lt;=1),"",IF(J499&lt;IF(D499="Builder",MinEdgeBuilder,IF(D499="Player",MinEdgePlayer,MinEdgeSingle)),0,ROUND(MIN(IF(D499="Single",KellySingle,KellyBuilder)*(StartBank+SUM(P$1:P498))*J499/(G499-1),IF(D499="Builder",CapBuilder,CapSingle)*Unit),2)))</f>
        <v/>
      </c>
      <c r="L499" s="10" t="n"/>
      <c r="N499" s="10" t="n"/>
      <c r="O499" s="10">
        <f>IF(L499="","",IF(M499="Won",L499*G499,IF(M499="Void",L499,IF(M499="Cash out",N(N499),IF(M499="Lost",0,"")))))</f>
        <v/>
      </c>
      <c r="P499" s="10">
        <f>IF(OR(L499="",M499="",M499="Pending"),"",O499-L499)</f>
        <v/>
      </c>
      <c r="Q499" s="21" t="n"/>
      <c r="R499" s="11">
        <f>IF(OR(G499="",Q499=""),"",G499/Q499-1)</f>
        <v/>
      </c>
      <c r="S499" s="10">
        <f>IF(OR(L499="",J499=""),"",L499*J499)</f>
        <v/>
      </c>
      <c r="T499" s="10">
        <f>IF(P499="","",StartBank+SUM(P$2:P499))</f>
        <v/>
      </c>
    </row>
    <row r="500">
      <c r="A500" s="22" t="n"/>
      <c r="G500" s="21" t="n"/>
      <c r="H500" s="11" t="n"/>
      <c r="I500" s="21">
        <f>IF(OR(H500="",H500=0),"",1/H500)</f>
        <v/>
      </c>
      <c r="J500" s="11">
        <f>IF(OR(G500="",H500=""),"",H500*G500-1)</f>
        <v/>
      </c>
      <c r="K500" s="10">
        <f>IF(OR(G500="",H500="",G500&lt;=1),"",IF(J500&lt;IF(D500="Builder",MinEdgeBuilder,IF(D500="Player",MinEdgePlayer,MinEdgeSingle)),0,ROUND(MIN(IF(D500="Single",KellySingle,KellyBuilder)*(StartBank+SUM(P$1:P499))*J500/(G500-1),IF(D500="Builder",CapBuilder,CapSingle)*Unit),2)))</f>
        <v/>
      </c>
      <c r="L500" s="10" t="n"/>
      <c r="N500" s="10" t="n"/>
      <c r="O500" s="10">
        <f>IF(L500="","",IF(M500="Won",L500*G500,IF(M500="Void",L500,IF(M500="Cash out",N(N500),IF(M500="Lost",0,"")))))</f>
        <v/>
      </c>
      <c r="P500" s="10">
        <f>IF(OR(L500="",M500="",M500="Pending"),"",O500-L500)</f>
        <v/>
      </c>
      <c r="Q500" s="21" t="n"/>
      <c r="R500" s="11">
        <f>IF(OR(G500="",Q500=""),"",G500/Q500-1)</f>
        <v/>
      </c>
      <c r="S500" s="10">
        <f>IF(OR(L500="",J500=""),"",L500*J500)</f>
        <v/>
      </c>
      <c r="T500" s="10">
        <f>IF(P500="","",StartBank+SUM(P$2:P500))</f>
        <v/>
      </c>
    </row>
    <row r="501">
      <c r="A501" s="22" t="n"/>
      <c r="G501" s="21" t="n"/>
      <c r="H501" s="11" t="n"/>
      <c r="I501" s="21">
        <f>IF(OR(H501="",H501=0),"",1/H501)</f>
        <v/>
      </c>
      <c r="J501" s="11">
        <f>IF(OR(G501="",H501=""),"",H501*G501-1)</f>
        <v/>
      </c>
      <c r="K501" s="10">
        <f>IF(OR(G501="",H501="",G501&lt;=1),"",IF(J501&lt;IF(D501="Builder",MinEdgeBuilder,IF(D501="Player",MinEdgePlayer,MinEdgeSingle)),0,ROUND(MIN(IF(D501="Single",KellySingle,KellyBuilder)*(StartBank+SUM(P$1:P500))*J501/(G501-1),IF(D501="Builder",CapBuilder,CapSingle)*Unit),2)))</f>
        <v/>
      </c>
      <c r="L501" s="10" t="n"/>
      <c r="N501" s="10" t="n"/>
      <c r="O501" s="10">
        <f>IF(L501="","",IF(M501="Won",L501*G501,IF(M501="Void",L501,IF(M501="Cash out",N(N501),IF(M501="Lost",0,"")))))</f>
        <v/>
      </c>
      <c r="P501" s="10">
        <f>IF(OR(L501="",M501="",M501="Pending"),"",O501-L501)</f>
        <v/>
      </c>
      <c r="Q501" s="21" t="n"/>
      <c r="R501" s="11">
        <f>IF(OR(G501="",Q501=""),"",G501/Q501-1)</f>
        <v/>
      </c>
      <c r="S501" s="10">
        <f>IF(OR(L501="",J501=""),"",L501*J501)</f>
        <v/>
      </c>
      <c r="T501" s="10">
        <f>IF(P501="","",StartBank+SUM(P$2:P501))</f>
        <v/>
      </c>
    </row>
    <row r="502">
      <c r="A502" s="22" t="n"/>
      <c r="G502" s="21" t="n"/>
      <c r="H502" s="11" t="n"/>
      <c r="I502" s="21">
        <f>IF(OR(H502="",H502=0),"",1/H502)</f>
        <v/>
      </c>
      <c r="J502" s="11">
        <f>IF(OR(G502="",H502=""),"",H502*G502-1)</f>
        <v/>
      </c>
      <c r="K502" s="10">
        <f>IF(OR(G502="",H502="",G502&lt;=1),"",IF(J502&lt;IF(D502="Builder",MinEdgeBuilder,IF(D502="Player",MinEdgePlayer,MinEdgeSingle)),0,ROUND(MIN(IF(D502="Single",KellySingle,KellyBuilder)*(StartBank+SUM(P$1:P501))*J502/(G502-1),IF(D502="Builder",CapBuilder,CapSingle)*Unit),2)))</f>
        <v/>
      </c>
      <c r="L502" s="10" t="n"/>
      <c r="N502" s="10" t="n"/>
      <c r="O502" s="10">
        <f>IF(L502="","",IF(M502="Won",L502*G502,IF(M502="Void",L502,IF(M502="Cash out",N(N502),IF(M502="Lost",0,"")))))</f>
        <v/>
      </c>
      <c r="P502" s="10">
        <f>IF(OR(L502="",M502="",M502="Pending"),"",O502-L502)</f>
        <v/>
      </c>
      <c r="Q502" s="21" t="n"/>
      <c r="R502" s="11">
        <f>IF(OR(G502="",Q502=""),"",G502/Q502-1)</f>
        <v/>
      </c>
      <c r="S502" s="10">
        <f>IF(OR(L502="",J502=""),"",L502*J502)</f>
        <v/>
      </c>
      <c r="T502" s="10">
        <f>IF(P502="","",StartBank+SUM(P$2:P502))</f>
        <v/>
      </c>
    </row>
    <row r="503">
      <c r="A503" s="22" t="n"/>
      <c r="G503" s="21" t="n"/>
      <c r="H503" s="11" t="n"/>
      <c r="I503" s="21">
        <f>IF(OR(H503="",H503=0),"",1/H503)</f>
        <v/>
      </c>
      <c r="J503" s="11">
        <f>IF(OR(G503="",H503=""),"",H503*G503-1)</f>
        <v/>
      </c>
      <c r="K503" s="10">
        <f>IF(OR(G503="",H503="",G503&lt;=1),"",IF(J503&lt;IF(D503="Builder",MinEdgeBuilder,IF(D503="Player",MinEdgePlayer,MinEdgeSingle)),0,ROUND(MIN(IF(D503="Single",KellySingle,KellyBuilder)*(StartBank+SUM(P$1:P502))*J503/(G503-1),IF(D503="Builder",CapBuilder,CapSingle)*Unit),2)))</f>
        <v/>
      </c>
      <c r="L503" s="10" t="n"/>
      <c r="N503" s="10" t="n"/>
      <c r="O503" s="10">
        <f>IF(L503="","",IF(M503="Won",L503*G503,IF(M503="Void",L503,IF(M503="Cash out",N(N503),IF(M503="Lost",0,"")))))</f>
        <v/>
      </c>
      <c r="P503" s="10">
        <f>IF(OR(L503="",M503="",M503="Pending"),"",O503-L503)</f>
        <v/>
      </c>
      <c r="Q503" s="21" t="n"/>
      <c r="R503" s="11">
        <f>IF(OR(G503="",Q503=""),"",G503/Q503-1)</f>
        <v/>
      </c>
      <c r="S503" s="10">
        <f>IF(OR(L503="",J503=""),"",L503*J503)</f>
        <v/>
      </c>
      <c r="T503" s="10">
        <f>IF(P503="","",StartBank+SUM(P$2:P503))</f>
        <v/>
      </c>
    </row>
    <row r="504">
      <c r="A504" s="22" t="n"/>
      <c r="G504" s="21" t="n"/>
      <c r="H504" s="11" t="n"/>
      <c r="I504" s="21">
        <f>IF(OR(H504="",H504=0),"",1/H504)</f>
        <v/>
      </c>
      <c r="J504" s="11">
        <f>IF(OR(G504="",H504=""),"",H504*G504-1)</f>
        <v/>
      </c>
      <c r="K504" s="10">
        <f>IF(OR(G504="",H504="",G504&lt;=1),"",IF(J504&lt;IF(D504="Builder",MinEdgeBuilder,IF(D504="Player",MinEdgePlayer,MinEdgeSingle)),0,ROUND(MIN(IF(D504="Single",KellySingle,KellyBuilder)*(StartBank+SUM(P$1:P503))*J504/(G504-1),IF(D504="Builder",CapBuilder,CapSingle)*Unit),2)))</f>
        <v/>
      </c>
      <c r="L504" s="10" t="n"/>
      <c r="N504" s="10" t="n"/>
      <c r="O504" s="10">
        <f>IF(L504="","",IF(M504="Won",L504*G504,IF(M504="Void",L504,IF(M504="Cash out",N(N504),IF(M504="Lost",0,"")))))</f>
        <v/>
      </c>
      <c r="P504" s="10">
        <f>IF(OR(L504="",M504="",M504="Pending"),"",O504-L504)</f>
        <v/>
      </c>
      <c r="Q504" s="21" t="n"/>
      <c r="R504" s="11">
        <f>IF(OR(G504="",Q504=""),"",G504/Q504-1)</f>
        <v/>
      </c>
      <c r="S504" s="10">
        <f>IF(OR(L504="",J504=""),"",L504*J504)</f>
        <v/>
      </c>
      <c r="T504" s="10">
        <f>IF(P504="","",StartBank+SUM(P$2:P504))</f>
        <v/>
      </c>
    </row>
    <row r="505">
      <c r="A505" s="22" t="n"/>
      <c r="G505" s="21" t="n"/>
      <c r="H505" s="11" t="n"/>
      <c r="I505" s="21">
        <f>IF(OR(H505="",H505=0),"",1/H505)</f>
        <v/>
      </c>
      <c r="J505" s="11">
        <f>IF(OR(G505="",H505=""),"",H505*G505-1)</f>
        <v/>
      </c>
      <c r="K505" s="10">
        <f>IF(OR(G505="",H505="",G505&lt;=1),"",IF(J505&lt;IF(D505="Builder",MinEdgeBuilder,IF(D505="Player",MinEdgePlayer,MinEdgeSingle)),0,ROUND(MIN(IF(D505="Single",KellySingle,KellyBuilder)*(StartBank+SUM(P$1:P504))*J505/(G505-1),IF(D505="Builder",CapBuilder,CapSingle)*Unit),2)))</f>
        <v/>
      </c>
      <c r="L505" s="10" t="n"/>
      <c r="N505" s="10" t="n"/>
      <c r="O505" s="10">
        <f>IF(L505="","",IF(M505="Won",L505*G505,IF(M505="Void",L505,IF(M505="Cash out",N(N505),IF(M505="Lost",0,"")))))</f>
        <v/>
      </c>
      <c r="P505" s="10">
        <f>IF(OR(L505="",M505="",M505="Pending"),"",O505-L505)</f>
        <v/>
      </c>
      <c r="Q505" s="21" t="n"/>
      <c r="R505" s="11">
        <f>IF(OR(G505="",Q505=""),"",G505/Q505-1)</f>
        <v/>
      </c>
      <c r="S505" s="10">
        <f>IF(OR(L505="",J505=""),"",L505*J505)</f>
        <v/>
      </c>
      <c r="T505" s="10">
        <f>IF(P505="","",StartBank+SUM(P$2:P505))</f>
        <v/>
      </c>
    </row>
    <row r="506">
      <c r="A506" s="22" t="n"/>
      <c r="G506" s="21" t="n"/>
      <c r="H506" s="11" t="n"/>
      <c r="I506" s="21">
        <f>IF(OR(H506="",H506=0),"",1/H506)</f>
        <v/>
      </c>
      <c r="J506" s="11">
        <f>IF(OR(G506="",H506=""),"",H506*G506-1)</f>
        <v/>
      </c>
      <c r="K506" s="10">
        <f>IF(OR(G506="",H506="",G506&lt;=1),"",IF(J506&lt;IF(D506="Builder",MinEdgeBuilder,IF(D506="Player",MinEdgePlayer,MinEdgeSingle)),0,ROUND(MIN(IF(D506="Single",KellySingle,KellyBuilder)*(StartBank+SUM(P$1:P505))*J506/(G506-1),IF(D506="Builder",CapBuilder,CapSingle)*Unit),2)))</f>
        <v/>
      </c>
      <c r="L506" s="10" t="n"/>
      <c r="N506" s="10" t="n"/>
      <c r="O506" s="10">
        <f>IF(L506="","",IF(M506="Won",L506*G506,IF(M506="Void",L506,IF(M506="Cash out",N(N506),IF(M506="Lost",0,"")))))</f>
        <v/>
      </c>
      <c r="P506" s="10">
        <f>IF(OR(L506="",M506="",M506="Pending"),"",O506-L506)</f>
        <v/>
      </c>
      <c r="Q506" s="21" t="n"/>
      <c r="R506" s="11">
        <f>IF(OR(G506="",Q506=""),"",G506/Q506-1)</f>
        <v/>
      </c>
      <c r="S506" s="10">
        <f>IF(OR(L506="",J506=""),"",L506*J506)</f>
        <v/>
      </c>
      <c r="T506" s="10">
        <f>IF(P506="","",StartBank+SUM(P$2:P506))</f>
        <v/>
      </c>
    </row>
    <row r="507">
      <c r="A507" s="22" t="n"/>
      <c r="G507" s="21" t="n"/>
      <c r="H507" s="11" t="n"/>
      <c r="I507" s="21">
        <f>IF(OR(H507="",H507=0),"",1/H507)</f>
        <v/>
      </c>
      <c r="J507" s="11">
        <f>IF(OR(G507="",H507=""),"",H507*G507-1)</f>
        <v/>
      </c>
      <c r="K507" s="10">
        <f>IF(OR(G507="",H507="",G507&lt;=1),"",IF(J507&lt;IF(D507="Builder",MinEdgeBuilder,IF(D507="Player",MinEdgePlayer,MinEdgeSingle)),0,ROUND(MIN(IF(D507="Single",KellySingle,KellyBuilder)*(StartBank+SUM(P$1:P506))*J507/(G507-1),IF(D507="Builder",CapBuilder,CapSingle)*Unit),2)))</f>
        <v/>
      </c>
      <c r="L507" s="10" t="n"/>
      <c r="N507" s="10" t="n"/>
      <c r="O507" s="10">
        <f>IF(L507="","",IF(M507="Won",L507*G507,IF(M507="Void",L507,IF(M507="Cash out",N(N507),IF(M507="Lost",0,"")))))</f>
        <v/>
      </c>
      <c r="P507" s="10">
        <f>IF(OR(L507="",M507="",M507="Pending"),"",O507-L507)</f>
        <v/>
      </c>
      <c r="Q507" s="21" t="n"/>
      <c r="R507" s="11">
        <f>IF(OR(G507="",Q507=""),"",G507/Q507-1)</f>
        <v/>
      </c>
      <c r="S507" s="10">
        <f>IF(OR(L507="",J507=""),"",L507*J507)</f>
        <v/>
      </c>
      <c r="T507" s="10">
        <f>IF(P507="","",StartBank+SUM(P$2:P507))</f>
        <v/>
      </c>
    </row>
    <row r="508">
      <c r="A508" s="22" t="n"/>
      <c r="G508" s="21" t="n"/>
      <c r="H508" s="11" t="n"/>
      <c r="I508" s="21">
        <f>IF(OR(H508="",H508=0),"",1/H508)</f>
        <v/>
      </c>
      <c r="J508" s="11">
        <f>IF(OR(G508="",H508=""),"",H508*G508-1)</f>
        <v/>
      </c>
      <c r="K508" s="10">
        <f>IF(OR(G508="",H508="",G508&lt;=1),"",IF(J508&lt;IF(D508="Builder",MinEdgeBuilder,IF(D508="Player",MinEdgePlayer,MinEdgeSingle)),0,ROUND(MIN(IF(D508="Single",KellySingle,KellyBuilder)*(StartBank+SUM(P$1:P507))*J508/(G508-1),IF(D508="Builder",CapBuilder,CapSingle)*Unit),2)))</f>
        <v/>
      </c>
      <c r="L508" s="10" t="n"/>
      <c r="N508" s="10" t="n"/>
      <c r="O508" s="10">
        <f>IF(L508="","",IF(M508="Won",L508*G508,IF(M508="Void",L508,IF(M508="Cash out",N(N508),IF(M508="Lost",0,"")))))</f>
        <v/>
      </c>
      <c r="P508" s="10">
        <f>IF(OR(L508="",M508="",M508="Pending"),"",O508-L508)</f>
        <v/>
      </c>
      <c r="Q508" s="21" t="n"/>
      <c r="R508" s="11">
        <f>IF(OR(G508="",Q508=""),"",G508/Q508-1)</f>
        <v/>
      </c>
      <c r="S508" s="10">
        <f>IF(OR(L508="",J508=""),"",L508*J508)</f>
        <v/>
      </c>
      <c r="T508" s="10">
        <f>IF(P508="","",StartBank+SUM(P$2:P508))</f>
        <v/>
      </c>
    </row>
    <row r="509">
      <c r="A509" s="22" t="n"/>
      <c r="G509" s="21" t="n"/>
      <c r="H509" s="11" t="n"/>
      <c r="I509" s="21">
        <f>IF(OR(H509="",H509=0),"",1/H509)</f>
        <v/>
      </c>
      <c r="J509" s="11">
        <f>IF(OR(G509="",H509=""),"",H509*G509-1)</f>
        <v/>
      </c>
      <c r="K509" s="10">
        <f>IF(OR(G509="",H509="",G509&lt;=1),"",IF(J509&lt;IF(D509="Builder",MinEdgeBuilder,IF(D509="Player",MinEdgePlayer,MinEdgeSingle)),0,ROUND(MIN(IF(D509="Single",KellySingle,KellyBuilder)*(StartBank+SUM(P$1:P508))*J509/(G509-1),IF(D509="Builder",CapBuilder,CapSingle)*Unit),2)))</f>
        <v/>
      </c>
      <c r="L509" s="10" t="n"/>
      <c r="N509" s="10" t="n"/>
      <c r="O509" s="10">
        <f>IF(L509="","",IF(M509="Won",L509*G509,IF(M509="Void",L509,IF(M509="Cash out",N(N509),IF(M509="Lost",0,"")))))</f>
        <v/>
      </c>
      <c r="P509" s="10">
        <f>IF(OR(L509="",M509="",M509="Pending"),"",O509-L509)</f>
        <v/>
      </c>
      <c r="Q509" s="21" t="n"/>
      <c r="R509" s="11">
        <f>IF(OR(G509="",Q509=""),"",G509/Q509-1)</f>
        <v/>
      </c>
      <c r="S509" s="10">
        <f>IF(OR(L509="",J509=""),"",L509*J509)</f>
        <v/>
      </c>
      <c r="T509" s="10">
        <f>IF(P509="","",StartBank+SUM(P$2:P509))</f>
        <v/>
      </c>
    </row>
    <row r="510">
      <c r="A510" s="22" t="n"/>
      <c r="G510" s="21" t="n"/>
      <c r="H510" s="11" t="n"/>
      <c r="I510" s="21">
        <f>IF(OR(H510="",H510=0),"",1/H510)</f>
        <v/>
      </c>
      <c r="J510" s="11">
        <f>IF(OR(G510="",H510=""),"",H510*G510-1)</f>
        <v/>
      </c>
      <c r="K510" s="10">
        <f>IF(OR(G510="",H510="",G510&lt;=1),"",IF(J510&lt;IF(D510="Builder",MinEdgeBuilder,IF(D510="Player",MinEdgePlayer,MinEdgeSingle)),0,ROUND(MIN(IF(D510="Single",KellySingle,KellyBuilder)*(StartBank+SUM(P$1:P509))*J510/(G510-1),IF(D510="Builder",CapBuilder,CapSingle)*Unit),2)))</f>
        <v/>
      </c>
      <c r="L510" s="10" t="n"/>
      <c r="N510" s="10" t="n"/>
      <c r="O510" s="10">
        <f>IF(L510="","",IF(M510="Won",L510*G510,IF(M510="Void",L510,IF(M510="Cash out",N(N510),IF(M510="Lost",0,"")))))</f>
        <v/>
      </c>
      <c r="P510" s="10">
        <f>IF(OR(L510="",M510="",M510="Pending"),"",O510-L510)</f>
        <v/>
      </c>
      <c r="Q510" s="21" t="n"/>
      <c r="R510" s="11">
        <f>IF(OR(G510="",Q510=""),"",G510/Q510-1)</f>
        <v/>
      </c>
      <c r="S510" s="10">
        <f>IF(OR(L510="",J510=""),"",L510*J510)</f>
        <v/>
      </c>
      <c r="T510" s="10">
        <f>IF(P510="","",StartBank+SUM(P$2:P510))</f>
        <v/>
      </c>
    </row>
    <row r="511">
      <c r="A511" s="22" t="n"/>
      <c r="G511" s="21" t="n"/>
      <c r="H511" s="11" t="n"/>
      <c r="I511" s="21">
        <f>IF(OR(H511="",H511=0),"",1/H511)</f>
        <v/>
      </c>
      <c r="J511" s="11">
        <f>IF(OR(G511="",H511=""),"",H511*G511-1)</f>
        <v/>
      </c>
      <c r="K511" s="10">
        <f>IF(OR(G511="",H511="",G511&lt;=1),"",IF(J511&lt;IF(D511="Builder",MinEdgeBuilder,IF(D511="Player",MinEdgePlayer,MinEdgeSingle)),0,ROUND(MIN(IF(D511="Single",KellySingle,KellyBuilder)*(StartBank+SUM(P$1:P510))*J511/(G511-1),IF(D511="Builder",CapBuilder,CapSingle)*Unit),2)))</f>
        <v/>
      </c>
      <c r="L511" s="10" t="n"/>
      <c r="N511" s="10" t="n"/>
      <c r="O511" s="10">
        <f>IF(L511="","",IF(M511="Won",L511*G511,IF(M511="Void",L511,IF(M511="Cash out",N(N511),IF(M511="Lost",0,"")))))</f>
        <v/>
      </c>
      <c r="P511" s="10">
        <f>IF(OR(L511="",M511="",M511="Pending"),"",O511-L511)</f>
        <v/>
      </c>
      <c r="Q511" s="21" t="n"/>
      <c r="R511" s="11">
        <f>IF(OR(G511="",Q511=""),"",G511/Q511-1)</f>
        <v/>
      </c>
      <c r="S511" s="10">
        <f>IF(OR(L511="",J511=""),"",L511*J511)</f>
        <v/>
      </c>
      <c r="T511" s="10">
        <f>IF(P511="","",StartBank+SUM(P$2:P511))</f>
        <v/>
      </c>
    </row>
    <row r="512">
      <c r="A512" s="22" t="n"/>
      <c r="G512" s="21" t="n"/>
      <c r="H512" s="11" t="n"/>
      <c r="I512" s="21">
        <f>IF(OR(H512="",H512=0),"",1/H512)</f>
        <v/>
      </c>
      <c r="J512" s="11">
        <f>IF(OR(G512="",H512=""),"",H512*G512-1)</f>
        <v/>
      </c>
      <c r="K512" s="10">
        <f>IF(OR(G512="",H512="",G512&lt;=1),"",IF(J512&lt;IF(D512="Builder",MinEdgeBuilder,IF(D512="Player",MinEdgePlayer,MinEdgeSingle)),0,ROUND(MIN(IF(D512="Single",KellySingle,KellyBuilder)*(StartBank+SUM(P$1:P511))*J512/(G512-1),IF(D512="Builder",CapBuilder,CapSingle)*Unit),2)))</f>
        <v/>
      </c>
      <c r="L512" s="10" t="n"/>
      <c r="N512" s="10" t="n"/>
      <c r="O512" s="10">
        <f>IF(L512="","",IF(M512="Won",L512*G512,IF(M512="Void",L512,IF(M512="Cash out",N(N512),IF(M512="Lost",0,"")))))</f>
        <v/>
      </c>
      <c r="P512" s="10">
        <f>IF(OR(L512="",M512="",M512="Pending"),"",O512-L512)</f>
        <v/>
      </c>
      <c r="Q512" s="21" t="n"/>
      <c r="R512" s="11">
        <f>IF(OR(G512="",Q512=""),"",G512/Q512-1)</f>
        <v/>
      </c>
      <c r="S512" s="10">
        <f>IF(OR(L512="",J512=""),"",L512*J512)</f>
        <v/>
      </c>
      <c r="T512" s="10">
        <f>IF(P512="","",StartBank+SUM(P$2:P512))</f>
        <v/>
      </c>
    </row>
    <row r="513">
      <c r="A513" s="22" t="n"/>
      <c r="G513" s="21" t="n"/>
      <c r="H513" s="11" t="n"/>
      <c r="I513" s="21">
        <f>IF(OR(H513="",H513=0),"",1/H513)</f>
        <v/>
      </c>
      <c r="J513" s="11">
        <f>IF(OR(G513="",H513=""),"",H513*G513-1)</f>
        <v/>
      </c>
      <c r="K513" s="10">
        <f>IF(OR(G513="",H513="",G513&lt;=1),"",IF(J513&lt;IF(D513="Builder",MinEdgeBuilder,IF(D513="Player",MinEdgePlayer,MinEdgeSingle)),0,ROUND(MIN(IF(D513="Single",KellySingle,KellyBuilder)*(StartBank+SUM(P$1:P512))*J513/(G513-1),IF(D513="Builder",CapBuilder,CapSingle)*Unit),2)))</f>
        <v/>
      </c>
      <c r="L513" s="10" t="n"/>
      <c r="N513" s="10" t="n"/>
      <c r="O513" s="10">
        <f>IF(L513="","",IF(M513="Won",L513*G513,IF(M513="Void",L513,IF(M513="Cash out",N(N513),IF(M513="Lost",0,"")))))</f>
        <v/>
      </c>
      <c r="P513" s="10">
        <f>IF(OR(L513="",M513="",M513="Pending"),"",O513-L513)</f>
        <v/>
      </c>
      <c r="Q513" s="21" t="n"/>
      <c r="R513" s="11">
        <f>IF(OR(G513="",Q513=""),"",G513/Q513-1)</f>
        <v/>
      </c>
      <c r="S513" s="10">
        <f>IF(OR(L513="",J513=""),"",L513*J513)</f>
        <v/>
      </c>
      <c r="T513" s="10">
        <f>IF(P513="","",StartBank+SUM(P$2:P513))</f>
        <v/>
      </c>
    </row>
    <row r="514">
      <c r="A514" s="22" t="n"/>
      <c r="G514" s="21" t="n"/>
      <c r="H514" s="11" t="n"/>
      <c r="I514" s="21">
        <f>IF(OR(H514="",H514=0),"",1/H514)</f>
        <v/>
      </c>
      <c r="J514" s="11">
        <f>IF(OR(G514="",H514=""),"",H514*G514-1)</f>
        <v/>
      </c>
      <c r="K514" s="10">
        <f>IF(OR(G514="",H514="",G514&lt;=1),"",IF(J514&lt;IF(D514="Builder",MinEdgeBuilder,IF(D514="Player",MinEdgePlayer,MinEdgeSingle)),0,ROUND(MIN(IF(D514="Single",KellySingle,KellyBuilder)*(StartBank+SUM(P$1:P513))*J514/(G514-1),IF(D514="Builder",CapBuilder,CapSingle)*Unit),2)))</f>
        <v/>
      </c>
      <c r="L514" s="10" t="n"/>
      <c r="N514" s="10" t="n"/>
      <c r="O514" s="10">
        <f>IF(L514="","",IF(M514="Won",L514*G514,IF(M514="Void",L514,IF(M514="Cash out",N(N514),IF(M514="Lost",0,"")))))</f>
        <v/>
      </c>
      <c r="P514" s="10">
        <f>IF(OR(L514="",M514="",M514="Pending"),"",O514-L514)</f>
        <v/>
      </c>
      <c r="Q514" s="21" t="n"/>
      <c r="R514" s="11">
        <f>IF(OR(G514="",Q514=""),"",G514/Q514-1)</f>
        <v/>
      </c>
      <c r="S514" s="10">
        <f>IF(OR(L514="",J514=""),"",L514*J514)</f>
        <v/>
      </c>
      <c r="T514" s="10">
        <f>IF(P514="","",StartBank+SUM(P$2:P514))</f>
        <v/>
      </c>
    </row>
    <row r="515">
      <c r="A515" s="22" t="n"/>
      <c r="G515" s="21" t="n"/>
      <c r="H515" s="11" t="n"/>
      <c r="I515" s="21">
        <f>IF(OR(H515="",H515=0),"",1/H515)</f>
        <v/>
      </c>
      <c r="J515" s="11">
        <f>IF(OR(G515="",H515=""),"",H515*G515-1)</f>
        <v/>
      </c>
      <c r="K515" s="10">
        <f>IF(OR(G515="",H515="",G515&lt;=1),"",IF(J515&lt;IF(D515="Builder",MinEdgeBuilder,IF(D515="Player",MinEdgePlayer,MinEdgeSingle)),0,ROUND(MIN(IF(D515="Single",KellySingle,KellyBuilder)*(StartBank+SUM(P$1:P514))*J515/(G515-1),IF(D515="Builder",CapBuilder,CapSingle)*Unit),2)))</f>
        <v/>
      </c>
      <c r="L515" s="10" t="n"/>
      <c r="N515" s="10" t="n"/>
      <c r="O515" s="10">
        <f>IF(L515="","",IF(M515="Won",L515*G515,IF(M515="Void",L515,IF(M515="Cash out",N(N515),IF(M515="Lost",0,"")))))</f>
        <v/>
      </c>
      <c r="P515" s="10">
        <f>IF(OR(L515="",M515="",M515="Pending"),"",O515-L515)</f>
        <v/>
      </c>
      <c r="Q515" s="21" t="n"/>
      <c r="R515" s="11">
        <f>IF(OR(G515="",Q515=""),"",G515/Q515-1)</f>
        <v/>
      </c>
      <c r="S515" s="10">
        <f>IF(OR(L515="",J515=""),"",L515*J515)</f>
        <v/>
      </c>
      <c r="T515" s="10">
        <f>IF(P515="","",StartBank+SUM(P$2:P515))</f>
        <v/>
      </c>
    </row>
    <row r="516">
      <c r="A516" s="22" t="n"/>
      <c r="G516" s="21" t="n"/>
      <c r="H516" s="11" t="n"/>
      <c r="I516" s="21">
        <f>IF(OR(H516="",H516=0),"",1/H516)</f>
        <v/>
      </c>
      <c r="J516" s="11">
        <f>IF(OR(G516="",H516=""),"",H516*G516-1)</f>
        <v/>
      </c>
      <c r="K516" s="10">
        <f>IF(OR(G516="",H516="",G516&lt;=1),"",IF(J516&lt;IF(D516="Builder",MinEdgeBuilder,IF(D516="Player",MinEdgePlayer,MinEdgeSingle)),0,ROUND(MIN(IF(D516="Single",KellySingle,KellyBuilder)*(StartBank+SUM(P$1:P515))*J516/(G516-1),IF(D516="Builder",CapBuilder,CapSingle)*Unit),2)))</f>
        <v/>
      </c>
      <c r="L516" s="10" t="n"/>
      <c r="N516" s="10" t="n"/>
      <c r="O516" s="10">
        <f>IF(L516="","",IF(M516="Won",L516*G516,IF(M516="Void",L516,IF(M516="Cash out",N(N516),IF(M516="Lost",0,"")))))</f>
        <v/>
      </c>
      <c r="P516" s="10">
        <f>IF(OR(L516="",M516="",M516="Pending"),"",O516-L516)</f>
        <v/>
      </c>
      <c r="Q516" s="21" t="n"/>
      <c r="R516" s="11">
        <f>IF(OR(G516="",Q516=""),"",G516/Q516-1)</f>
        <v/>
      </c>
      <c r="S516" s="10">
        <f>IF(OR(L516="",J516=""),"",L516*J516)</f>
        <v/>
      </c>
      <c r="T516" s="10">
        <f>IF(P516="","",StartBank+SUM(P$2:P516))</f>
        <v/>
      </c>
    </row>
    <row r="517">
      <c r="A517" s="22" t="n"/>
      <c r="G517" s="21" t="n"/>
      <c r="H517" s="11" t="n"/>
      <c r="I517" s="21">
        <f>IF(OR(H517="",H517=0),"",1/H517)</f>
        <v/>
      </c>
      <c r="J517" s="11">
        <f>IF(OR(G517="",H517=""),"",H517*G517-1)</f>
        <v/>
      </c>
      <c r="K517" s="10">
        <f>IF(OR(G517="",H517="",G517&lt;=1),"",IF(J517&lt;IF(D517="Builder",MinEdgeBuilder,IF(D517="Player",MinEdgePlayer,MinEdgeSingle)),0,ROUND(MIN(IF(D517="Single",KellySingle,KellyBuilder)*(StartBank+SUM(P$1:P516))*J517/(G517-1),IF(D517="Builder",CapBuilder,CapSingle)*Unit),2)))</f>
        <v/>
      </c>
      <c r="L517" s="10" t="n"/>
      <c r="N517" s="10" t="n"/>
      <c r="O517" s="10">
        <f>IF(L517="","",IF(M517="Won",L517*G517,IF(M517="Void",L517,IF(M517="Cash out",N(N517),IF(M517="Lost",0,"")))))</f>
        <v/>
      </c>
      <c r="P517" s="10">
        <f>IF(OR(L517="",M517="",M517="Pending"),"",O517-L517)</f>
        <v/>
      </c>
      <c r="Q517" s="21" t="n"/>
      <c r="R517" s="11">
        <f>IF(OR(G517="",Q517=""),"",G517/Q517-1)</f>
        <v/>
      </c>
      <c r="S517" s="10">
        <f>IF(OR(L517="",J517=""),"",L517*J517)</f>
        <v/>
      </c>
      <c r="T517" s="10">
        <f>IF(P517="","",StartBank+SUM(P$2:P517))</f>
        <v/>
      </c>
    </row>
    <row r="518">
      <c r="A518" s="22" t="n"/>
      <c r="G518" s="21" t="n"/>
      <c r="H518" s="11" t="n"/>
      <c r="I518" s="21">
        <f>IF(OR(H518="",H518=0),"",1/H518)</f>
        <v/>
      </c>
      <c r="J518" s="11">
        <f>IF(OR(G518="",H518=""),"",H518*G518-1)</f>
        <v/>
      </c>
      <c r="K518" s="10">
        <f>IF(OR(G518="",H518="",G518&lt;=1),"",IF(J518&lt;IF(D518="Builder",MinEdgeBuilder,IF(D518="Player",MinEdgePlayer,MinEdgeSingle)),0,ROUND(MIN(IF(D518="Single",KellySingle,KellyBuilder)*(StartBank+SUM(P$1:P517))*J518/(G518-1),IF(D518="Builder",CapBuilder,CapSingle)*Unit),2)))</f>
        <v/>
      </c>
      <c r="L518" s="10" t="n"/>
      <c r="N518" s="10" t="n"/>
      <c r="O518" s="10">
        <f>IF(L518="","",IF(M518="Won",L518*G518,IF(M518="Void",L518,IF(M518="Cash out",N(N518),IF(M518="Lost",0,"")))))</f>
        <v/>
      </c>
      <c r="P518" s="10">
        <f>IF(OR(L518="",M518="",M518="Pending"),"",O518-L518)</f>
        <v/>
      </c>
      <c r="Q518" s="21" t="n"/>
      <c r="R518" s="11">
        <f>IF(OR(G518="",Q518=""),"",G518/Q518-1)</f>
        <v/>
      </c>
      <c r="S518" s="10">
        <f>IF(OR(L518="",J518=""),"",L518*J518)</f>
        <v/>
      </c>
      <c r="T518" s="10">
        <f>IF(P518="","",StartBank+SUM(P$2:P518))</f>
        <v/>
      </c>
    </row>
    <row r="519">
      <c r="A519" s="22" t="n"/>
      <c r="G519" s="21" t="n"/>
      <c r="H519" s="11" t="n"/>
      <c r="I519" s="21">
        <f>IF(OR(H519="",H519=0),"",1/H519)</f>
        <v/>
      </c>
      <c r="J519" s="11">
        <f>IF(OR(G519="",H519=""),"",H519*G519-1)</f>
        <v/>
      </c>
      <c r="K519" s="10">
        <f>IF(OR(G519="",H519="",G519&lt;=1),"",IF(J519&lt;IF(D519="Builder",MinEdgeBuilder,IF(D519="Player",MinEdgePlayer,MinEdgeSingle)),0,ROUND(MIN(IF(D519="Single",KellySingle,KellyBuilder)*(StartBank+SUM(P$1:P518))*J519/(G519-1),IF(D519="Builder",CapBuilder,CapSingle)*Unit),2)))</f>
        <v/>
      </c>
      <c r="L519" s="10" t="n"/>
      <c r="N519" s="10" t="n"/>
      <c r="O519" s="10">
        <f>IF(L519="","",IF(M519="Won",L519*G519,IF(M519="Void",L519,IF(M519="Cash out",N(N519),IF(M519="Lost",0,"")))))</f>
        <v/>
      </c>
      <c r="P519" s="10">
        <f>IF(OR(L519="",M519="",M519="Pending"),"",O519-L519)</f>
        <v/>
      </c>
      <c r="Q519" s="21" t="n"/>
      <c r="R519" s="11">
        <f>IF(OR(G519="",Q519=""),"",G519/Q519-1)</f>
        <v/>
      </c>
      <c r="S519" s="10">
        <f>IF(OR(L519="",J519=""),"",L519*J519)</f>
        <v/>
      </c>
      <c r="T519" s="10">
        <f>IF(P519="","",StartBank+SUM(P$2:P519))</f>
        <v/>
      </c>
    </row>
    <row r="520">
      <c r="A520" s="22" t="n"/>
      <c r="G520" s="21" t="n"/>
      <c r="H520" s="11" t="n"/>
      <c r="I520" s="21">
        <f>IF(OR(H520="",H520=0),"",1/H520)</f>
        <v/>
      </c>
      <c r="J520" s="11">
        <f>IF(OR(G520="",H520=""),"",H520*G520-1)</f>
        <v/>
      </c>
      <c r="K520" s="10">
        <f>IF(OR(G520="",H520="",G520&lt;=1),"",IF(J520&lt;IF(D520="Builder",MinEdgeBuilder,IF(D520="Player",MinEdgePlayer,MinEdgeSingle)),0,ROUND(MIN(IF(D520="Single",KellySingle,KellyBuilder)*(StartBank+SUM(P$1:P519))*J520/(G520-1),IF(D520="Builder",CapBuilder,CapSingle)*Unit),2)))</f>
        <v/>
      </c>
      <c r="L520" s="10" t="n"/>
      <c r="N520" s="10" t="n"/>
      <c r="O520" s="10">
        <f>IF(L520="","",IF(M520="Won",L520*G520,IF(M520="Void",L520,IF(M520="Cash out",N(N520),IF(M520="Lost",0,"")))))</f>
        <v/>
      </c>
      <c r="P520" s="10">
        <f>IF(OR(L520="",M520="",M520="Pending"),"",O520-L520)</f>
        <v/>
      </c>
      <c r="Q520" s="21" t="n"/>
      <c r="R520" s="11">
        <f>IF(OR(G520="",Q520=""),"",G520/Q520-1)</f>
        <v/>
      </c>
      <c r="S520" s="10">
        <f>IF(OR(L520="",J520=""),"",L520*J520)</f>
        <v/>
      </c>
      <c r="T520" s="10">
        <f>IF(P520="","",StartBank+SUM(P$2:P520))</f>
        <v/>
      </c>
    </row>
    <row r="521">
      <c r="A521" s="22" t="n"/>
      <c r="G521" s="21" t="n"/>
      <c r="H521" s="11" t="n"/>
      <c r="I521" s="21">
        <f>IF(OR(H521="",H521=0),"",1/H521)</f>
        <v/>
      </c>
      <c r="J521" s="11">
        <f>IF(OR(G521="",H521=""),"",H521*G521-1)</f>
        <v/>
      </c>
      <c r="K521" s="10">
        <f>IF(OR(G521="",H521="",G521&lt;=1),"",IF(J521&lt;IF(D521="Builder",MinEdgeBuilder,IF(D521="Player",MinEdgePlayer,MinEdgeSingle)),0,ROUND(MIN(IF(D521="Single",KellySingle,KellyBuilder)*(StartBank+SUM(P$1:P520))*J521/(G521-1),IF(D521="Builder",CapBuilder,CapSingle)*Unit),2)))</f>
        <v/>
      </c>
      <c r="L521" s="10" t="n"/>
      <c r="N521" s="10" t="n"/>
      <c r="O521" s="10">
        <f>IF(L521="","",IF(M521="Won",L521*G521,IF(M521="Void",L521,IF(M521="Cash out",N(N521),IF(M521="Lost",0,"")))))</f>
        <v/>
      </c>
      <c r="P521" s="10">
        <f>IF(OR(L521="",M521="",M521="Pending"),"",O521-L521)</f>
        <v/>
      </c>
      <c r="Q521" s="21" t="n"/>
      <c r="R521" s="11">
        <f>IF(OR(G521="",Q521=""),"",G521/Q521-1)</f>
        <v/>
      </c>
      <c r="S521" s="10">
        <f>IF(OR(L521="",J521=""),"",L521*J521)</f>
        <v/>
      </c>
      <c r="T521" s="10">
        <f>IF(P521="","",StartBank+SUM(P$2:P521))</f>
        <v/>
      </c>
    </row>
    <row r="522">
      <c r="A522" s="22" t="n"/>
      <c r="G522" s="21" t="n"/>
      <c r="H522" s="11" t="n"/>
      <c r="I522" s="21">
        <f>IF(OR(H522="",H522=0),"",1/H522)</f>
        <v/>
      </c>
      <c r="J522" s="11">
        <f>IF(OR(G522="",H522=""),"",H522*G522-1)</f>
        <v/>
      </c>
      <c r="K522" s="10">
        <f>IF(OR(G522="",H522="",G522&lt;=1),"",IF(J522&lt;IF(D522="Builder",MinEdgeBuilder,IF(D522="Player",MinEdgePlayer,MinEdgeSingle)),0,ROUND(MIN(IF(D522="Single",KellySingle,KellyBuilder)*(StartBank+SUM(P$1:P521))*J522/(G522-1),IF(D522="Builder",CapBuilder,CapSingle)*Unit),2)))</f>
        <v/>
      </c>
      <c r="L522" s="10" t="n"/>
      <c r="N522" s="10" t="n"/>
      <c r="O522" s="10">
        <f>IF(L522="","",IF(M522="Won",L522*G522,IF(M522="Void",L522,IF(M522="Cash out",N(N522),IF(M522="Lost",0,"")))))</f>
        <v/>
      </c>
      <c r="P522" s="10">
        <f>IF(OR(L522="",M522="",M522="Pending"),"",O522-L522)</f>
        <v/>
      </c>
      <c r="Q522" s="21" t="n"/>
      <c r="R522" s="11">
        <f>IF(OR(G522="",Q522=""),"",G522/Q522-1)</f>
        <v/>
      </c>
      <c r="S522" s="10">
        <f>IF(OR(L522="",J522=""),"",L522*J522)</f>
        <v/>
      </c>
      <c r="T522" s="10">
        <f>IF(P522="","",StartBank+SUM(P$2:P522))</f>
        <v/>
      </c>
    </row>
    <row r="523">
      <c r="A523" s="22" t="n"/>
      <c r="G523" s="21" t="n"/>
      <c r="H523" s="11" t="n"/>
      <c r="I523" s="21">
        <f>IF(OR(H523="",H523=0),"",1/H523)</f>
        <v/>
      </c>
      <c r="J523" s="11">
        <f>IF(OR(G523="",H523=""),"",H523*G523-1)</f>
        <v/>
      </c>
      <c r="K523" s="10">
        <f>IF(OR(G523="",H523="",G523&lt;=1),"",IF(J523&lt;IF(D523="Builder",MinEdgeBuilder,IF(D523="Player",MinEdgePlayer,MinEdgeSingle)),0,ROUND(MIN(IF(D523="Single",KellySingle,KellyBuilder)*(StartBank+SUM(P$1:P522))*J523/(G523-1),IF(D523="Builder",CapBuilder,CapSingle)*Unit),2)))</f>
        <v/>
      </c>
      <c r="L523" s="10" t="n"/>
      <c r="N523" s="10" t="n"/>
      <c r="O523" s="10">
        <f>IF(L523="","",IF(M523="Won",L523*G523,IF(M523="Void",L523,IF(M523="Cash out",N(N523),IF(M523="Lost",0,"")))))</f>
        <v/>
      </c>
      <c r="P523" s="10">
        <f>IF(OR(L523="",M523="",M523="Pending"),"",O523-L523)</f>
        <v/>
      </c>
      <c r="Q523" s="21" t="n"/>
      <c r="R523" s="11">
        <f>IF(OR(G523="",Q523=""),"",G523/Q523-1)</f>
        <v/>
      </c>
      <c r="S523" s="10">
        <f>IF(OR(L523="",J523=""),"",L523*J523)</f>
        <v/>
      </c>
      <c r="T523" s="10">
        <f>IF(P523="","",StartBank+SUM(P$2:P523))</f>
        <v/>
      </c>
    </row>
    <row r="524">
      <c r="A524" s="22" t="n"/>
      <c r="G524" s="21" t="n"/>
      <c r="H524" s="11" t="n"/>
      <c r="I524" s="21">
        <f>IF(OR(H524="",H524=0),"",1/H524)</f>
        <v/>
      </c>
      <c r="J524" s="11">
        <f>IF(OR(G524="",H524=""),"",H524*G524-1)</f>
        <v/>
      </c>
      <c r="K524" s="10">
        <f>IF(OR(G524="",H524="",G524&lt;=1),"",IF(J524&lt;IF(D524="Builder",MinEdgeBuilder,IF(D524="Player",MinEdgePlayer,MinEdgeSingle)),0,ROUND(MIN(IF(D524="Single",KellySingle,KellyBuilder)*(StartBank+SUM(P$1:P523))*J524/(G524-1),IF(D524="Builder",CapBuilder,CapSingle)*Unit),2)))</f>
        <v/>
      </c>
      <c r="L524" s="10" t="n"/>
      <c r="N524" s="10" t="n"/>
      <c r="O524" s="10">
        <f>IF(L524="","",IF(M524="Won",L524*G524,IF(M524="Void",L524,IF(M524="Cash out",N(N524),IF(M524="Lost",0,"")))))</f>
        <v/>
      </c>
      <c r="P524" s="10">
        <f>IF(OR(L524="",M524="",M524="Pending"),"",O524-L524)</f>
        <v/>
      </c>
      <c r="Q524" s="21" t="n"/>
      <c r="R524" s="11">
        <f>IF(OR(G524="",Q524=""),"",G524/Q524-1)</f>
        <v/>
      </c>
      <c r="S524" s="10">
        <f>IF(OR(L524="",J524=""),"",L524*J524)</f>
        <v/>
      </c>
      <c r="T524" s="10">
        <f>IF(P524="","",StartBank+SUM(P$2:P524))</f>
        <v/>
      </c>
    </row>
    <row r="525">
      <c r="A525" s="22" t="n"/>
      <c r="G525" s="21" t="n"/>
      <c r="H525" s="11" t="n"/>
      <c r="I525" s="21">
        <f>IF(OR(H525="",H525=0),"",1/H525)</f>
        <v/>
      </c>
      <c r="J525" s="11">
        <f>IF(OR(G525="",H525=""),"",H525*G525-1)</f>
        <v/>
      </c>
      <c r="K525" s="10">
        <f>IF(OR(G525="",H525="",G525&lt;=1),"",IF(J525&lt;IF(D525="Builder",MinEdgeBuilder,IF(D525="Player",MinEdgePlayer,MinEdgeSingle)),0,ROUND(MIN(IF(D525="Single",KellySingle,KellyBuilder)*(StartBank+SUM(P$1:P524))*J525/(G525-1),IF(D525="Builder",CapBuilder,CapSingle)*Unit),2)))</f>
        <v/>
      </c>
      <c r="L525" s="10" t="n"/>
      <c r="N525" s="10" t="n"/>
      <c r="O525" s="10">
        <f>IF(L525="","",IF(M525="Won",L525*G525,IF(M525="Void",L525,IF(M525="Cash out",N(N525),IF(M525="Lost",0,"")))))</f>
        <v/>
      </c>
      <c r="P525" s="10">
        <f>IF(OR(L525="",M525="",M525="Pending"),"",O525-L525)</f>
        <v/>
      </c>
      <c r="Q525" s="21" t="n"/>
      <c r="R525" s="11">
        <f>IF(OR(G525="",Q525=""),"",G525/Q525-1)</f>
        <v/>
      </c>
      <c r="S525" s="10">
        <f>IF(OR(L525="",J525=""),"",L525*J525)</f>
        <v/>
      </c>
      <c r="T525" s="10">
        <f>IF(P525="","",StartBank+SUM(P$2:P525))</f>
        <v/>
      </c>
    </row>
    <row r="526">
      <c r="A526" s="22" t="n"/>
      <c r="G526" s="21" t="n"/>
      <c r="H526" s="11" t="n"/>
      <c r="I526" s="21">
        <f>IF(OR(H526="",H526=0),"",1/H526)</f>
        <v/>
      </c>
      <c r="J526" s="11">
        <f>IF(OR(G526="",H526=""),"",H526*G526-1)</f>
        <v/>
      </c>
      <c r="K526" s="10">
        <f>IF(OR(G526="",H526="",G526&lt;=1),"",IF(J526&lt;IF(D526="Builder",MinEdgeBuilder,IF(D526="Player",MinEdgePlayer,MinEdgeSingle)),0,ROUND(MIN(IF(D526="Single",KellySingle,KellyBuilder)*(StartBank+SUM(P$1:P525))*J526/(G526-1),IF(D526="Builder",CapBuilder,CapSingle)*Unit),2)))</f>
        <v/>
      </c>
      <c r="L526" s="10" t="n"/>
      <c r="N526" s="10" t="n"/>
      <c r="O526" s="10">
        <f>IF(L526="","",IF(M526="Won",L526*G526,IF(M526="Void",L526,IF(M526="Cash out",N(N526),IF(M526="Lost",0,"")))))</f>
        <v/>
      </c>
      <c r="P526" s="10">
        <f>IF(OR(L526="",M526="",M526="Pending"),"",O526-L526)</f>
        <v/>
      </c>
      <c r="Q526" s="21" t="n"/>
      <c r="R526" s="11">
        <f>IF(OR(G526="",Q526=""),"",G526/Q526-1)</f>
        <v/>
      </c>
      <c r="S526" s="10">
        <f>IF(OR(L526="",J526=""),"",L526*J526)</f>
        <v/>
      </c>
      <c r="T526" s="10">
        <f>IF(P526="","",StartBank+SUM(P$2:P526))</f>
        <v/>
      </c>
    </row>
    <row r="527">
      <c r="A527" s="22" t="n"/>
      <c r="G527" s="21" t="n"/>
      <c r="H527" s="11" t="n"/>
      <c r="I527" s="21">
        <f>IF(OR(H527="",H527=0),"",1/H527)</f>
        <v/>
      </c>
      <c r="J527" s="11">
        <f>IF(OR(G527="",H527=""),"",H527*G527-1)</f>
        <v/>
      </c>
      <c r="K527" s="10">
        <f>IF(OR(G527="",H527="",G527&lt;=1),"",IF(J527&lt;IF(D527="Builder",MinEdgeBuilder,IF(D527="Player",MinEdgePlayer,MinEdgeSingle)),0,ROUND(MIN(IF(D527="Single",KellySingle,KellyBuilder)*(StartBank+SUM(P$1:P526))*J527/(G527-1),IF(D527="Builder",CapBuilder,CapSingle)*Unit),2)))</f>
        <v/>
      </c>
      <c r="L527" s="10" t="n"/>
      <c r="N527" s="10" t="n"/>
      <c r="O527" s="10">
        <f>IF(L527="","",IF(M527="Won",L527*G527,IF(M527="Void",L527,IF(M527="Cash out",N(N527),IF(M527="Lost",0,"")))))</f>
        <v/>
      </c>
      <c r="P527" s="10">
        <f>IF(OR(L527="",M527="",M527="Pending"),"",O527-L527)</f>
        <v/>
      </c>
      <c r="Q527" s="21" t="n"/>
      <c r="R527" s="11">
        <f>IF(OR(G527="",Q527=""),"",G527/Q527-1)</f>
        <v/>
      </c>
      <c r="S527" s="10">
        <f>IF(OR(L527="",J527=""),"",L527*J527)</f>
        <v/>
      </c>
      <c r="T527" s="10">
        <f>IF(P527="","",StartBank+SUM(P$2:P527))</f>
        <v/>
      </c>
    </row>
    <row r="528">
      <c r="A528" s="22" t="n"/>
      <c r="G528" s="21" t="n"/>
      <c r="H528" s="11" t="n"/>
      <c r="I528" s="21">
        <f>IF(OR(H528="",H528=0),"",1/H528)</f>
        <v/>
      </c>
      <c r="J528" s="11">
        <f>IF(OR(G528="",H528=""),"",H528*G528-1)</f>
        <v/>
      </c>
      <c r="K528" s="10">
        <f>IF(OR(G528="",H528="",G528&lt;=1),"",IF(J528&lt;IF(D528="Builder",MinEdgeBuilder,IF(D528="Player",MinEdgePlayer,MinEdgeSingle)),0,ROUND(MIN(IF(D528="Single",KellySingle,KellyBuilder)*(StartBank+SUM(P$1:P527))*J528/(G528-1),IF(D528="Builder",CapBuilder,CapSingle)*Unit),2)))</f>
        <v/>
      </c>
      <c r="L528" s="10" t="n"/>
      <c r="N528" s="10" t="n"/>
      <c r="O528" s="10">
        <f>IF(L528="","",IF(M528="Won",L528*G528,IF(M528="Void",L528,IF(M528="Cash out",N(N528),IF(M528="Lost",0,"")))))</f>
        <v/>
      </c>
      <c r="P528" s="10">
        <f>IF(OR(L528="",M528="",M528="Pending"),"",O528-L528)</f>
        <v/>
      </c>
      <c r="Q528" s="21" t="n"/>
      <c r="R528" s="11">
        <f>IF(OR(G528="",Q528=""),"",G528/Q528-1)</f>
        <v/>
      </c>
      <c r="S528" s="10">
        <f>IF(OR(L528="",J528=""),"",L528*J528)</f>
        <v/>
      </c>
      <c r="T528" s="10">
        <f>IF(P528="","",StartBank+SUM(P$2:P528))</f>
        <v/>
      </c>
    </row>
    <row r="529">
      <c r="A529" s="22" t="n"/>
      <c r="G529" s="21" t="n"/>
      <c r="H529" s="11" t="n"/>
      <c r="I529" s="21">
        <f>IF(OR(H529="",H529=0),"",1/H529)</f>
        <v/>
      </c>
      <c r="J529" s="11">
        <f>IF(OR(G529="",H529=""),"",H529*G529-1)</f>
        <v/>
      </c>
      <c r="K529" s="10">
        <f>IF(OR(G529="",H529="",G529&lt;=1),"",IF(J529&lt;IF(D529="Builder",MinEdgeBuilder,IF(D529="Player",MinEdgePlayer,MinEdgeSingle)),0,ROUND(MIN(IF(D529="Single",KellySingle,KellyBuilder)*(StartBank+SUM(P$1:P528))*J529/(G529-1),IF(D529="Builder",CapBuilder,CapSingle)*Unit),2)))</f>
        <v/>
      </c>
      <c r="L529" s="10" t="n"/>
      <c r="N529" s="10" t="n"/>
      <c r="O529" s="10">
        <f>IF(L529="","",IF(M529="Won",L529*G529,IF(M529="Void",L529,IF(M529="Cash out",N(N529),IF(M529="Lost",0,"")))))</f>
        <v/>
      </c>
      <c r="P529" s="10">
        <f>IF(OR(L529="",M529="",M529="Pending"),"",O529-L529)</f>
        <v/>
      </c>
      <c r="Q529" s="21" t="n"/>
      <c r="R529" s="11">
        <f>IF(OR(G529="",Q529=""),"",G529/Q529-1)</f>
        <v/>
      </c>
      <c r="S529" s="10">
        <f>IF(OR(L529="",J529=""),"",L529*J529)</f>
        <v/>
      </c>
      <c r="T529" s="10">
        <f>IF(P529="","",StartBank+SUM(P$2:P529))</f>
        <v/>
      </c>
    </row>
    <row r="530">
      <c r="A530" s="22" t="n"/>
      <c r="G530" s="21" t="n"/>
      <c r="H530" s="11" t="n"/>
      <c r="I530" s="21">
        <f>IF(OR(H530="",H530=0),"",1/H530)</f>
        <v/>
      </c>
      <c r="J530" s="11">
        <f>IF(OR(G530="",H530=""),"",H530*G530-1)</f>
        <v/>
      </c>
      <c r="K530" s="10">
        <f>IF(OR(G530="",H530="",G530&lt;=1),"",IF(J530&lt;IF(D530="Builder",MinEdgeBuilder,IF(D530="Player",MinEdgePlayer,MinEdgeSingle)),0,ROUND(MIN(IF(D530="Single",KellySingle,KellyBuilder)*(StartBank+SUM(P$1:P529))*J530/(G530-1),IF(D530="Builder",CapBuilder,CapSingle)*Unit),2)))</f>
        <v/>
      </c>
      <c r="L530" s="10" t="n"/>
      <c r="N530" s="10" t="n"/>
      <c r="O530" s="10">
        <f>IF(L530="","",IF(M530="Won",L530*G530,IF(M530="Void",L530,IF(M530="Cash out",N(N530),IF(M530="Lost",0,"")))))</f>
        <v/>
      </c>
      <c r="P530" s="10">
        <f>IF(OR(L530="",M530="",M530="Pending"),"",O530-L530)</f>
        <v/>
      </c>
      <c r="Q530" s="21" t="n"/>
      <c r="R530" s="11">
        <f>IF(OR(G530="",Q530=""),"",G530/Q530-1)</f>
        <v/>
      </c>
      <c r="S530" s="10">
        <f>IF(OR(L530="",J530=""),"",L530*J530)</f>
        <v/>
      </c>
      <c r="T530" s="10">
        <f>IF(P530="","",StartBank+SUM(P$2:P530))</f>
        <v/>
      </c>
    </row>
    <row r="531">
      <c r="A531" s="22" t="n"/>
      <c r="G531" s="21" t="n"/>
      <c r="H531" s="11" t="n"/>
      <c r="I531" s="21">
        <f>IF(OR(H531="",H531=0),"",1/H531)</f>
        <v/>
      </c>
      <c r="J531" s="11">
        <f>IF(OR(G531="",H531=""),"",H531*G531-1)</f>
        <v/>
      </c>
      <c r="K531" s="10">
        <f>IF(OR(G531="",H531="",G531&lt;=1),"",IF(J531&lt;IF(D531="Builder",MinEdgeBuilder,IF(D531="Player",MinEdgePlayer,MinEdgeSingle)),0,ROUND(MIN(IF(D531="Single",KellySingle,KellyBuilder)*(StartBank+SUM(P$1:P530))*J531/(G531-1),IF(D531="Builder",CapBuilder,CapSingle)*Unit),2)))</f>
        <v/>
      </c>
      <c r="L531" s="10" t="n"/>
      <c r="N531" s="10" t="n"/>
      <c r="O531" s="10">
        <f>IF(L531="","",IF(M531="Won",L531*G531,IF(M531="Void",L531,IF(M531="Cash out",N(N531),IF(M531="Lost",0,"")))))</f>
        <v/>
      </c>
      <c r="P531" s="10">
        <f>IF(OR(L531="",M531="",M531="Pending"),"",O531-L531)</f>
        <v/>
      </c>
      <c r="Q531" s="21" t="n"/>
      <c r="R531" s="11">
        <f>IF(OR(G531="",Q531=""),"",G531/Q531-1)</f>
        <v/>
      </c>
      <c r="S531" s="10">
        <f>IF(OR(L531="",J531=""),"",L531*J531)</f>
        <v/>
      </c>
      <c r="T531" s="10">
        <f>IF(P531="","",StartBank+SUM(P$2:P531))</f>
        <v/>
      </c>
    </row>
    <row r="532">
      <c r="A532" s="22" t="n"/>
      <c r="G532" s="21" t="n"/>
      <c r="H532" s="11" t="n"/>
      <c r="I532" s="21">
        <f>IF(OR(H532="",H532=0),"",1/H532)</f>
        <v/>
      </c>
      <c r="J532" s="11">
        <f>IF(OR(G532="",H532=""),"",H532*G532-1)</f>
        <v/>
      </c>
      <c r="K532" s="10">
        <f>IF(OR(G532="",H532="",G532&lt;=1),"",IF(J532&lt;IF(D532="Builder",MinEdgeBuilder,IF(D532="Player",MinEdgePlayer,MinEdgeSingle)),0,ROUND(MIN(IF(D532="Single",KellySingle,KellyBuilder)*(StartBank+SUM(P$1:P531))*J532/(G532-1),IF(D532="Builder",CapBuilder,CapSingle)*Unit),2)))</f>
        <v/>
      </c>
      <c r="L532" s="10" t="n"/>
      <c r="N532" s="10" t="n"/>
      <c r="O532" s="10">
        <f>IF(L532="","",IF(M532="Won",L532*G532,IF(M532="Void",L532,IF(M532="Cash out",N(N532),IF(M532="Lost",0,"")))))</f>
        <v/>
      </c>
      <c r="P532" s="10">
        <f>IF(OR(L532="",M532="",M532="Pending"),"",O532-L532)</f>
        <v/>
      </c>
      <c r="Q532" s="21" t="n"/>
      <c r="R532" s="11">
        <f>IF(OR(G532="",Q532=""),"",G532/Q532-1)</f>
        <v/>
      </c>
      <c r="S532" s="10">
        <f>IF(OR(L532="",J532=""),"",L532*J532)</f>
        <v/>
      </c>
      <c r="T532" s="10">
        <f>IF(P532="","",StartBank+SUM(P$2:P532))</f>
        <v/>
      </c>
    </row>
    <row r="533">
      <c r="A533" s="22" t="n"/>
      <c r="G533" s="21" t="n"/>
      <c r="H533" s="11" t="n"/>
      <c r="I533" s="21">
        <f>IF(OR(H533="",H533=0),"",1/H533)</f>
        <v/>
      </c>
      <c r="J533" s="11">
        <f>IF(OR(G533="",H533=""),"",H533*G533-1)</f>
        <v/>
      </c>
      <c r="K533" s="10">
        <f>IF(OR(G533="",H533="",G533&lt;=1),"",IF(J533&lt;IF(D533="Builder",MinEdgeBuilder,IF(D533="Player",MinEdgePlayer,MinEdgeSingle)),0,ROUND(MIN(IF(D533="Single",KellySingle,KellyBuilder)*(StartBank+SUM(P$1:P532))*J533/(G533-1),IF(D533="Builder",CapBuilder,CapSingle)*Unit),2)))</f>
        <v/>
      </c>
      <c r="L533" s="10" t="n"/>
      <c r="N533" s="10" t="n"/>
      <c r="O533" s="10">
        <f>IF(L533="","",IF(M533="Won",L533*G533,IF(M533="Void",L533,IF(M533="Cash out",N(N533),IF(M533="Lost",0,"")))))</f>
        <v/>
      </c>
      <c r="P533" s="10">
        <f>IF(OR(L533="",M533="",M533="Pending"),"",O533-L533)</f>
        <v/>
      </c>
      <c r="Q533" s="21" t="n"/>
      <c r="R533" s="11">
        <f>IF(OR(G533="",Q533=""),"",G533/Q533-1)</f>
        <v/>
      </c>
      <c r="S533" s="10">
        <f>IF(OR(L533="",J533=""),"",L533*J533)</f>
        <v/>
      </c>
      <c r="T533" s="10">
        <f>IF(P533="","",StartBank+SUM(P$2:P533))</f>
        <v/>
      </c>
    </row>
    <row r="534">
      <c r="A534" s="22" t="n"/>
      <c r="G534" s="21" t="n"/>
      <c r="H534" s="11" t="n"/>
      <c r="I534" s="21">
        <f>IF(OR(H534="",H534=0),"",1/H534)</f>
        <v/>
      </c>
      <c r="J534" s="11">
        <f>IF(OR(G534="",H534=""),"",H534*G534-1)</f>
        <v/>
      </c>
      <c r="K534" s="10">
        <f>IF(OR(G534="",H534="",G534&lt;=1),"",IF(J534&lt;IF(D534="Builder",MinEdgeBuilder,IF(D534="Player",MinEdgePlayer,MinEdgeSingle)),0,ROUND(MIN(IF(D534="Single",KellySingle,KellyBuilder)*(StartBank+SUM(P$1:P533))*J534/(G534-1),IF(D534="Builder",CapBuilder,CapSingle)*Unit),2)))</f>
        <v/>
      </c>
      <c r="L534" s="10" t="n"/>
      <c r="N534" s="10" t="n"/>
      <c r="O534" s="10">
        <f>IF(L534="","",IF(M534="Won",L534*G534,IF(M534="Void",L534,IF(M534="Cash out",N(N534),IF(M534="Lost",0,"")))))</f>
        <v/>
      </c>
      <c r="P534" s="10">
        <f>IF(OR(L534="",M534="",M534="Pending"),"",O534-L534)</f>
        <v/>
      </c>
      <c r="Q534" s="21" t="n"/>
      <c r="R534" s="11">
        <f>IF(OR(G534="",Q534=""),"",G534/Q534-1)</f>
        <v/>
      </c>
      <c r="S534" s="10">
        <f>IF(OR(L534="",J534=""),"",L534*J534)</f>
        <v/>
      </c>
      <c r="T534" s="10">
        <f>IF(P534="","",StartBank+SUM(P$2:P534))</f>
        <v/>
      </c>
    </row>
    <row r="535">
      <c r="A535" s="22" t="n"/>
      <c r="G535" s="21" t="n"/>
      <c r="H535" s="11" t="n"/>
      <c r="I535" s="21">
        <f>IF(OR(H535="",H535=0),"",1/H535)</f>
        <v/>
      </c>
      <c r="J535" s="11">
        <f>IF(OR(G535="",H535=""),"",H535*G535-1)</f>
        <v/>
      </c>
      <c r="K535" s="10">
        <f>IF(OR(G535="",H535="",G535&lt;=1),"",IF(J535&lt;IF(D535="Builder",MinEdgeBuilder,IF(D535="Player",MinEdgePlayer,MinEdgeSingle)),0,ROUND(MIN(IF(D535="Single",KellySingle,KellyBuilder)*(StartBank+SUM(P$1:P534))*J535/(G535-1),IF(D535="Builder",CapBuilder,CapSingle)*Unit),2)))</f>
        <v/>
      </c>
      <c r="L535" s="10" t="n"/>
      <c r="N535" s="10" t="n"/>
      <c r="O535" s="10">
        <f>IF(L535="","",IF(M535="Won",L535*G535,IF(M535="Void",L535,IF(M535="Cash out",N(N535),IF(M535="Lost",0,"")))))</f>
        <v/>
      </c>
      <c r="P535" s="10">
        <f>IF(OR(L535="",M535="",M535="Pending"),"",O535-L535)</f>
        <v/>
      </c>
      <c r="Q535" s="21" t="n"/>
      <c r="R535" s="11">
        <f>IF(OR(G535="",Q535=""),"",G535/Q535-1)</f>
        <v/>
      </c>
      <c r="S535" s="10">
        <f>IF(OR(L535="",J535=""),"",L535*J535)</f>
        <v/>
      </c>
      <c r="T535" s="10">
        <f>IF(P535="","",StartBank+SUM(P$2:P535))</f>
        <v/>
      </c>
    </row>
    <row r="536">
      <c r="A536" s="22" t="n"/>
      <c r="G536" s="21" t="n"/>
      <c r="H536" s="11" t="n"/>
      <c r="I536" s="21">
        <f>IF(OR(H536="",H536=0),"",1/H536)</f>
        <v/>
      </c>
      <c r="J536" s="11">
        <f>IF(OR(G536="",H536=""),"",H536*G536-1)</f>
        <v/>
      </c>
      <c r="K536" s="10">
        <f>IF(OR(G536="",H536="",G536&lt;=1),"",IF(J536&lt;IF(D536="Builder",MinEdgeBuilder,IF(D536="Player",MinEdgePlayer,MinEdgeSingle)),0,ROUND(MIN(IF(D536="Single",KellySingle,KellyBuilder)*(StartBank+SUM(P$1:P535))*J536/(G536-1),IF(D536="Builder",CapBuilder,CapSingle)*Unit),2)))</f>
        <v/>
      </c>
      <c r="L536" s="10" t="n"/>
      <c r="N536" s="10" t="n"/>
      <c r="O536" s="10">
        <f>IF(L536="","",IF(M536="Won",L536*G536,IF(M536="Void",L536,IF(M536="Cash out",N(N536),IF(M536="Lost",0,"")))))</f>
        <v/>
      </c>
      <c r="P536" s="10">
        <f>IF(OR(L536="",M536="",M536="Pending"),"",O536-L536)</f>
        <v/>
      </c>
      <c r="Q536" s="21" t="n"/>
      <c r="R536" s="11">
        <f>IF(OR(G536="",Q536=""),"",G536/Q536-1)</f>
        <v/>
      </c>
      <c r="S536" s="10">
        <f>IF(OR(L536="",J536=""),"",L536*J536)</f>
        <v/>
      </c>
      <c r="T536" s="10">
        <f>IF(P536="","",StartBank+SUM(P$2:P536))</f>
        <v/>
      </c>
    </row>
    <row r="537">
      <c r="A537" s="22" t="n"/>
      <c r="G537" s="21" t="n"/>
      <c r="H537" s="11" t="n"/>
      <c r="I537" s="21">
        <f>IF(OR(H537="",H537=0),"",1/H537)</f>
        <v/>
      </c>
      <c r="J537" s="11">
        <f>IF(OR(G537="",H537=""),"",H537*G537-1)</f>
        <v/>
      </c>
      <c r="K537" s="10">
        <f>IF(OR(G537="",H537="",G537&lt;=1),"",IF(J537&lt;IF(D537="Builder",MinEdgeBuilder,IF(D537="Player",MinEdgePlayer,MinEdgeSingle)),0,ROUND(MIN(IF(D537="Single",KellySingle,KellyBuilder)*(StartBank+SUM(P$1:P536))*J537/(G537-1),IF(D537="Builder",CapBuilder,CapSingle)*Unit),2)))</f>
        <v/>
      </c>
      <c r="L537" s="10" t="n"/>
      <c r="N537" s="10" t="n"/>
      <c r="O537" s="10">
        <f>IF(L537="","",IF(M537="Won",L537*G537,IF(M537="Void",L537,IF(M537="Cash out",N(N537),IF(M537="Lost",0,"")))))</f>
        <v/>
      </c>
      <c r="P537" s="10">
        <f>IF(OR(L537="",M537="",M537="Pending"),"",O537-L537)</f>
        <v/>
      </c>
      <c r="Q537" s="21" t="n"/>
      <c r="R537" s="11">
        <f>IF(OR(G537="",Q537=""),"",G537/Q537-1)</f>
        <v/>
      </c>
      <c r="S537" s="10">
        <f>IF(OR(L537="",J537=""),"",L537*J537)</f>
        <v/>
      </c>
      <c r="T537" s="10">
        <f>IF(P537="","",StartBank+SUM(P$2:P537))</f>
        <v/>
      </c>
    </row>
    <row r="538">
      <c r="A538" s="22" t="n"/>
      <c r="G538" s="21" t="n"/>
      <c r="H538" s="11" t="n"/>
      <c r="I538" s="21">
        <f>IF(OR(H538="",H538=0),"",1/H538)</f>
        <v/>
      </c>
      <c r="J538" s="11">
        <f>IF(OR(G538="",H538=""),"",H538*G538-1)</f>
        <v/>
      </c>
      <c r="K538" s="10">
        <f>IF(OR(G538="",H538="",G538&lt;=1),"",IF(J538&lt;IF(D538="Builder",MinEdgeBuilder,IF(D538="Player",MinEdgePlayer,MinEdgeSingle)),0,ROUND(MIN(IF(D538="Single",KellySingle,KellyBuilder)*(StartBank+SUM(P$1:P537))*J538/(G538-1),IF(D538="Builder",CapBuilder,CapSingle)*Unit),2)))</f>
        <v/>
      </c>
      <c r="L538" s="10" t="n"/>
      <c r="N538" s="10" t="n"/>
      <c r="O538" s="10">
        <f>IF(L538="","",IF(M538="Won",L538*G538,IF(M538="Void",L538,IF(M538="Cash out",N(N538),IF(M538="Lost",0,"")))))</f>
        <v/>
      </c>
      <c r="P538" s="10">
        <f>IF(OR(L538="",M538="",M538="Pending"),"",O538-L538)</f>
        <v/>
      </c>
      <c r="Q538" s="21" t="n"/>
      <c r="R538" s="11">
        <f>IF(OR(G538="",Q538=""),"",G538/Q538-1)</f>
        <v/>
      </c>
      <c r="S538" s="10">
        <f>IF(OR(L538="",J538=""),"",L538*J538)</f>
        <v/>
      </c>
      <c r="T538" s="10">
        <f>IF(P538="","",StartBank+SUM(P$2:P538))</f>
        <v/>
      </c>
    </row>
    <row r="539">
      <c r="A539" s="22" t="n"/>
      <c r="G539" s="21" t="n"/>
      <c r="H539" s="11" t="n"/>
      <c r="I539" s="21">
        <f>IF(OR(H539="",H539=0),"",1/H539)</f>
        <v/>
      </c>
      <c r="J539" s="11">
        <f>IF(OR(G539="",H539=""),"",H539*G539-1)</f>
        <v/>
      </c>
      <c r="K539" s="10">
        <f>IF(OR(G539="",H539="",G539&lt;=1),"",IF(J539&lt;IF(D539="Builder",MinEdgeBuilder,IF(D539="Player",MinEdgePlayer,MinEdgeSingle)),0,ROUND(MIN(IF(D539="Single",KellySingle,KellyBuilder)*(StartBank+SUM(P$1:P538))*J539/(G539-1),IF(D539="Builder",CapBuilder,CapSingle)*Unit),2)))</f>
        <v/>
      </c>
      <c r="L539" s="10" t="n"/>
      <c r="N539" s="10" t="n"/>
      <c r="O539" s="10">
        <f>IF(L539="","",IF(M539="Won",L539*G539,IF(M539="Void",L539,IF(M539="Cash out",N(N539),IF(M539="Lost",0,"")))))</f>
        <v/>
      </c>
      <c r="P539" s="10">
        <f>IF(OR(L539="",M539="",M539="Pending"),"",O539-L539)</f>
        <v/>
      </c>
      <c r="Q539" s="21" t="n"/>
      <c r="R539" s="11">
        <f>IF(OR(G539="",Q539=""),"",G539/Q539-1)</f>
        <v/>
      </c>
      <c r="S539" s="10">
        <f>IF(OR(L539="",J539=""),"",L539*J539)</f>
        <v/>
      </c>
      <c r="T539" s="10">
        <f>IF(P539="","",StartBank+SUM(P$2:P539))</f>
        <v/>
      </c>
    </row>
    <row r="540">
      <c r="A540" s="22" t="n"/>
      <c r="G540" s="21" t="n"/>
      <c r="H540" s="11" t="n"/>
      <c r="I540" s="21">
        <f>IF(OR(H540="",H540=0),"",1/H540)</f>
        <v/>
      </c>
      <c r="J540" s="11">
        <f>IF(OR(G540="",H540=""),"",H540*G540-1)</f>
        <v/>
      </c>
      <c r="K540" s="10">
        <f>IF(OR(G540="",H540="",G540&lt;=1),"",IF(J540&lt;IF(D540="Builder",MinEdgeBuilder,IF(D540="Player",MinEdgePlayer,MinEdgeSingle)),0,ROUND(MIN(IF(D540="Single",KellySingle,KellyBuilder)*(StartBank+SUM(P$1:P539))*J540/(G540-1),IF(D540="Builder",CapBuilder,CapSingle)*Unit),2)))</f>
        <v/>
      </c>
      <c r="L540" s="10" t="n"/>
      <c r="N540" s="10" t="n"/>
      <c r="O540" s="10">
        <f>IF(L540="","",IF(M540="Won",L540*G540,IF(M540="Void",L540,IF(M540="Cash out",N(N540),IF(M540="Lost",0,"")))))</f>
        <v/>
      </c>
      <c r="P540" s="10">
        <f>IF(OR(L540="",M540="",M540="Pending"),"",O540-L540)</f>
        <v/>
      </c>
      <c r="Q540" s="21" t="n"/>
      <c r="R540" s="11">
        <f>IF(OR(G540="",Q540=""),"",G540/Q540-1)</f>
        <v/>
      </c>
      <c r="S540" s="10">
        <f>IF(OR(L540="",J540=""),"",L540*J540)</f>
        <v/>
      </c>
      <c r="T540" s="10">
        <f>IF(P540="","",StartBank+SUM(P$2:P540))</f>
        <v/>
      </c>
    </row>
    <row r="541">
      <c r="A541" s="22" t="n"/>
      <c r="G541" s="21" t="n"/>
      <c r="H541" s="11" t="n"/>
      <c r="I541" s="21">
        <f>IF(OR(H541="",H541=0),"",1/H541)</f>
        <v/>
      </c>
      <c r="J541" s="11">
        <f>IF(OR(G541="",H541=""),"",H541*G541-1)</f>
        <v/>
      </c>
      <c r="K541" s="10">
        <f>IF(OR(G541="",H541="",G541&lt;=1),"",IF(J541&lt;IF(D541="Builder",MinEdgeBuilder,IF(D541="Player",MinEdgePlayer,MinEdgeSingle)),0,ROUND(MIN(IF(D541="Single",KellySingle,KellyBuilder)*(StartBank+SUM(P$1:P540))*J541/(G541-1),IF(D541="Builder",CapBuilder,CapSingle)*Unit),2)))</f>
        <v/>
      </c>
      <c r="L541" s="10" t="n"/>
      <c r="N541" s="10" t="n"/>
      <c r="O541" s="10">
        <f>IF(L541="","",IF(M541="Won",L541*G541,IF(M541="Void",L541,IF(M541="Cash out",N(N541),IF(M541="Lost",0,"")))))</f>
        <v/>
      </c>
      <c r="P541" s="10">
        <f>IF(OR(L541="",M541="",M541="Pending"),"",O541-L541)</f>
        <v/>
      </c>
      <c r="Q541" s="21" t="n"/>
      <c r="R541" s="11">
        <f>IF(OR(G541="",Q541=""),"",G541/Q541-1)</f>
        <v/>
      </c>
      <c r="S541" s="10">
        <f>IF(OR(L541="",J541=""),"",L541*J541)</f>
        <v/>
      </c>
      <c r="T541" s="10">
        <f>IF(P541="","",StartBank+SUM(P$2:P541))</f>
        <v/>
      </c>
    </row>
    <row r="542">
      <c r="A542" s="22" t="n"/>
      <c r="G542" s="21" t="n"/>
      <c r="H542" s="11" t="n"/>
      <c r="I542" s="21">
        <f>IF(OR(H542="",H542=0),"",1/H542)</f>
        <v/>
      </c>
      <c r="J542" s="11">
        <f>IF(OR(G542="",H542=""),"",H542*G542-1)</f>
        <v/>
      </c>
      <c r="K542" s="10">
        <f>IF(OR(G542="",H542="",G542&lt;=1),"",IF(J542&lt;IF(D542="Builder",MinEdgeBuilder,IF(D542="Player",MinEdgePlayer,MinEdgeSingle)),0,ROUND(MIN(IF(D542="Single",KellySingle,KellyBuilder)*(StartBank+SUM(P$1:P541))*J542/(G542-1),IF(D542="Builder",CapBuilder,CapSingle)*Unit),2)))</f>
        <v/>
      </c>
      <c r="L542" s="10" t="n"/>
      <c r="N542" s="10" t="n"/>
      <c r="O542" s="10">
        <f>IF(L542="","",IF(M542="Won",L542*G542,IF(M542="Void",L542,IF(M542="Cash out",N(N542),IF(M542="Lost",0,"")))))</f>
        <v/>
      </c>
      <c r="P542" s="10">
        <f>IF(OR(L542="",M542="",M542="Pending"),"",O542-L542)</f>
        <v/>
      </c>
      <c r="Q542" s="21" t="n"/>
      <c r="R542" s="11">
        <f>IF(OR(G542="",Q542=""),"",G542/Q542-1)</f>
        <v/>
      </c>
      <c r="S542" s="10">
        <f>IF(OR(L542="",J542=""),"",L542*J542)</f>
        <v/>
      </c>
      <c r="T542" s="10">
        <f>IF(P542="","",StartBank+SUM(P$2:P542))</f>
        <v/>
      </c>
    </row>
    <row r="543">
      <c r="A543" s="22" t="n"/>
      <c r="G543" s="21" t="n"/>
      <c r="H543" s="11" t="n"/>
      <c r="I543" s="21">
        <f>IF(OR(H543="",H543=0),"",1/H543)</f>
        <v/>
      </c>
      <c r="J543" s="11">
        <f>IF(OR(G543="",H543=""),"",H543*G543-1)</f>
        <v/>
      </c>
      <c r="K543" s="10">
        <f>IF(OR(G543="",H543="",G543&lt;=1),"",IF(J543&lt;IF(D543="Builder",MinEdgeBuilder,IF(D543="Player",MinEdgePlayer,MinEdgeSingle)),0,ROUND(MIN(IF(D543="Single",KellySingle,KellyBuilder)*(StartBank+SUM(P$1:P542))*J543/(G543-1),IF(D543="Builder",CapBuilder,CapSingle)*Unit),2)))</f>
        <v/>
      </c>
      <c r="L543" s="10" t="n"/>
      <c r="N543" s="10" t="n"/>
      <c r="O543" s="10">
        <f>IF(L543="","",IF(M543="Won",L543*G543,IF(M543="Void",L543,IF(M543="Cash out",N(N543),IF(M543="Lost",0,"")))))</f>
        <v/>
      </c>
      <c r="P543" s="10">
        <f>IF(OR(L543="",M543="",M543="Pending"),"",O543-L543)</f>
        <v/>
      </c>
      <c r="Q543" s="21" t="n"/>
      <c r="R543" s="11">
        <f>IF(OR(G543="",Q543=""),"",G543/Q543-1)</f>
        <v/>
      </c>
      <c r="S543" s="10">
        <f>IF(OR(L543="",J543=""),"",L543*J543)</f>
        <v/>
      </c>
      <c r="T543" s="10">
        <f>IF(P543="","",StartBank+SUM(P$2:P543))</f>
        <v/>
      </c>
    </row>
    <row r="544">
      <c r="A544" s="22" t="n"/>
      <c r="G544" s="21" t="n"/>
      <c r="H544" s="11" t="n"/>
      <c r="I544" s="21">
        <f>IF(OR(H544="",H544=0),"",1/H544)</f>
        <v/>
      </c>
      <c r="J544" s="11">
        <f>IF(OR(G544="",H544=""),"",H544*G544-1)</f>
        <v/>
      </c>
      <c r="K544" s="10">
        <f>IF(OR(G544="",H544="",G544&lt;=1),"",IF(J544&lt;IF(D544="Builder",MinEdgeBuilder,IF(D544="Player",MinEdgePlayer,MinEdgeSingle)),0,ROUND(MIN(IF(D544="Single",KellySingle,KellyBuilder)*(StartBank+SUM(P$1:P543))*J544/(G544-1),IF(D544="Builder",CapBuilder,CapSingle)*Unit),2)))</f>
        <v/>
      </c>
      <c r="L544" s="10" t="n"/>
      <c r="N544" s="10" t="n"/>
      <c r="O544" s="10">
        <f>IF(L544="","",IF(M544="Won",L544*G544,IF(M544="Void",L544,IF(M544="Cash out",N(N544),IF(M544="Lost",0,"")))))</f>
        <v/>
      </c>
      <c r="P544" s="10">
        <f>IF(OR(L544="",M544="",M544="Pending"),"",O544-L544)</f>
        <v/>
      </c>
      <c r="Q544" s="21" t="n"/>
      <c r="R544" s="11">
        <f>IF(OR(G544="",Q544=""),"",G544/Q544-1)</f>
        <v/>
      </c>
      <c r="S544" s="10">
        <f>IF(OR(L544="",J544=""),"",L544*J544)</f>
        <v/>
      </c>
      <c r="T544" s="10">
        <f>IF(P544="","",StartBank+SUM(P$2:P544))</f>
        <v/>
      </c>
    </row>
    <row r="545">
      <c r="A545" s="22" t="n"/>
      <c r="G545" s="21" t="n"/>
      <c r="H545" s="11" t="n"/>
      <c r="I545" s="21">
        <f>IF(OR(H545="",H545=0),"",1/H545)</f>
        <v/>
      </c>
      <c r="J545" s="11">
        <f>IF(OR(G545="",H545=""),"",H545*G545-1)</f>
        <v/>
      </c>
      <c r="K545" s="10">
        <f>IF(OR(G545="",H545="",G545&lt;=1),"",IF(J545&lt;IF(D545="Builder",MinEdgeBuilder,IF(D545="Player",MinEdgePlayer,MinEdgeSingle)),0,ROUND(MIN(IF(D545="Single",KellySingle,KellyBuilder)*(StartBank+SUM(P$1:P544))*J545/(G545-1),IF(D545="Builder",CapBuilder,CapSingle)*Unit),2)))</f>
        <v/>
      </c>
      <c r="L545" s="10" t="n"/>
      <c r="N545" s="10" t="n"/>
      <c r="O545" s="10">
        <f>IF(L545="","",IF(M545="Won",L545*G545,IF(M545="Void",L545,IF(M545="Cash out",N(N545),IF(M545="Lost",0,"")))))</f>
        <v/>
      </c>
      <c r="P545" s="10">
        <f>IF(OR(L545="",M545="",M545="Pending"),"",O545-L545)</f>
        <v/>
      </c>
      <c r="Q545" s="21" t="n"/>
      <c r="R545" s="11">
        <f>IF(OR(G545="",Q545=""),"",G545/Q545-1)</f>
        <v/>
      </c>
      <c r="S545" s="10">
        <f>IF(OR(L545="",J545=""),"",L545*J545)</f>
        <v/>
      </c>
      <c r="T545" s="10">
        <f>IF(P545="","",StartBank+SUM(P$2:P545))</f>
        <v/>
      </c>
    </row>
    <row r="546">
      <c r="A546" s="22" t="n"/>
      <c r="G546" s="21" t="n"/>
      <c r="H546" s="11" t="n"/>
      <c r="I546" s="21">
        <f>IF(OR(H546="",H546=0),"",1/H546)</f>
        <v/>
      </c>
      <c r="J546" s="11">
        <f>IF(OR(G546="",H546=""),"",H546*G546-1)</f>
        <v/>
      </c>
      <c r="K546" s="10">
        <f>IF(OR(G546="",H546="",G546&lt;=1),"",IF(J546&lt;IF(D546="Builder",MinEdgeBuilder,IF(D546="Player",MinEdgePlayer,MinEdgeSingle)),0,ROUND(MIN(IF(D546="Single",KellySingle,KellyBuilder)*(StartBank+SUM(P$1:P545))*J546/(G546-1),IF(D546="Builder",CapBuilder,CapSingle)*Unit),2)))</f>
        <v/>
      </c>
      <c r="L546" s="10" t="n"/>
      <c r="N546" s="10" t="n"/>
      <c r="O546" s="10">
        <f>IF(L546="","",IF(M546="Won",L546*G546,IF(M546="Void",L546,IF(M546="Cash out",N(N546),IF(M546="Lost",0,"")))))</f>
        <v/>
      </c>
      <c r="P546" s="10">
        <f>IF(OR(L546="",M546="",M546="Pending"),"",O546-L546)</f>
        <v/>
      </c>
      <c r="Q546" s="21" t="n"/>
      <c r="R546" s="11">
        <f>IF(OR(G546="",Q546=""),"",G546/Q546-1)</f>
        <v/>
      </c>
      <c r="S546" s="10">
        <f>IF(OR(L546="",J546=""),"",L546*J546)</f>
        <v/>
      </c>
      <c r="T546" s="10">
        <f>IF(P546="","",StartBank+SUM(P$2:P546))</f>
        <v/>
      </c>
    </row>
    <row r="547">
      <c r="A547" s="22" t="n"/>
      <c r="G547" s="21" t="n"/>
      <c r="H547" s="11" t="n"/>
      <c r="I547" s="21">
        <f>IF(OR(H547="",H547=0),"",1/H547)</f>
        <v/>
      </c>
      <c r="J547" s="11">
        <f>IF(OR(G547="",H547=""),"",H547*G547-1)</f>
        <v/>
      </c>
      <c r="K547" s="10">
        <f>IF(OR(G547="",H547="",G547&lt;=1),"",IF(J547&lt;IF(D547="Builder",MinEdgeBuilder,IF(D547="Player",MinEdgePlayer,MinEdgeSingle)),0,ROUND(MIN(IF(D547="Single",KellySingle,KellyBuilder)*(StartBank+SUM(P$1:P546))*J547/(G547-1),IF(D547="Builder",CapBuilder,CapSingle)*Unit),2)))</f>
        <v/>
      </c>
      <c r="L547" s="10" t="n"/>
      <c r="N547" s="10" t="n"/>
      <c r="O547" s="10">
        <f>IF(L547="","",IF(M547="Won",L547*G547,IF(M547="Void",L547,IF(M547="Cash out",N(N547),IF(M547="Lost",0,"")))))</f>
        <v/>
      </c>
      <c r="P547" s="10">
        <f>IF(OR(L547="",M547="",M547="Pending"),"",O547-L547)</f>
        <v/>
      </c>
      <c r="Q547" s="21" t="n"/>
      <c r="R547" s="11">
        <f>IF(OR(G547="",Q547=""),"",G547/Q547-1)</f>
        <v/>
      </c>
      <c r="S547" s="10">
        <f>IF(OR(L547="",J547=""),"",L547*J547)</f>
        <v/>
      </c>
      <c r="T547" s="10">
        <f>IF(P547="","",StartBank+SUM(P$2:P547))</f>
        <v/>
      </c>
    </row>
    <row r="548">
      <c r="A548" s="22" t="n"/>
      <c r="G548" s="21" t="n"/>
      <c r="H548" s="11" t="n"/>
      <c r="I548" s="21">
        <f>IF(OR(H548="",H548=0),"",1/H548)</f>
        <v/>
      </c>
      <c r="J548" s="11">
        <f>IF(OR(G548="",H548=""),"",H548*G548-1)</f>
        <v/>
      </c>
      <c r="K548" s="10">
        <f>IF(OR(G548="",H548="",G548&lt;=1),"",IF(J548&lt;IF(D548="Builder",MinEdgeBuilder,IF(D548="Player",MinEdgePlayer,MinEdgeSingle)),0,ROUND(MIN(IF(D548="Single",KellySingle,KellyBuilder)*(StartBank+SUM(P$1:P547))*J548/(G548-1),IF(D548="Builder",CapBuilder,CapSingle)*Unit),2)))</f>
        <v/>
      </c>
      <c r="L548" s="10" t="n"/>
      <c r="N548" s="10" t="n"/>
      <c r="O548" s="10">
        <f>IF(L548="","",IF(M548="Won",L548*G548,IF(M548="Void",L548,IF(M548="Cash out",N(N548),IF(M548="Lost",0,"")))))</f>
        <v/>
      </c>
      <c r="P548" s="10">
        <f>IF(OR(L548="",M548="",M548="Pending"),"",O548-L548)</f>
        <v/>
      </c>
      <c r="Q548" s="21" t="n"/>
      <c r="R548" s="11">
        <f>IF(OR(G548="",Q548=""),"",G548/Q548-1)</f>
        <v/>
      </c>
      <c r="S548" s="10">
        <f>IF(OR(L548="",J548=""),"",L548*J548)</f>
        <v/>
      </c>
      <c r="T548" s="10">
        <f>IF(P548="","",StartBank+SUM(P$2:P548))</f>
        <v/>
      </c>
    </row>
    <row r="549">
      <c r="A549" s="22" t="n"/>
      <c r="G549" s="21" t="n"/>
      <c r="H549" s="11" t="n"/>
      <c r="I549" s="21">
        <f>IF(OR(H549="",H549=0),"",1/H549)</f>
        <v/>
      </c>
      <c r="J549" s="11">
        <f>IF(OR(G549="",H549=""),"",H549*G549-1)</f>
        <v/>
      </c>
      <c r="K549" s="10">
        <f>IF(OR(G549="",H549="",G549&lt;=1),"",IF(J549&lt;IF(D549="Builder",MinEdgeBuilder,IF(D549="Player",MinEdgePlayer,MinEdgeSingle)),0,ROUND(MIN(IF(D549="Single",KellySingle,KellyBuilder)*(StartBank+SUM(P$1:P548))*J549/(G549-1),IF(D549="Builder",CapBuilder,CapSingle)*Unit),2)))</f>
        <v/>
      </c>
      <c r="L549" s="10" t="n"/>
      <c r="N549" s="10" t="n"/>
      <c r="O549" s="10">
        <f>IF(L549="","",IF(M549="Won",L549*G549,IF(M549="Void",L549,IF(M549="Cash out",N(N549),IF(M549="Lost",0,"")))))</f>
        <v/>
      </c>
      <c r="P549" s="10">
        <f>IF(OR(L549="",M549="",M549="Pending"),"",O549-L549)</f>
        <v/>
      </c>
      <c r="Q549" s="21" t="n"/>
      <c r="R549" s="11">
        <f>IF(OR(G549="",Q549=""),"",G549/Q549-1)</f>
        <v/>
      </c>
      <c r="S549" s="10">
        <f>IF(OR(L549="",J549=""),"",L549*J549)</f>
        <v/>
      </c>
      <c r="T549" s="10">
        <f>IF(P549="","",StartBank+SUM(P$2:P549))</f>
        <v/>
      </c>
    </row>
    <row r="550">
      <c r="A550" s="22" t="n"/>
      <c r="G550" s="21" t="n"/>
      <c r="H550" s="11" t="n"/>
      <c r="I550" s="21">
        <f>IF(OR(H550="",H550=0),"",1/H550)</f>
        <v/>
      </c>
      <c r="J550" s="11">
        <f>IF(OR(G550="",H550=""),"",H550*G550-1)</f>
        <v/>
      </c>
      <c r="K550" s="10">
        <f>IF(OR(G550="",H550="",G550&lt;=1),"",IF(J550&lt;IF(D550="Builder",MinEdgeBuilder,IF(D550="Player",MinEdgePlayer,MinEdgeSingle)),0,ROUND(MIN(IF(D550="Single",KellySingle,KellyBuilder)*(StartBank+SUM(P$1:P549))*J550/(G550-1),IF(D550="Builder",CapBuilder,CapSingle)*Unit),2)))</f>
        <v/>
      </c>
      <c r="L550" s="10" t="n"/>
      <c r="N550" s="10" t="n"/>
      <c r="O550" s="10">
        <f>IF(L550="","",IF(M550="Won",L550*G550,IF(M550="Void",L550,IF(M550="Cash out",N(N550),IF(M550="Lost",0,"")))))</f>
        <v/>
      </c>
      <c r="P550" s="10">
        <f>IF(OR(L550="",M550="",M550="Pending"),"",O550-L550)</f>
        <v/>
      </c>
      <c r="Q550" s="21" t="n"/>
      <c r="R550" s="11">
        <f>IF(OR(G550="",Q550=""),"",G550/Q550-1)</f>
        <v/>
      </c>
      <c r="S550" s="10">
        <f>IF(OR(L550="",J550=""),"",L550*J550)</f>
        <v/>
      </c>
      <c r="T550" s="10">
        <f>IF(P550="","",StartBank+SUM(P$2:P550))</f>
        <v/>
      </c>
    </row>
    <row r="551">
      <c r="A551" s="22" t="n"/>
      <c r="G551" s="21" t="n"/>
      <c r="H551" s="11" t="n"/>
      <c r="I551" s="21">
        <f>IF(OR(H551="",H551=0),"",1/H551)</f>
        <v/>
      </c>
      <c r="J551" s="11">
        <f>IF(OR(G551="",H551=""),"",H551*G551-1)</f>
        <v/>
      </c>
      <c r="K551" s="10">
        <f>IF(OR(G551="",H551="",G551&lt;=1),"",IF(J551&lt;IF(D551="Builder",MinEdgeBuilder,IF(D551="Player",MinEdgePlayer,MinEdgeSingle)),0,ROUND(MIN(IF(D551="Single",KellySingle,KellyBuilder)*(StartBank+SUM(P$1:P550))*J551/(G551-1),IF(D551="Builder",CapBuilder,CapSingle)*Unit),2)))</f>
        <v/>
      </c>
      <c r="L551" s="10" t="n"/>
      <c r="N551" s="10" t="n"/>
      <c r="O551" s="10">
        <f>IF(L551="","",IF(M551="Won",L551*G551,IF(M551="Void",L551,IF(M551="Cash out",N(N551),IF(M551="Lost",0,"")))))</f>
        <v/>
      </c>
      <c r="P551" s="10">
        <f>IF(OR(L551="",M551="",M551="Pending"),"",O551-L551)</f>
        <v/>
      </c>
      <c r="Q551" s="21" t="n"/>
      <c r="R551" s="11">
        <f>IF(OR(G551="",Q551=""),"",G551/Q551-1)</f>
        <v/>
      </c>
      <c r="S551" s="10">
        <f>IF(OR(L551="",J551=""),"",L551*J551)</f>
        <v/>
      </c>
      <c r="T551" s="10">
        <f>IF(P551="","",StartBank+SUM(P$2:P551))</f>
        <v/>
      </c>
    </row>
    <row r="552">
      <c r="A552" s="22" t="n"/>
      <c r="G552" s="21" t="n"/>
      <c r="H552" s="11" t="n"/>
      <c r="I552" s="21">
        <f>IF(OR(H552="",H552=0),"",1/H552)</f>
        <v/>
      </c>
      <c r="J552" s="11">
        <f>IF(OR(G552="",H552=""),"",H552*G552-1)</f>
        <v/>
      </c>
      <c r="K552" s="10">
        <f>IF(OR(G552="",H552="",G552&lt;=1),"",IF(J552&lt;IF(D552="Builder",MinEdgeBuilder,IF(D552="Player",MinEdgePlayer,MinEdgeSingle)),0,ROUND(MIN(IF(D552="Single",KellySingle,KellyBuilder)*(StartBank+SUM(P$1:P551))*J552/(G552-1),IF(D552="Builder",CapBuilder,CapSingle)*Unit),2)))</f>
        <v/>
      </c>
      <c r="L552" s="10" t="n"/>
      <c r="N552" s="10" t="n"/>
      <c r="O552" s="10">
        <f>IF(L552="","",IF(M552="Won",L552*G552,IF(M552="Void",L552,IF(M552="Cash out",N(N552),IF(M552="Lost",0,"")))))</f>
        <v/>
      </c>
      <c r="P552" s="10">
        <f>IF(OR(L552="",M552="",M552="Pending"),"",O552-L552)</f>
        <v/>
      </c>
      <c r="Q552" s="21" t="n"/>
      <c r="R552" s="11">
        <f>IF(OR(G552="",Q552=""),"",G552/Q552-1)</f>
        <v/>
      </c>
      <c r="S552" s="10">
        <f>IF(OR(L552="",J552=""),"",L552*J552)</f>
        <v/>
      </c>
      <c r="T552" s="10">
        <f>IF(P552="","",StartBank+SUM(P$2:P552))</f>
        <v/>
      </c>
    </row>
    <row r="553">
      <c r="A553" s="22" t="n"/>
      <c r="G553" s="21" t="n"/>
      <c r="H553" s="11" t="n"/>
      <c r="I553" s="21">
        <f>IF(OR(H553="",H553=0),"",1/H553)</f>
        <v/>
      </c>
      <c r="J553" s="11">
        <f>IF(OR(G553="",H553=""),"",H553*G553-1)</f>
        <v/>
      </c>
      <c r="K553" s="10">
        <f>IF(OR(G553="",H553="",G553&lt;=1),"",IF(J553&lt;IF(D553="Builder",MinEdgeBuilder,IF(D553="Player",MinEdgePlayer,MinEdgeSingle)),0,ROUND(MIN(IF(D553="Single",KellySingle,KellyBuilder)*(StartBank+SUM(P$1:P552))*J553/(G553-1),IF(D553="Builder",CapBuilder,CapSingle)*Unit),2)))</f>
        <v/>
      </c>
      <c r="L553" s="10" t="n"/>
      <c r="N553" s="10" t="n"/>
      <c r="O553" s="10">
        <f>IF(L553="","",IF(M553="Won",L553*G553,IF(M553="Void",L553,IF(M553="Cash out",N(N553),IF(M553="Lost",0,"")))))</f>
        <v/>
      </c>
      <c r="P553" s="10">
        <f>IF(OR(L553="",M553="",M553="Pending"),"",O553-L553)</f>
        <v/>
      </c>
      <c r="Q553" s="21" t="n"/>
      <c r="R553" s="11">
        <f>IF(OR(G553="",Q553=""),"",G553/Q553-1)</f>
        <v/>
      </c>
      <c r="S553" s="10">
        <f>IF(OR(L553="",J553=""),"",L553*J553)</f>
        <v/>
      </c>
      <c r="T553" s="10">
        <f>IF(P553="","",StartBank+SUM(P$2:P553))</f>
        <v/>
      </c>
    </row>
    <row r="554">
      <c r="A554" s="22" t="n"/>
      <c r="G554" s="21" t="n"/>
      <c r="H554" s="11" t="n"/>
      <c r="I554" s="21">
        <f>IF(OR(H554="",H554=0),"",1/H554)</f>
        <v/>
      </c>
      <c r="J554" s="11">
        <f>IF(OR(G554="",H554=""),"",H554*G554-1)</f>
        <v/>
      </c>
      <c r="K554" s="10">
        <f>IF(OR(G554="",H554="",G554&lt;=1),"",IF(J554&lt;IF(D554="Builder",MinEdgeBuilder,IF(D554="Player",MinEdgePlayer,MinEdgeSingle)),0,ROUND(MIN(IF(D554="Single",KellySingle,KellyBuilder)*(StartBank+SUM(P$1:P553))*J554/(G554-1),IF(D554="Builder",CapBuilder,CapSingle)*Unit),2)))</f>
        <v/>
      </c>
      <c r="L554" s="10" t="n"/>
      <c r="N554" s="10" t="n"/>
      <c r="O554" s="10">
        <f>IF(L554="","",IF(M554="Won",L554*G554,IF(M554="Void",L554,IF(M554="Cash out",N(N554),IF(M554="Lost",0,"")))))</f>
        <v/>
      </c>
      <c r="P554" s="10">
        <f>IF(OR(L554="",M554="",M554="Pending"),"",O554-L554)</f>
        <v/>
      </c>
      <c r="Q554" s="21" t="n"/>
      <c r="R554" s="11">
        <f>IF(OR(G554="",Q554=""),"",G554/Q554-1)</f>
        <v/>
      </c>
      <c r="S554" s="10">
        <f>IF(OR(L554="",J554=""),"",L554*J554)</f>
        <v/>
      </c>
      <c r="T554" s="10">
        <f>IF(P554="","",StartBank+SUM(P$2:P554))</f>
        <v/>
      </c>
    </row>
    <row r="555">
      <c r="A555" s="22" t="n"/>
      <c r="G555" s="21" t="n"/>
      <c r="H555" s="11" t="n"/>
      <c r="I555" s="21">
        <f>IF(OR(H555="",H555=0),"",1/H555)</f>
        <v/>
      </c>
      <c r="J555" s="11">
        <f>IF(OR(G555="",H555=""),"",H555*G555-1)</f>
        <v/>
      </c>
      <c r="K555" s="10">
        <f>IF(OR(G555="",H555="",G555&lt;=1),"",IF(J555&lt;IF(D555="Builder",MinEdgeBuilder,IF(D555="Player",MinEdgePlayer,MinEdgeSingle)),0,ROUND(MIN(IF(D555="Single",KellySingle,KellyBuilder)*(StartBank+SUM(P$1:P554))*J555/(G555-1),IF(D555="Builder",CapBuilder,CapSingle)*Unit),2)))</f>
        <v/>
      </c>
      <c r="L555" s="10" t="n"/>
      <c r="N555" s="10" t="n"/>
      <c r="O555" s="10">
        <f>IF(L555="","",IF(M555="Won",L555*G555,IF(M555="Void",L555,IF(M555="Cash out",N(N555),IF(M555="Lost",0,"")))))</f>
        <v/>
      </c>
      <c r="P555" s="10">
        <f>IF(OR(L555="",M555="",M555="Pending"),"",O555-L555)</f>
        <v/>
      </c>
      <c r="Q555" s="21" t="n"/>
      <c r="R555" s="11">
        <f>IF(OR(G555="",Q555=""),"",G555/Q555-1)</f>
        <v/>
      </c>
      <c r="S555" s="10">
        <f>IF(OR(L555="",J555=""),"",L555*J555)</f>
        <v/>
      </c>
      <c r="T555" s="10">
        <f>IF(P555="","",StartBank+SUM(P$2:P555))</f>
        <v/>
      </c>
    </row>
    <row r="556">
      <c r="A556" s="22" t="n"/>
      <c r="G556" s="21" t="n"/>
      <c r="H556" s="11" t="n"/>
      <c r="I556" s="21">
        <f>IF(OR(H556="",H556=0),"",1/H556)</f>
        <v/>
      </c>
      <c r="J556" s="11">
        <f>IF(OR(G556="",H556=""),"",H556*G556-1)</f>
        <v/>
      </c>
      <c r="K556" s="10">
        <f>IF(OR(G556="",H556="",G556&lt;=1),"",IF(J556&lt;IF(D556="Builder",MinEdgeBuilder,IF(D556="Player",MinEdgePlayer,MinEdgeSingle)),0,ROUND(MIN(IF(D556="Single",KellySingle,KellyBuilder)*(StartBank+SUM(P$1:P555))*J556/(G556-1),IF(D556="Builder",CapBuilder,CapSingle)*Unit),2)))</f>
        <v/>
      </c>
      <c r="L556" s="10" t="n"/>
      <c r="N556" s="10" t="n"/>
      <c r="O556" s="10">
        <f>IF(L556="","",IF(M556="Won",L556*G556,IF(M556="Void",L556,IF(M556="Cash out",N(N556),IF(M556="Lost",0,"")))))</f>
        <v/>
      </c>
      <c r="P556" s="10">
        <f>IF(OR(L556="",M556="",M556="Pending"),"",O556-L556)</f>
        <v/>
      </c>
      <c r="Q556" s="21" t="n"/>
      <c r="R556" s="11">
        <f>IF(OR(G556="",Q556=""),"",G556/Q556-1)</f>
        <v/>
      </c>
      <c r="S556" s="10">
        <f>IF(OR(L556="",J556=""),"",L556*J556)</f>
        <v/>
      </c>
      <c r="T556" s="10">
        <f>IF(P556="","",StartBank+SUM(P$2:P556))</f>
        <v/>
      </c>
    </row>
    <row r="557">
      <c r="A557" s="22" t="n"/>
      <c r="G557" s="21" t="n"/>
      <c r="H557" s="11" t="n"/>
      <c r="I557" s="21">
        <f>IF(OR(H557="",H557=0),"",1/H557)</f>
        <v/>
      </c>
      <c r="J557" s="11">
        <f>IF(OR(G557="",H557=""),"",H557*G557-1)</f>
        <v/>
      </c>
      <c r="K557" s="10">
        <f>IF(OR(G557="",H557="",G557&lt;=1),"",IF(J557&lt;IF(D557="Builder",MinEdgeBuilder,IF(D557="Player",MinEdgePlayer,MinEdgeSingle)),0,ROUND(MIN(IF(D557="Single",KellySingle,KellyBuilder)*(StartBank+SUM(P$1:P556))*J557/(G557-1),IF(D557="Builder",CapBuilder,CapSingle)*Unit),2)))</f>
        <v/>
      </c>
      <c r="L557" s="10" t="n"/>
      <c r="N557" s="10" t="n"/>
      <c r="O557" s="10">
        <f>IF(L557="","",IF(M557="Won",L557*G557,IF(M557="Void",L557,IF(M557="Cash out",N(N557),IF(M557="Lost",0,"")))))</f>
        <v/>
      </c>
      <c r="P557" s="10">
        <f>IF(OR(L557="",M557="",M557="Pending"),"",O557-L557)</f>
        <v/>
      </c>
      <c r="Q557" s="21" t="n"/>
      <c r="R557" s="11">
        <f>IF(OR(G557="",Q557=""),"",G557/Q557-1)</f>
        <v/>
      </c>
      <c r="S557" s="10">
        <f>IF(OR(L557="",J557=""),"",L557*J557)</f>
        <v/>
      </c>
      <c r="T557" s="10">
        <f>IF(P557="","",StartBank+SUM(P$2:P557))</f>
        <v/>
      </c>
    </row>
    <row r="558">
      <c r="A558" s="22" t="n"/>
      <c r="G558" s="21" t="n"/>
      <c r="H558" s="11" t="n"/>
      <c r="I558" s="21">
        <f>IF(OR(H558="",H558=0),"",1/H558)</f>
        <v/>
      </c>
      <c r="J558" s="11">
        <f>IF(OR(G558="",H558=""),"",H558*G558-1)</f>
        <v/>
      </c>
      <c r="K558" s="10">
        <f>IF(OR(G558="",H558="",G558&lt;=1),"",IF(J558&lt;IF(D558="Builder",MinEdgeBuilder,IF(D558="Player",MinEdgePlayer,MinEdgeSingle)),0,ROUND(MIN(IF(D558="Single",KellySingle,KellyBuilder)*(StartBank+SUM(P$1:P557))*J558/(G558-1),IF(D558="Builder",CapBuilder,CapSingle)*Unit),2)))</f>
        <v/>
      </c>
      <c r="L558" s="10" t="n"/>
      <c r="N558" s="10" t="n"/>
      <c r="O558" s="10">
        <f>IF(L558="","",IF(M558="Won",L558*G558,IF(M558="Void",L558,IF(M558="Cash out",N(N558),IF(M558="Lost",0,"")))))</f>
        <v/>
      </c>
      <c r="P558" s="10">
        <f>IF(OR(L558="",M558="",M558="Pending"),"",O558-L558)</f>
        <v/>
      </c>
      <c r="Q558" s="21" t="n"/>
      <c r="R558" s="11">
        <f>IF(OR(G558="",Q558=""),"",G558/Q558-1)</f>
        <v/>
      </c>
      <c r="S558" s="10">
        <f>IF(OR(L558="",J558=""),"",L558*J558)</f>
        <v/>
      </c>
      <c r="T558" s="10">
        <f>IF(P558="","",StartBank+SUM(P$2:P558))</f>
        <v/>
      </c>
    </row>
    <row r="559">
      <c r="A559" s="22" t="n"/>
      <c r="G559" s="21" t="n"/>
      <c r="H559" s="11" t="n"/>
      <c r="I559" s="21">
        <f>IF(OR(H559="",H559=0),"",1/H559)</f>
        <v/>
      </c>
      <c r="J559" s="11">
        <f>IF(OR(G559="",H559=""),"",H559*G559-1)</f>
        <v/>
      </c>
      <c r="K559" s="10">
        <f>IF(OR(G559="",H559="",G559&lt;=1),"",IF(J559&lt;IF(D559="Builder",MinEdgeBuilder,IF(D559="Player",MinEdgePlayer,MinEdgeSingle)),0,ROUND(MIN(IF(D559="Single",KellySingle,KellyBuilder)*(StartBank+SUM(P$1:P558))*J559/(G559-1),IF(D559="Builder",CapBuilder,CapSingle)*Unit),2)))</f>
        <v/>
      </c>
      <c r="L559" s="10" t="n"/>
      <c r="N559" s="10" t="n"/>
      <c r="O559" s="10">
        <f>IF(L559="","",IF(M559="Won",L559*G559,IF(M559="Void",L559,IF(M559="Cash out",N(N559),IF(M559="Lost",0,"")))))</f>
        <v/>
      </c>
      <c r="P559" s="10">
        <f>IF(OR(L559="",M559="",M559="Pending"),"",O559-L559)</f>
        <v/>
      </c>
      <c r="Q559" s="21" t="n"/>
      <c r="R559" s="11">
        <f>IF(OR(G559="",Q559=""),"",G559/Q559-1)</f>
        <v/>
      </c>
      <c r="S559" s="10">
        <f>IF(OR(L559="",J559=""),"",L559*J559)</f>
        <v/>
      </c>
      <c r="T559" s="10">
        <f>IF(P559="","",StartBank+SUM(P$2:P559))</f>
        <v/>
      </c>
    </row>
    <row r="560">
      <c r="A560" s="22" t="n"/>
      <c r="G560" s="21" t="n"/>
      <c r="H560" s="11" t="n"/>
      <c r="I560" s="21">
        <f>IF(OR(H560="",H560=0),"",1/H560)</f>
        <v/>
      </c>
      <c r="J560" s="11">
        <f>IF(OR(G560="",H560=""),"",H560*G560-1)</f>
        <v/>
      </c>
      <c r="K560" s="10">
        <f>IF(OR(G560="",H560="",G560&lt;=1),"",IF(J560&lt;IF(D560="Builder",MinEdgeBuilder,IF(D560="Player",MinEdgePlayer,MinEdgeSingle)),0,ROUND(MIN(IF(D560="Single",KellySingle,KellyBuilder)*(StartBank+SUM(P$1:P559))*J560/(G560-1),IF(D560="Builder",CapBuilder,CapSingle)*Unit),2)))</f>
        <v/>
      </c>
      <c r="L560" s="10" t="n"/>
      <c r="N560" s="10" t="n"/>
      <c r="O560" s="10">
        <f>IF(L560="","",IF(M560="Won",L560*G560,IF(M560="Void",L560,IF(M560="Cash out",N(N560),IF(M560="Lost",0,"")))))</f>
        <v/>
      </c>
      <c r="P560" s="10">
        <f>IF(OR(L560="",M560="",M560="Pending"),"",O560-L560)</f>
        <v/>
      </c>
      <c r="Q560" s="21" t="n"/>
      <c r="R560" s="11">
        <f>IF(OR(G560="",Q560=""),"",G560/Q560-1)</f>
        <v/>
      </c>
      <c r="S560" s="10">
        <f>IF(OR(L560="",J560=""),"",L560*J560)</f>
        <v/>
      </c>
      <c r="T560" s="10">
        <f>IF(P560="","",StartBank+SUM(P$2:P560))</f>
        <v/>
      </c>
    </row>
    <row r="561">
      <c r="A561" s="22" t="n"/>
      <c r="G561" s="21" t="n"/>
      <c r="H561" s="11" t="n"/>
      <c r="I561" s="21">
        <f>IF(OR(H561="",H561=0),"",1/H561)</f>
        <v/>
      </c>
      <c r="J561" s="11">
        <f>IF(OR(G561="",H561=""),"",H561*G561-1)</f>
        <v/>
      </c>
      <c r="K561" s="10">
        <f>IF(OR(G561="",H561="",G561&lt;=1),"",IF(J561&lt;IF(D561="Builder",MinEdgeBuilder,IF(D561="Player",MinEdgePlayer,MinEdgeSingle)),0,ROUND(MIN(IF(D561="Single",KellySingle,KellyBuilder)*(StartBank+SUM(P$1:P560))*J561/(G561-1),IF(D561="Builder",CapBuilder,CapSingle)*Unit),2)))</f>
        <v/>
      </c>
      <c r="L561" s="10" t="n"/>
      <c r="N561" s="10" t="n"/>
      <c r="O561" s="10">
        <f>IF(L561="","",IF(M561="Won",L561*G561,IF(M561="Void",L561,IF(M561="Cash out",N(N561),IF(M561="Lost",0,"")))))</f>
        <v/>
      </c>
      <c r="P561" s="10">
        <f>IF(OR(L561="",M561="",M561="Pending"),"",O561-L561)</f>
        <v/>
      </c>
      <c r="Q561" s="21" t="n"/>
      <c r="R561" s="11">
        <f>IF(OR(G561="",Q561=""),"",G561/Q561-1)</f>
        <v/>
      </c>
      <c r="S561" s="10">
        <f>IF(OR(L561="",J561=""),"",L561*J561)</f>
        <v/>
      </c>
      <c r="T561" s="10">
        <f>IF(P561="","",StartBank+SUM(P$2:P561))</f>
        <v/>
      </c>
    </row>
    <row r="562">
      <c r="A562" s="22" t="n"/>
      <c r="G562" s="21" t="n"/>
      <c r="H562" s="11" t="n"/>
      <c r="I562" s="21">
        <f>IF(OR(H562="",H562=0),"",1/H562)</f>
        <v/>
      </c>
      <c r="J562" s="11">
        <f>IF(OR(G562="",H562=""),"",H562*G562-1)</f>
        <v/>
      </c>
      <c r="K562" s="10">
        <f>IF(OR(G562="",H562="",G562&lt;=1),"",IF(J562&lt;IF(D562="Builder",MinEdgeBuilder,IF(D562="Player",MinEdgePlayer,MinEdgeSingle)),0,ROUND(MIN(IF(D562="Single",KellySingle,KellyBuilder)*(StartBank+SUM(P$1:P561))*J562/(G562-1),IF(D562="Builder",CapBuilder,CapSingle)*Unit),2)))</f>
        <v/>
      </c>
      <c r="L562" s="10" t="n"/>
      <c r="N562" s="10" t="n"/>
      <c r="O562" s="10">
        <f>IF(L562="","",IF(M562="Won",L562*G562,IF(M562="Void",L562,IF(M562="Cash out",N(N562),IF(M562="Lost",0,"")))))</f>
        <v/>
      </c>
      <c r="P562" s="10">
        <f>IF(OR(L562="",M562="",M562="Pending"),"",O562-L562)</f>
        <v/>
      </c>
      <c r="Q562" s="21" t="n"/>
      <c r="R562" s="11">
        <f>IF(OR(G562="",Q562=""),"",G562/Q562-1)</f>
        <v/>
      </c>
      <c r="S562" s="10">
        <f>IF(OR(L562="",J562=""),"",L562*J562)</f>
        <v/>
      </c>
      <c r="T562" s="10">
        <f>IF(P562="","",StartBank+SUM(P$2:P562))</f>
        <v/>
      </c>
    </row>
    <row r="563">
      <c r="A563" s="22" t="n"/>
      <c r="G563" s="21" t="n"/>
      <c r="H563" s="11" t="n"/>
      <c r="I563" s="21">
        <f>IF(OR(H563="",H563=0),"",1/H563)</f>
        <v/>
      </c>
      <c r="J563" s="11">
        <f>IF(OR(G563="",H563=""),"",H563*G563-1)</f>
        <v/>
      </c>
      <c r="K563" s="10">
        <f>IF(OR(G563="",H563="",G563&lt;=1),"",IF(J563&lt;IF(D563="Builder",MinEdgeBuilder,IF(D563="Player",MinEdgePlayer,MinEdgeSingle)),0,ROUND(MIN(IF(D563="Single",KellySingle,KellyBuilder)*(StartBank+SUM(P$1:P562))*J563/(G563-1),IF(D563="Builder",CapBuilder,CapSingle)*Unit),2)))</f>
        <v/>
      </c>
      <c r="L563" s="10" t="n"/>
      <c r="N563" s="10" t="n"/>
      <c r="O563" s="10">
        <f>IF(L563="","",IF(M563="Won",L563*G563,IF(M563="Void",L563,IF(M563="Cash out",N(N563),IF(M563="Lost",0,"")))))</f>
        <v/>
      </c>
      <c r="P563" s="10">
        <f>IF(OR(L563="",M563="",M563="Pending"),"",O563-L563)</f>
        <v/>
      </c>
      <c r="Q563" s="21" t="n"/>
      <c r="R563" s="11">
        <f>IF(OR(G563="",Q563=""),"",G563/Q563-1)</f>
        <v/>
      </c>
      <c r="S563" s="10">
        <f>IF(OR(L563="",J563=""),"",L563*J563)</f>
        <v/>
      </c>
      <c r="T563" s="10">
        <f>IF(P563="","",StartBank+SUM(P$2:P563))</f>
        <v/>
      </c>
    </row>
    <row r="564">
      <c r="A564" s="22" t="n"/>
      <c r="G564" s="21" t="n"/>
      <c r="H564" s="11" t="n"/>
      <c r="I564" s="21">
        <f>IF(OR(H564="",H564=0),"",1/H564)</f>
        <v/>
      </c>
      <c r="J564" s="11">
        <f>IF(OR(G564="",H564=""),"",H564*G564-1)</f>
        <v/>
      </c>
      <c r="K564" s="10">
        <f>IF(OR(G564="",H564="",G564&lt;=1),"",IF(J564&lt;IF(D564="Builder",MinEdgeBuilder,IF(D564="Player",MinEdgePlayer,MinEdgeSingle)),0,ROUND(MIN(IF(D564="Single",KellySingle,KellyBuilder)*(StartBank+SUM(P$1:P563))*J564/(G564-1),IF(D564="Builder",CapBuilder,CapSingle)*Unit),2)))</f>
        <v/>
      </c>
      <c r="L564" s="10" t="n"/>
      <c r="N564" s="10" t="n"/>
      <c r="O564" s="10">
        <f>IF(L564="","",IF(M564="Won",L564*G564,IF(M564="Void",L564,IF(M564="Cash out",N(N564),IF(M564="Lost",0,"")))))</f>
        <v/>
      </c>
      <c r="P564" s="10">
        <f>IF(OR(L564="",M564="",M564="Pending"),"",O564-L564)</f>
        <v/>
      </c>
      <c r="Q564" s="21" t="n"/>
      <c r="R564" s="11">
        <f>IF(OR(G564="",Q564=""),"",G564/Q564-1)</f>
        <v/>
      </c>
      <c r="S564" s="10">
        <f>IF(OR(L564="",J564=""),"",L564*J564)</f>
        <v/>
      </c>
      <c r="T564" s="10">
        <f>IF(P564="","",StartBank+SUM(P$2:P564))</f>
        <v/>
      </c>
    </row>
    <row r="565">
      <c r="A565" s="22" t="n"/>
      <c r="G565" s="21" t="n"/>
      <c r="H565" s="11" t="n"/>
      <c r="I565" s="21">
        <f>IF(OR(H565="",H565=0),"",1/H565)</f>
        <v/>
      </c>
      <c r="J565" s="11">
        <f>IF(OR(G565="",H565=""),"",H565*G565-1)</f>
        <v/>
      </c>
      <c r="K565" s="10">
        <f>IF(OR(G565="",H565="",G565&lt;=1),"",IF(J565&lt;IF(D565="Builder",MinEdgeBuilder,IF(D565="Player",MinEdgePlayer,MinEdgeSingle)),0,ROUND(MIN(IF(D565="Single",KellySingle,KellyBuilder)*(StartBank+SUM(P$1:P564))*J565/(G565-1),IF(D565="Builder",CapBuilder,CapSingle)*Unit),2)))</f>
        <v/>
      </c>
      <c r="L565" s="10" t="n"/>
      <c r="N565" s="10" t="n"/>
      <c r="O565" s="10">
        <f>IF(L565="","",IF(M565="Won",L565*G565,IF(M565="Void",L565,IF(M565="Cash out",N(N565),IF(M565="Lost",0,"")))))</f>
        <v/>
      </c>
      <c r="P565" s="10">
        <f>IF(OR(L565="",M565="",M565="Pending"),"",O565-L565)</f>
        <v/>
      </c>
      <c r="Q565" s="21" t="n"/>
      <c r="R565" s="11">
        <f>IF(OR(G565="",Q565=""),"",G565/Q565-1)</f>
        <v/>
      </c>
      <c r="S565" s="10">
        <f>IF(OR(L565="",J565=""),"",L565*J565)</f>
        <v/>
      </c>
      <c r="T565" s="10">
        <f>IF(P565="","",StartBank+SUM(P$2:P565))</f>
        <v/>
      </c>
    </row>
    <row r="566">
      <c r="A566" s="22" t="n"/>
      <c r="G566" s="21" t="n"/>
      <c r="H566" s="11" t="n"/>
      <c r="I566" s="21">
        <f>IF(OR(H566="",H566=0),"",1/H566)</f>
        <v/>
      </c>
      <c r="J566" s="11">
        <f>IF(OR(G566="",H566=""),"",H566*G566-1)</f>
        <v/>
      </c>
      <c r="K566" s="10">
        <f>IF(OR(G566="",H566="",G566&lt;=1),"",IF(J566&lt;IF(D566="Builder",MinEdgeBuilder,IF(D566="Player",MinEdgePlayer,MinEdgeSingle)),0,ROUND(MIN(IF(D566="Single",KellySingle,KellyBuilder)*(StartBank+SUM(P$1:P565))*J566/(G566-1),IF(D566="Builder",CapBuilder,CapSingle)*Unit),2)))</f>
        <v/>
      </c>
      <c r="L566" s="10" t="n"/>
      <c r="N566" s="10" t="n"/>
      <c r="O566" s="10">
        <f>IF(L566="","",IF(M566="Won",L566*G566,IF(M566="Void",L566,IF(M566="Cash out",N(N566),IF(M566="Lost",0,"")))))</f>
        <v/>
      </c>
      <c r="P566" s="10">
        <f>IF(OR(L566="",M566="",M566="Pending"),"",O566-L566)</f>
        <v/>
      </c>
      <c r="Q566" s="21" t="n"/>
      <c r="R566" s="11">
        <f>IF(OR(G566="",Q566=""),"",G566/Q566-1)</f>
        <v/>
      </c>
      <c r="S566" s="10">
        <f>IF(OR(L566="",J566=""),"",L566*J566)</f>
        <v/>
      </c>
      <c r="T566" s="10">
        <f>IF(P566="","",StartBank+SUM(P$2:P566))</f>
        <v/>
      </c>
    </row>
    <row r="567">
      <c r="A567" s="22" t="n"/>
      <c r="G567" s="21" t="n"/>
      <c r="H567" s="11" t="n"/>
      <c r="I567" s="21">
        <f>IF(OR(H567="",H567=0),"",1/H567)</f>
        <v/>
      </c>
      <c r="J567" s="11">
        <f>IF(OR(G567="",H567=""),"",H567*G567-1)</f>
        <v/>
      </c>
      <c r="K567" s="10">
        <f>IF(OR(G567="",H567="",G567&lt;=1),"",IF(J567&lt;IF(D567="Builder",MinEdgeBuilder,IF(D567="Player",MinEdgePlayer,MinEdgeSingle)),0,ROUND(MIN(IF(D567="Single",KellySingle,KellyBuilder)*(StartBank+SUM(P$1:P566))*J567/(G567-1),IF(D567="Builder",CapBuilder,CapSingle)*Unit),2)))</f>
        <v/>
      </c>
      <c r="L567" s="10" t="n"/>
      <c r="N567" s="10" t="n"/>
      <c r="O567" s="10">
        <f>IF(L567="","",IF(M567="Won",L567*G567,IF(M567="Void",L567,IF(M567="Cash out",N(N567),IF(M567="Lost",0,"")))))</f>
        <v/>
      </c>
      <c r="P567" s="10">
        <f>IF(OR(L567="",M567="",M567="Pending"),"",O567-L567)</f>
        <v/>
      </c>
      <c r="Q567" s="21" t="n"/>
      <c r="R567" s="11">
        <f>IF(OR(G567="",Q567=""),"",G567/Q567-1)</f>
        <v/>
      </c>
      <c r="S567" s="10">
        <f>IF(OR(L567="",J567=""),"",L567*J567)</f>
        <v/>
      </c>
      <c r="T567" s="10">
        <f>IF(P567="","",StartBank+SUM(P$2:P567))</f>
        <v/>
      </c>
    </row>
    <row r="568">
      <c r="A568" s="22" t="n"/>
      <c r="G568" s="21" t="n"/>
      <c r="H568" s="11" t="n"/>
      <c r="I568" s="21">
        <f>IF(OR(H568="",H568=0),"",1/H568)</f>
        <v/>
      </c>
      <c r="J568" s="11">
        <f>IF(OR(G568="",H568=""),"",H568*G568-1)</f>
        <v/>
      </c>
      <c r="K568" s="10">
        <f>IF(OR(G568="",H568="",G568&lt;=1),"",IF(J568&lt;IF(D568="Builder",MinEdgeBuilder,IF(D568="Player",MinEdgePlayer,MinEdgeSingle)),0,ROUND(MIN(IF(D568="Single",KellySingle,KellyBuilder)*(StartBank+SUM(P$1:P567))*J568/(G568-1),IF(D568="Builder",CapBuilder,CapSingle)*Unit),2)))</f>
        <v/>
      </c>
      <c r="L568" s="10" t="n"/>
      <c r="N568" s="10" t="n"/>
      <c r="O568" s="10">
        <f>IF(L568="","",IF(M568="Won",L568*G568,IF(M568="Void",L568,IF(M568="Cash out",N(N568),IF(M568="Lost",0,"")))))</f>
        <v/>
      </c>
      <c r="P568" s="10">
        <f>IF(OR(L568="",M568="",M568="Pending"),"",O568-L568)</f>
        <v/>
      </c>
      <c r="Q568" s="21" t="n"/>
      <c r="R568" s="11">
        <f>IF(OR(G568="",Q568=""),"",G568/Q568-1)</f>
        <v/>
      </c>
      <c r="S568" s="10">
        <f>IF(OR(L568="",J568=""),"",L568*J568)</f>
        <v/>
      </c>
      <c r="T568" s="10">
        <f>IF(P568="","",StartBank+SUM(P$2:P568))</f>
        <v/>
      </c>
    </row>
    <row r="569">
      <c r="A569" s="22" t="n"/>
      <c r="G569" s="21" t="n"/>
      <c r="H569" s="11" t="n"/>
      <c r="I569" s="21">
        <f>IF(OR(H569="",H569=0),"",1/H569)</f>
        <v/>
      </c>
      <c r="J569" s="11">
        <f>IF(OR(G569="",H569=""),"",H569*G569-1)</f>
        <v/>
      </c>
      <c r="K569" s="10">
        <f>IF(OR(G569="",H569="",G569&lt;=1),"",IF(J569&lt;IF(D569="Builder",MinEdgeBuilder,IF(D569="Player",MinEdgePlayer,MinEdgeSingle)),0,ROUND(MIN(IF(D569="Single",KellySingle,KellyBuilder)*(StartBank+SUM(P$1:P568))*J569/(G569-1),IF(D569="Builder",CapBuilder,CapSingle)*Unit),2)))</f>
        <v/>
      </c>
      <c r="L569" s="10" t="n"/>
      <c r="N569" s="10" t="n"/>
      <c r="O569" s="10">
        <f>IF(L569="","",IF(M569="Won",L569*G569,IF(M569="Void",L569,IF(M569="Cash out",N(N569),IF(M569="Lost",0,"")))))</f>
        <v/>
      </c>
      <c r="P569" s="10">
        <f>IF(OR(L569="",M569="",M569="Pending"),"",O569-L569)</f>
        <v/>
      </c>
      <c r="Q569" s="21" t="n"/>
      <c r="R569" s="11">
        <f>IF(OR(G569="",Q569=""),"",G569/Q569-1)</f>
        <v/>
      </c>
      <c r="S569" s="10">
        <f>IF(OR(L569="",J569=""),"",L569*J569)</f>
        <v/>
      </c>
      <c r="T569" s="10">
        <f>IF(P569="","",StartBank+SUM(P$2:P569))</f>
        <v/>
      </c>
    </row>
    <row r="570">
      <c r="A570" s="22" t="n"/>
      <c r="G570" s="21" t="n"/>
      <c r="H570" s="11" t="n"/>
      <c r="I570" s="21">
        <f>IF(OR(H570="",H570=0),"",1/H570)</f>
        <v/>
      </c>
      <c r="J570" s="11">
        <f>IF(OR(G570="",H570=""),"",H570*G570-1)</f>
        <v/>
      </c>
      <c r="K570" s="10">
        <f>IF(OR(G570="",H570="",G570&lt;=1),"",IF(J570&lt;IF(D570="Builder",MinEdgeBuilder,IF(D570="Player",MinEdgePlayer,MinEdgeSingle)),0,ROUND(MIN(IF(D570="Single",KellySingle,KellyBuilder)*(StartBank+SUM(P$1:P569))*J570/(G570-1),IF(D570="Builder",CapBuilder,CapSingle)*Unit),2)))</f>
        <v/>
      </c>
      <c r="L570" s="10" t="n"/>
      <c r="N570" s="10" t="n"/>
      <c r="O570" s="10">
        <f>IF(L570="","",IF(M570="Won",L570*G570,IF(M570="Void",L570,IF(M570="Cash out",N(N570),IF(M570="Lost",0,"")))))</f>
        <v/>
      </c>
      <c r="P570" s="10">
        <f>IF(OR(L570="",M570="",M570="Pending"),"",O570-L570)</f>
        <v/>
      </c>
      <c r="Q570" s="21" t="n"/>
      <c r="R570" s="11">
        <f>IF(OR(G570="",Q570=""),"",G570/Q570-1)</f>
        <v/>
      </c>
      <c r="S570" s="10">
        <f>IF(OR(L570="",J570=""),"",L570*J570)</f>
        <v/>
      </c>
      <c r="T570" s="10">
        <f>IF(P570="","",StartBank+SUM(P$2:P570))</f>
        <v/>
      </c>
    </row>
    <row r="571">
      <c r="A571" s="22" t="n"/>
      <c r="G571" s="21" t="n"/>
      <c r="H571" s="11" t="n"/>
      <c r="I571" s="21">
        <f>IF(OR(H571="",H571=0),"",1/H571)</f>
        <v/>
      </c>
      <c r="J571" s="11">
        <f>IF(OR(G571="",H571=""),"",H571*G571-1)</f>
        <v/>
      </c>
      <c r="K571" s="10">
        <f>IF(OR(G571="",H571="",G571&lt;=1),"",IF(J571&lt;IF(D571="Builder",MinEdgeBuilder,IF(D571="Player",MinEdgePlayer,MinEdgeSingle)),0,ROUND(MIN(IF(D571="Single",KellySingle,KellyBuilder)*(StartBank+SUM(P$1:P570))*J571/(G571-1),IF(D571="Builder",CapBuilder,CapSingle)*Unit),2)))</f>
        <v/>
      </c>
      <c r="L571" s="10" t="n"/>
      <c r="N571" s="10" t="n"/>
      <c r="O571" s="10">
        <f>IF(L571="","",IF(M571="Won",L571*G571,IF(M571="Void",L571,IF(M571="Cash out",N(N571),IF(M571="Lost",0,"")))))</f>
        <v/>
      </c>
      <c r="P571" s="10">
        <f>IF(OR(L571="",M571="",M571="Pending"),"",O571-L571)</f>
        <v/>
      </c>
      <c r="Q571" s="21" t="n"/>
      <c r="R571" s="11">
        <f>IF(OR(G571="",Q571=""),"",G571/Q571-1)</f>
        <v/>
      </c>
      <c r="S571" s="10">
        <f>IF(OR(L571="",J571=""),"",L571*J571)</f>
        <v/>
      </c>
      <c r="T571" s="10">
        <f>IF(P571="","",StartBank+SUM(P$2:P571))</f>
        <v/>
      </c>
    </row>
    <row r="572">
      <c r="A572" s="22" t="n"/>
      <c r="G572" s="21" t="n"/>
      <c r="H572" s="11" t="n"/>
      <c r="I572" s="21">
        <f>IF(OR(H572="",H572=0),"",1/H572)</f>
        <v/>
      </c>
      <c r="J572" s="11">
        <f>IF(OR(G572="",H572=""),"",H572*G572-1)</f>
        <v/>
      </c>
      <c r="K572" s="10">
        <f>IF(OR(G572="",H572="",G572&lt;=1),"",IF(J572&lt;IF(D572="Builder",MinEdgeBuilder,IF(D572="Player",MinEdgePlayer,MinEdgeSingle)),0,ROUND(MIN(IF(D572="Single",KellySingle,KellyBuilder)*(StartBank+SUM(P$1:P571))*J572/(G572-1),IF(D572="Builder",CapBuilder,CapSingle)*Unit),2)))</f>
        <v/>
      </c>
      <c r="L572" s="10" t="n"/>
      <c r="N572" s="10" t="n"/>
      <c r="O572" s="10">
        <f>IF(L572="","",IF(M572="Won",L572*G572,IF(M572="Void",L572,IF(M572="Cash out",N(N572),IF(M572="Lost",0,"")))))</f>
        <v/>
      </c>
      <c r="P572" s="10">
        <f>IF(OR(L572="",M572="",M572="Pending"),"",O572-L572)</f>
        <v/>
      </c>
      <c r="Q572" s="21" t="n"/>
      <c r="R572" s="11">
        <f>IF(OR(G572="",Q572=""),"",G572/Q572-1)</f>
        <v/>
      </c>
      <c r="S572" s="10">
        <f>IF(OR(L572="",J572=""),"",L572*J572)</f>
        <v/>
      </c>
      <c r="T572" s="10">
        <f>IF(P572="","",StartBank+SUM(P$2:P572))</f>
        <v/>
      </c>
    </row>
    <row r="573">
      <c r="A573" s="22" t="n"/>
      <c r="G573" s="21" t="n"/>
      <c r="H573" s="11" t="n"/>
      <c r="I573" s="21">
        <f>IF(OR(H573="",H573=0),"",1/H573)</f>
        <v/>
      </c>
      <c r="J573" s="11">
        <f>IF(OR(G573="",H573=""),"",H573*G573-1)</f>
        <v/>
      </c>
      <c r="K573" s="10">
        <f>IF(OR(G573="",H573="",G573&lt;=1),"",IF(J573&lt;IF(D573="Builder",MinEdgeBuilder,IF(D573="Player",MinEdgePlayer,MinEdgeSingle)),0,ROUND(MIN(IF(D573="Single",KellySingle,KellyBuilder)*(StartBank+SUM(P$1:P572))*J573/(G573-1),IF(D573="Builder",CapBuilder,CapSingle)*Unit),2)))</f>
        <v/>
      </c>
      <c r="L573" s="10" t="n"/>
      <c r="N573" s="10" t="n"/>
      <c r="O573" s="10">
        <f>IF(L573="","",IF(M573="Won",L573*G573,IF(M573="Void",L573,IF(M573="Cash out",N(N573),IF(M573="Lost",0,"")))))</f>
        <v/>
      </c>
      <c r="P573" s="10">
        <f>IF(OR(L573="",M573="",M573="Pending"),"",O573-L573)</f>
        <v/>
      </c>
      <c r="Q573" s="21" t="n"/>
      <c r="R573" s="11">
        <f>IF(OR(G573="",Q573=""),"",G573/Q573-1)</f>
        <v/>
      </c>
      <c r="S573" s="10">
        <f>IF(OR(L573="",J573=""),"",L573*J573)</f>
        <v/>
      </c>
      <c r="T573" s="10">
        <f>IF(P573="","",StartBank+SUM(P$2:P573))</f>
        <v/>
      </c>
    </row>
    <row r="574">
      <c r="A574" s="22" t="n"/>
      <c r="G574" s="21" t="n"/>
      <c r="H574" s="11" t="n"/>
      <c r="I574" s="21">
        <f>IF(OR(H574="",H574=0),"",1/H574)</f>
        <v/>
      </c>
      <c r="J574" s="11">
        <f>IF(OR(G574="",H574=""),"",H574*G574-1)</f>
        <v/>
      </c>
      <c r="K574" s="10">
        <f>IF(OR(G574="",H574="",G574&lt;=1),"",IF(J574&lt;IF(D574="Builder",MinEdgeBuilder,IF(D574="Player",MinEdgePlayer,MinEdgeSingle)),0,ROUND(MIN(IF(D574="Single",KellySingle,KellyBuilder)*(StartBank+SUM(P$1:P573))*J574/(G574-1),IF(D574="Builder",CapBuilder,CapSingle)*Unit),2)))</f>
        <v/>
      </c>
      <c r="L574" s="10" t="n"/>
      <c r="N574" s="10" t="n"/>
      <c r="O574" s="10">
        <f>IF(L574="","",IF(M574="Won",L574*G574,IF(M574="Void",L574,IF(M574="Cash out",N(N574),IF(M574="Lost",0,"")))))</f>
        <v/>
      </c>
      <c r="P574" s="10">
        <f>IF(OR(L574="",M574="",M574="Pending"),"",O574-L574)</f>
        <v/>
      </c>
      <c r="Q574" s="21" t="n"/>
      <c r="R574" s="11">
        <f>IF(OR(G574="",Q574=""),"",G574/Q574-1)</f>
        <v/>
      </c>
      <c r="S574" s="10">
        <f>IF(OR(L574="",J574=""),"",L574*J574)</f>
        <v/>
      </c>
      <c r="T574" s="10">
        <f>IF(P574="","",StartBank+SUM(P$2:P574))</f>
        <v/>
      </c>
    </row>
    <row r="575">
      <c r="A575" s="22" t="n"/>
      <c r="G575" s="21" t="n"/>
      <c r="H575" s="11" t="n"/>
      <c r="I575" s="21">
        <f>IF(OR(H575="",H575=0),"",1/H575)</f>
        <v/>
      </c>
      <c r="J575" s="11">
        <f>IF(OR(G575="",H575=""),"",H575*G575-1)</f>
        <v/>
      </c>
      <c r="K575" s="10">
        <f>IF(OR(G575="",H575="",G575&lt;=1),"",IF(J575&lt;IF(D575="Builder",MinEdgeBuilder,IF(D575="Player",MinEdgePlayer,MinEdgeSingle)),0,ROUND(MIN(IF(D575="Single",KellySingle,KellyBuilder)*(StartBank+SUM(P$1:P574))*J575/(G575-1),IF(D575="Builder",CapBuilder,CapSingle)*Unit),2)))</f>
        <v/>
      </c>
      <c r="L575" s="10" t="n"/>
      <c r="N575" s="10" t="n"/>
      <c r="O575" s="10">
        <f>IF(L575="","",IF(M575="Won",L575*G575,IF(M575="Void",L575,IF(M575="Cash out",N(N575),IF(M575="Lost",0,"")))))</f>
        <v/>
      </c>
      <c r="P575" s="10">
        <f>IF(OR(L575="",M575="",M575="Pending"),"",O575-L575)</f>
        <v/>
      </c>
      <c r="Q575" s="21" t="n"/>
      <c r="R575" s="11">
        <f>IF(OR(G575="",Q575=""),"",G575/Q575-1)</f>
        <v/>
      </c>
      <c r="S575" s="10">
        <f>IF(OR(L575="",J575=""),"",L575*J575)</f>
        <v/>
      </c>
      <c r="T575" s="10">
        <f>IF(P575="","",StartBank+SUM(P$2:P575))</f>
        <v/>
      </c>
    </row>
    <row r="576">
      <c r="A576" s="22" t="n"/>
      <c r="G576" s="21" t="n"/>
      <c r="H576" s="11" t="n"/>
      <c r="I576" s="21">
        <f>IF(OR(H576="",H576=0),"",1/H576)</f>
        <v/>
      </c>
      <c r="J576" s="11">
        <f>IF(OR(G576="",H576=""),"",H576*G576-1)</f>
        <v/>
      </c>
      <c r="K576" s="10">
        <f>IF(OR(G576="",H576="",G576&lt;=1),"",IF(J576&lt;IF(D576="Builder",MinEdgeBuilder,IF(D576="Player",MinEdgePlayer,MinEdgeSingle)),0,ROUND(MIN(IF(D576="Single",KellySingle,KellyBuilder)*(StartBank+SUM(P$1:P575))*J576/(G576-1),IF(D576="Builder",CapBuilder,CapSingle)*Unit),2)))</f>
        <v/>
      </c>
      <c r="L576" s="10" t="n"/>
      <c r="N576" s="10" t="n"/>
      <c r="O576" s="10">
        <f>IF(L576="","",IF(M576="Won",L576*G576,IF(M576="Void",L576,IF(M576="Cash out",N(N576),IF(M576="Lost",0,"")))))</f>
        <v/>
      </c>
      <c r="P576" s="10">
        <f>IF(OR(L576="",M576="",M576="Pending"),"",O576-L576)</f>
        <v/>
      </c>
      <c r="Q576" s="21" t="n"/>
      <c r="R576" s="11">
        <f>IF(OR(G576="",Q576=""),"",G576/Q576-1)</f>
        <v/>
      </c>
      <c r="S576" s="10">
        <f>IF(OR(L576="",J576=""),"",L576*J576)</f>
        <v/>
      </c>
      <c r="T576" s="10">
        <f>IF(P576="","",StartBank+SUM(P$2:P576))</f>
        <v/>
      </c>
    </row>
    <row r="577">
      <c r="A577" s="22" t="n"/>
      <c r="G577" s="21" t="n"/>
      <c r="H577" s="11" t="n"/>
      <c r="I577" s="21">
        <f>IF(OR(H577="",H577=0),"",1/H577)</f>
        <v/>
      </c>
      <c r="J577" s="11">
        <f>IF(OR(G577="",H577=""),"",H577*G577-1)</f>
        <v/>
      </c>
      <c r="K577" s="10">
        <f>IF(OR(G577="",H577="",G577&lt;=1),"",IF(J577&lt;IF(D577="Builder",MinEdgeBuilder,IF(D577="Player",MinEdgePlayer,MinEdgeSingle)),0,ROUND(MIN(IF(D577="Single",KellySingle,KellyBuilder)*(StartBank+SUM(P$1:P576))*J577/(G577-1),IF(D577="Builder",CapBuilder,CapSingle)*Unit),2)))</f>
        <v/>
      </c>
      <c r="L577" s="10" t="n"/>
      <c r="N577" s="10" t="n"/>
      <c r="O577" s="10">
        <f>IF(L577="","",IF(M577="Won",L577*G577,IF(M577="Void",L577,IF(M577="Cash out",N(N577),IF(M577="Lost",0,"")))))</f>
        <v/>
      </c>
      <c r="P577" s="10">
        <f>IF(OR(L577="",M577="",M577="Pending"),"",O577-L577)</f>
        <v/>
      </c>
      <c r="Q577" s="21" t="n"/>
      <c r="R577" s="11">
        <f>IF(OR(G577="",Q577=""),"",G577/Q577-1)</f>
        <v/>
      </c>
      <c r="S577" s="10">
        <f>IF(OR(L577="",J577=""),"",L577*J577)</f>
        <v/>
      </c>
      <c r="T577" s="10">
        <f>IF(P577="","",StartBank+SUM(P$2:P577))</f>
        <v/>
      </c>
    </row>
    <row r="578">
      <c r="A578" s="22" t="n"/>
      <c r="G578" s="21" t="n"/>
      <c r="H578" s="11" t="n"/>
      <c r="I578" s="21">
        <f>IF(OR(H578="",H578=0),"",1/H578)</f>
        <v/>
      </c>
      <c r="J578" s="11">
        <f>IF(OR(G578="",H578=""),"",H578*G578-1)</f>
        <v/>
      </c>
      <c r="K578" s="10">
        <f>IF(OR(G578="",H578="",G578&lt;=1),"",IF(J578&lt;IF(D578="Builder",MinEdgeBuilder,IF(D578="Player",MinEdgePlayer,MinEdgeSingle)),0,ROUND(MIN(IF(D578="Single",KellySingle,KellyBuilder)*(StartBank+SUM(P$1:P577))*J578/(G578-1),IF(D578="Builder",CapBuilder,CapSingle)*Unit),2)))</f>
        <v/>
      </c>
      <c r="L578" s="10" t="n"/>
      <c r="N578" s="10" t="n"/>
      <c r="O578" s="10">
        <f>IF(L578="","",IF(M578="Won",L578*G578,IF(M578="Void",L578,IF(M578="Cash out",N(N578),IF(M578="Lost",0,"")))))</f>
        <v/>
      </c>
      <c r="P578" s="10">
        <f>IF(OR(L578="",M578="",M578="Pending"),"",O578-L578)</f>
        <v/>
      </c>
      <c r="Q578" s="21" t="n"/>
      <c r="R578" s="11">
        <f>IF(OR(G578="",Q578=""),"",G578/Q578-1)</f>
        <v/>
      </c>
      <c r="S578" s="10">
        <f>IF(OR(L578="",J578=""),"",L578*J578)</f>
        <v/>
      </c>
      <c r="T578" s="10">
        <f>IF(P578="","",StartBank+SUM(P$2:P578))</f>
        <v/>
      </c>
    </row>
    <row r="579">
      <c r="A579" s="22" t="n"/>
      <c r="G579" s="21" t="n"/>
      <c r="H579" s="11" t="n"/>
      <c r="I579" s="21">
        <f>IF(OR(H579="",H579=0),"",1/H579)</f>
        <v/>
      </c>
      <c r="J579" s="11">
        <f>IF(OR(G579="",H579=""),"",H579*G579-1)</f>
        <v/>
      </c>
      <c r="K579" s="10">
        <f>IF(OR(G579="",H579="",G579&lt;=1),"",IF(J579&lt;IF(D579="Builder",MinEdgeBuilder,IF(D579="Player",MinEdgePlayer,MinEdgeSingle)),0,ROUND(MIN(IF(D579="Single",KellySingle,KellyBuilder)*(StartBank+SUM(P$1:P578))*J579/(G579-1),IF(D579="Builder",CapBuilder,CapSingle)*Unit),2)))</f>
        <v/>
      </c>
      <c r="L579" s="10" t="n"/>
      <c r="N579" s="10" t="n"/>
      <c r="O579" s="10">
        <f>IF(L579="","",IF(M579="Won",L579*G579,IF(M579="Void",L579,IF(M579="Cash out",N(N579),IF(M579="Lost",0,"")))))</f>
        <v/>
      </c>
      <c r="P579" s="10">
        <f>IF(OR(L579="",M579="",M579="Pending"),"",O579-L579)</f>
        <v/>
      </c>
      <c r="Q579" s="21" t="n"/>
      <c r="R579" s="11">
        <f>IF(OR(G579="",Q579=""),"",G579/Q579-1)</f>
        <v/>
      </c>
      <c r="S579" s="10">
        <f>IF(OR(L579="",J579=""),"",L579*J579)</f>
        <v/>
      </c>
      <c r="T579" s="10">
        <f>IF(P579="","",StartBank+SUM(P$2:P579))</f>
        <v/>
      </c>
    </row>
    <row r="580">
      <c r="A580" s="22" t="n"/>
      <c r="G580" s="21" t="n"/>
      <c r="H580" s="11" t="n"/>
      <c r="I580" s="21">
        <f>IF(OR(H580="",H580=0),"",1/H580)</f>
        <v/>
      </c>
      <c r="J580" s="11">
        <f>IF(OR(G580="",H580=""),"",H580*G580-1)</f>
        <v/>
      </c>
      <c r="K580" s="10">
        <f>IF(OR(G580="",H580="",G580&lt;=1),"",IF(J580&lt;IF(D580="Builder",MinEdgeBuilder,IF(D580="Player",MinEdgePlayer,MinEdgeSingle)),0,ROUND(MIN(IF(D580="Single",KellySingle,KellyBuilder)*(StartBank+SUM(P$1:P579))*J580/(G580-1),IF(D580="Builder",CapBuilder,CapSingle)*Unit),2)))</f>
        <v/>
      </c>
      <c r="L580" s="10" t="n"/>
      <c r="N580" s="10" t="n"/>
      <c r="O580" s="10">
        <f>IF(L580="","",IF(M580="Won",L580*G580,IF(M580="Void",L580,IF(M580="Cash out",N(N580),IF(M580="Lost",0,"")))))</f>
        <v/>
      </c>
      <c r="P580" s="10">
        <f>IF(OR(L580="",M580="",M580="Pending"),"",O580-L580)</f>
        <v/>
      </c>
      <c r="Q580" s="21" t="n"/>
      <c r="R580" s="11">
        <f>IF(OR(G580="",Q580=""),"",G580/Q580-1)</f>
        <v/>
      </c>
      <c r="S580" s="10">
        <f>IF(OR(L580="",J580=""),"",L580*J580)</f>
        <v/>
      </c>
      <c r="T580" s="10">
        <f>IF(P580="","",StartBank+SUM(P$2:P580))</f>
        <v/>
      </c>
    </row>
    <row r="581">
      <c r="A581" s="22" t="n"/>
      <c r="G581" s="21" t="n"/>
      <c r="H581" s="11" t="n"/>
      <c r="I581" s="21">
        <f>IF(OR(H581="",H581=0),"",1/H581)</f>
        <v/>
      </c>
      <c r="J581" s="11">
        <f>IF(OR(G581="",H581=""),"",H581*G581-1)</f>
        <v/>
      </c>
      <c r="K581" s="10">
        <f>IF(OR(G581="",H581="",G581&lt;=1),"",IF(J581&lt;IF(D581="Builder",MinEdgeBuilder,IF(D581="Player",MinEdgePlayer,MinEdgeSingle)),0,ROUND(MIN(IF(D581="Single",KellySingle,KellyBuilder)*(StartBank+SUM(P$1:P580))*J581/(G581-1),IF(D581="Builder",CapBuilder,CapSingle)*Unit),2)))</f>
        <v/>
      </c>
      <c r="L581" s="10" t="n"/>
      <c r="N581" s="10" t="n"/>
      <c r="O581" s="10">
        <f>IF(L581="","",IF(M581="Won",L581*G581,IF(M581="Void",L581,IF(M581="Cash out",N(N581),IF(M581="Lost",0,"")))))</f>
        <v/>
      </c>
      <c r="P581" s="10">
        <f>IF(OR(L581="",M581="",M581="Pending"),"",O581-L581)</f>
        <v/>
      </c>
      <c r="Q581" s="21" t="n"/>
      <c r="R581" s="11">
        <f>IF(OR(G581="",Q581=""),"",G581/Q581-1)</f>
        <v/>
      </c>
      <c r="S581" s="10">
        <f>IF(OR(L581="",J581=""),"",L581*J581)</f>
        <v/>
      </c>
      <c r="T581" s="10">
        <f>IF(P581="","",StartBank+SUM(P$2:P581))</f>
        <v/>
      </c>
    </row>
    <row r="582">
      <c r="A582" s="22" t="n"/>
      <c r="G582" s="21" t="n"/>
      <c r="H582" s="11" t="n"/>
      <c r="I582" s="21">
        <f>IF(OR(H582="",H582=0),"",1/H582)</f>
        <v/>
      </c>
      <c r="J582" s="11">
        <f>IF(OR(G582="",H582=""),"",H582*G582-1)</f>
        <v/>
      </c>
      <c r="K582" s="10">
        <f>IF(OR(G582="",H582="",G582&lt;=1),"",IF(J582&lt;IF(D582="Builder",MinEdgeBuilder,IF(D582="Player",MinEdgePlayer,MinEdgeSingle)),0,ROUND(MIN(IF(D582="Single",KellySingle,KellyBuilder)*(StartBank+SUM(P$1:P581))*J582/(G582-1),IF(D582="Builder",CapBuilder,CapSingle)*Unit),2)))</f>
        <v/>
      </c>
      <c r="L582" s="10" t="n"/>
      <c r="N582" s="10" t="n"/>
      <c r="O582" s="10">
        <f>IF(L582="","",IF(M582="Won",L582*G582,IF(M582="Void",L582,IF(M582="Cash out",N(N582),IF(M582="Lost",0,"")))))</f>
        <v/>
      </c>
      <c r="P582" s="10">
        <f>IF(OR(L582="",M582="",M582="Pending"),"",O582-L582)</f>
        <v/>
      </c>
      <c r="Q582" s="21" t="n"/>
      <c r="R582" s="11">
        <f>IF(OR(G582="",Q582=""),"",G582/Q582-1)</f>
        <v/>
      </c>
      <c r="S582" s="10">
        <f>IF(OR(L582="",J582=""),"",L582*J582)</f>
        <v/>
      </c>
      <c r="T582" s="10">
        <f>IF(P582="","",StartBank+SUM(P$2:P582))</f>
        <v/>
      </c>
    </row>
    <row r="583">
      <c r="A583" s="22" t="n"/>
      <c r="G583" s="21" t="n"/>
      <c r="H583" s="11" t="n"/>
      <c r="I583" s="21">
        <f>IF(OR(H583="",H583=0),"",1/H583)</f>
        <v/>
      </c>
      <c r="J583" s="11">
        <f>IF(OR(G583="",H583=""),"",H583*G583-1)</f>
        <v/>
      </c>
      <c r="K583" s="10">
        <f>IF(OR(G583="",H583="",G583&lt;=1),"",IF(J583&lt;IF(D583="Builder",MinEdgeBuilder,IF(D583="Player",MinEdgePlayer,MinEdgeSingle)),0,ROUND(MIN(IF(D583="Single",KellySingle,KellyBuilder)*(StartBank+SUM(P$1:P582))*J583/(G583-1),IF(D583="Builder",CapBuilder,CapSingle)*Unit),2)))</f>
        <v/>
      </c>
      <c r="L583" s="10" t="n"/>
      <c r="N583" s="10" t="n"/>
      <c r="O583" s="10">
        <f>IF(L583="","",IF(M583="Won",L583*G583,IF(M583="Void",L583,IF(M583="Cash out",N(N583),IF(M583="Lost",0,"")))))</f>
        <v/>
      </c>
      <c r="P583" s="10">
        <f>IF(OR(L583="",M583="",M583="Pending"),"",O583-L583)</f>
        <v/>
      </c>
      <c r="Q583" s="21" t="n"/>
      <c r="R583" s="11">
        <f>IF(OR(G583="",Q583=""),"",G583/Q583-1)</f>
        <v/>
      </c>
      <c r="S583" s="10">
        <f>IF(OR(L583="",J583=""),"",L583*J583)</f>
        <v/>
      </c>
      <c r="T583" s="10">
        <f>IF(P583="","",StartBank+SUM(P$2:P583))</f>
        <v/>
      </c>
    </row>
    <row r="584">
      <c r="A584" s="22" t="n"/>
      <c r="G584" s="21" t="n"/>
      <c r="H584" s="11" t="n"/>
      <c r="I584" s="21">
        <f>IF(OR(H584="",H584=0),"",1/H584)</f>
        <v/>
      </c>
      <c r="J584" s="11">
        <f>IF(OR(G584="",H584=""),"",H584*G584-1)</f>
        <v/>
      </c>
      <c r="K584" s="10">
        <f>IF(OR(G584="",H584="",G584&lt;=1),"",IF(J584&lt;IF(D584="Builder",MinEdgeBuilder,IF(D584="Player",MinEdgePlayer,MinEdgeSingle)),0,ROUND(MIN(IF(D584="Single",KellySingle,KellyBuilder)*(StartBank+SUM(P$1:P583))*J584/(G584-1),IF(D584="Builder",CapBuilder,CapSingle)*Unit),2)))</f>
        <v/>
      </c>
      <c r="L584" s="10" t="n"/>
      <c r="N584" s="10" t="n"/>
      <c r="O584" s="10">
        <f>IF(L584="","",IF(M584="Won",L584*G584,IF(M584="Void",L584,IF(M584="Cash out",N(N584),IF(M584="Lost",0,"")))))</f>
        <v/>
      </c>
      <c r="P584" s="10">
        <f>IF(OR(L584="",M584="",M584="Pending"),"",O584-L584)</f>
        <v/>
      </c>
      <c r="Q584" s="21" t="n"/>
      <c r="R584" s="11">
        <f>IF(OR(G584="",Q584=""),"",G584/Q584-1)</f>
        <v/>
      </c>
      <c r="S584" s="10">
        <f>IF(OR(L584="",J584=""),"",L584*J584)</f>
        <v/>
      </c>
      <c r="T584" s="10">
        <f>IF(P584="","",StartBank+SUM(P$2:P584))</f>
        <v/>
      </c>
    </row>
    <row r="585">
      <c r="A585" s="22" t="n"/>
      <c r="G585" s="21" t="n"/>
      <c r="H585" s="11" t="n"/>
      <c r="I585" s="21">
        <f>IF(OR(H585="",H585=0),"",1/H585)</f>
        <v/>
      </c>
      <c r="J585" s="11">
        <f>IF(OR(G585="",H585=""),"",H585*G585-1)</f>
        <v/>
      </c>
      <c r="K585" s="10">
        <f>IF(OR(G585="",H585="",G585&lt;=1),"",IF(J585&lt;IF(D585="Builder",MinEdgeBuilder,IF(D585="Player",MinEdgePlayer,MinEdgeSingle)),0,ROUND(MIN(IF(D585="Single",KellySingle,KellyBuilder)*(StartBank+SUM(P$1:P584))*J585/(G585-1),IF(D585="Builder",CapBuilder,CapSingle)*Unit),2)))</f>
        <v/>
      </c>
      <c r="L585" s="10" t="n"/>
      <c r="N585" s="10" t="n"/>
      <c r="O585" s="10">
        <f>IF(L585="","",IF(M585="Won",L585*G585,IF(M585="Void",L585,IF(M585="Cash out",N(N585),IF(M585="Lost",0,"")))))</f>
        <v/>
      </c>
      <c r="P585" s="10">
        <f>IF(OR(L585="",M585="",M585="Pending"),"",O585-L585)</f>
        <v/>
      </c>
      <c r="Q585" s="21" t="n"/>
      <c r="R585" s="11">
        <f>IF(OR(G585="",Q585=""),"",G585/Q585-1)</f>
        <v/>
      </c>
      <c r="S585" s="10">
        <f>IF(OR(L585="",J585=""),"",L585*J585)</f>
        <v/>
      </c>
      <c r="T585" s="10">
        <f>IF(P585="","",StartBank+SUM(P$2:P585))</f>
        <v/>
      </c>
    </row>
    <row r="586">
      <c r="A586" s="22" t="n"/>
      <c r="G586" s="21" t="n"/>
      <c r="H586" s="11" t="n"/>
      <c r="I586" s="21">
        <f>IF(OR(H586="",H586=0),"",1/H586)</f>
        <v/>
      </c>
      <c r="J586" s="11">
        <f>IF(OR(G586="",H586=""),"",H586*G586-1)</f>
        <v/>
      </c>
      <c r="K586" s="10">
        <f>IF(OR(G586="",H586="",G586&lt;=1),"",IF(J586&lt;IF(D586="Builder",MinEdgeBuilder,IF(D586="Player",MinEdgePlayer,MinEdgeSingle)),0,ROUND(MIN(IF(D586="Single",KellySingle,KellyBuilder)*(StartBank+SUM(P$1:P585))*J586/(G586-1),IF(D586="Builder",CapBuilder,CapSingle)*Unit),2)))</f>
        <v/>
      </c>
      <c r="L586" s="10" t="n"/>
      <c r="N586" s="10" t="n"/>
      <c r="O586" s="10">
        <f>IF(L586="","",IF(M586="Won",L586*G586,IF(M586="Void",L586,IF(M586="Cash out",N(N586),IF(M586="Lost",0,"")))))</f>
        <v/>
      </c>
      <c r="P586" s="10">
        <f>IF(OR(L586="",M586="",M586="Pending"),"",O586-L586)</f>
        <v/>
      </c>
      <c r="Q586" s="21" t="n"/>
      <c r="R586" s="11">
        <f>IF(OR(G586="",Q586=""),"",G586/Q586-1)</f>
        <v/>
      </c>
      <c r="S586" s="10">
        <f>IF(OR(L586="",J586=""),"",L586*J586)</f>
        <v/>
      </c>
      <c r="T586" s="10">
        <f>IF(P586="","",StartBank+SUM(P$2:P586))</f>
        <v/>
      </c>
    </row>
    <row r="587">
      <c r="A587" s="22" t="n"/>
      <c r="G587" s="21" t="n"/>
      <c r="H587" s="11" t="n"/>
      <c r="I587" s="21">
        <f>IF(OR(H587="",H587=0),"",1/H587)</f>
        <v/>
      </c>
      <c r="J587" s="11">
        <f>IF(OR(G587="",H587=""),"",H587*G587-1)</f>
        <v/>
      </c>
      <c r="K587" s="10">
        <f>IF(OR(G587="",H587="",G587&lt;=1),"",IF(J587&lt;IF(D587="Builder",MinEdgeBuilder,IF(D587="Player",MinEdgePlayer,MinEdgeSingle)),0,ROUND(MIN(IF(D587="Single",KellySingle,KellyBuilder)*(StartBank+SUM(P$1:P586))*J587/(G587-1),IF(D587="Builder",CapBuilder,CapSingle)*Unit),2)))</f>
        <v/>
      </c>
      <c r="L587" s="10" t="n"/>
      <c r="N587" s="10" t="n"/>
      <c r="O587" s="10">
        <f>IF(L587="","",IF(M587="Won",L587*G587,IF(M587="Void",L587,IF(M587="Cash out",N(N587),IF(M587="Lost",0,"")))))</f>
        <v/>
      </c>
      <c r="P587" s="10">
        <f>IF(OR(L587="",M587="",M587="Pending"),"",O587-L587)</f>
        <v/>
      </c>
      <c r="Q587" s="21" t="n"/>
      <c r="R587" s="11">
        <f>IF(OR(G587="",Q587=""),"",G587/Q587-1)</f>
        <v/>
      </c>
      <c r="S587" s="10">
        <f>IF(OR(L587="",J587=""),"",L587*J587)</f>
        <v/>
      </c>
      <c r="T587" s="10">
        <f>IF(P587="","",StartBank+SUM(P$2:P587))</f>
        <v/>
      </c>
    </row>
    <row r="588">
      <c r="A588" s="22" t="n"/>
      <c r="G588" s="21" t="n"/>
      <c r="H588" s="11" t="n"/>
      <c r="I588" s="21">
        <f>IF(OR(H588="",H588=0),"",1/H588)</f>
        <v/>
      </c>
      <c r="J588" s="11">
        <f>IF(OR(G588="",H588=""),"",H588*G588-1)</f>
        <v/>
      </c>
      <c r="K588" s="10">
        <f>IF(OR(G588="",H588="",G588&lt;=1),"",IF(J588&lt;IF(D588="Builder",MinEdgeBuilder,IF(D588="Player",MinEdgePlayer,MinEdgeSingle)),0,ROUND(MIN(IF(D588="Single",KellySingle,KellyBuilder)*(StartBank+SUM(P$1:P587))*J588/(G588-1),IF(D588="Builder",CapBuilder,CapSingle)*Unit),2)))</f>
        <v/>
      </c>
      <c r="L588" s="10" t="n"/>
      <c r="N588" s="10" t="n"/>
      <c r="O588" s="10">
        <f>IF(L588="","",IF(M588="Won",L588*G588,IF(M588="Void",L588,IF(M588="Cash out",N(N588),IF(M588="Lost",0,"")))))</f>
        <v/>
      </c>
      <c r="P588" s="10">
        <f>IF(OR(L588="",M588="",M588="Pending"),"",O588-L588)</f>
        <v/>
      </c>
      <c r="Q588" s="21" t="n"/>
      <c r="R588" s="11">
        <f>IF(OR(G588="",Q588=""),"",G588/Q588-1)</f>
        <v/>
      </c>
      <c r="S588" s="10">
        <f>IF(OR(L588="",J588=""),"",L588*J588)</f>
        <v/>
      </c>
      <c r="T588" s="10">
        <f>IF(P588="","",StartBank+SUM(P$2:P588))</f>
        <v/>
      </c>
    </row>
    <row r="589">
      <c r="A589" s="22" t="n"/>
      <c r="G589" s="21" t="n"/>
      <c r="H589" s="11" t="n"/>
      <c r="I589" s="21">
        <f>IF(OR(H589="",H589=0),"",1/H589)</f>
        <v/>
      </c>
      <c r="J589" s="11">
        <f>IF(OR(G589="",H589=""),"",H589*G589-1)</f>
        <v/>
      </c>
      <c r="K589" s="10">
        <f>IF(OR(G589="",H589="",G589&lt;=1),"",IF(J589&lt;IF(D589="Builder",MinEdgeBuilder,IF(D589="Player",MinEdgePlayer,MinEdgeSingle)),0,ROUND(MIN(IF(D589="Single",KellySingle,KellyBuilder)*(StartBank+SUM(P$1:P588))*J589/(G589-1),IF(D589="Builder",CapBuilder,CapSingle)*Unit),2)))</f>
        <v/>
      </c>
      <c r="L589" s="10" t="n"/>
      <c r="N589" s="10" t="n"/>
      <c r="O589" s="10">
        <f>IF(L589="","",IF(M589="Won",L589*G589,IF(M589="Void",L589,IF(M589="Cash out",N(N589),IF(M589="Lost",0,"")))))</f>
        <v/>
      </c>
      <c r="P589" s="10">
        <f>IF(OR(L589="",M589="",M589="Pending"),"",O589-L589)</f>
        <v/>
      </c>
      <c r="Q589" s="21" t="n"/>
      <c r="R589" s="11">
        <f>IF(OR(G589="",Q589=""),"",G589/Q589-1)</f>
        <v/>
      </c>
      <c r="S589" s="10">
        <f>IF(OR(L589="",J589=""),"",L589*J589)</f>
        <v/>
      </c>
      <c r="T589" s="10">
        <f>IF(P589="","",StartBank+SUM(P$2:P589))</f>
        <v/>
      </c>
    </row>
    <row r="590">
      <c r="A590" s="22" t="n"/>
      <c r="G590" s="21" t="n"/>
      <c r="H590" s="11" t="n"/>
      <c r="I590" s="21">
        <f>IF(OR(H590="",H590=0),"",1/H590)</f>
        <v/>
      </c>
      <c r="J590" s="11">
        <f>IF(OR(G590="",H590=""),"",H590*G590-1)</f>
        <v/>
      </c>
      <c r="K590" s="10">
        <f>IF(OR(G590="",H590="",G590&lt;=1),"",IF(J590&lt;IF(D590="Builder",MinEdgeBuilder,IF(D590="Player",MinEdgePlayer,MinEdgeSingle)),0,ROUND(MIN(IF(D590="Single",KellySingle,KellyBuilder)*(StartBank+SUM(P$1:P589))*J590/(G590-1),IF(D590="Builder",CapBuilder,CapSingle)*Unit),2)))</f>
        <v/>
      </c>
      <c r="L590" s="10" t="n"/>
      <c r="N590" s="10" t="n"/>
      <c r="O590" s="10">
        <f>IF(L590="","",IF(M590="Won",L590*G590,IF(M590="Void",L590,IF(M590="Cash out",N(N590),IF(M590="Lost",0,"")))))</f>
        <v/>
      </c>
      <c r="P590" s="10">
        <f>IF(OR(L590="",M590="",M590="Pending"),"",O590-L590)</f>
        <v/>
      </c>
      <c r="Q590" s="21" t="n"/>
      <c r="R590" s="11">
        <f>IF(OR(G590="",Q590=""),"",G590/Q590-1)</f>
        <v/>
      </c>
      <c r="S590" s="10">
        <f>IF(OR(L590="",J590=""),"",L590*J590)</f>
        <v/>
      </c>
      <c r="T590" s="10">
        <f>IF(P590="","",StartBank+SUM(P$2:P590))</f>
        <v/>
      </c>
    </row>
    <row r="591">
      <c r="A591" s="22" t="n"/>
      <c r="G591" s="21" t="n"/>
      <c r="H591" s="11" t="n"/>
      <c r="I591" s="21">
        <f>IF(OR(H591="",H591=0),"",1/H591)</f>
        <v/>
      </c>
      <c r="J591" s="11">
        <f>IF(OR(G591="",H591=""),"",H591*G591-1)</f>
        <v/>
      </c>
      <c r="K591" s="10">
        <f>IF(OR(G591="",H591="",G591&lt;=1),"",IF(J591&lt;IF(D591="Builder",MinEdgeBuilder,IF(D591="Player",MinEdgePlayer,MinEdgeSingle)),0,ROUND(MIN(IF(D591="Single",KellySingle,KellyBuilder)*(StartBank+SUM(P$1:P590))*J591/(G591-1),IF(D591="Builder",CapBuilder,CapSingle)*Unit),2)))</f>
        <v/>
      </c>
      <c r="L591" s="10" t="n"/>
      <c r="N591" s="10" t="n"/>
      <c r="O591" s="10">
        <f>IF(L591="","",IF(M591="Won",L591*G591,IF(M591="Void",L591,IF(M591="Cash out",N(N591),IF(M591="Lost",0,"")))))</f>
        <v/>
      </c>
      <c r="P591" s="10">
        <f>IF(OR(L591="",M591="",M591="Pending"),"",O591-L591)</f>
        <v/>
      </c>
      <c r="Q591" s="21" t="n"/>
      <c r="R591" s="11">
        <f>IF(OR(G591="",Q591=""),"",G591/Q591-1)</f>
        <v/>
      </c>
      <c r="S591" s="10">
        <f>IF(OR(L591="",J591=""),"",L591*J591)</f>
        <v/>
      </c>
      <c r="T591" s="10">
        <f>IF(P591="","",StartBank+SUM(P$2:P591))</f>
        <v/>
      </c>
    </row>
    <row r="592">
      <c r="A592" s="22" t="n"/>
      <c r="G592" s="21" t="n"/>
      <c r="H592" s="11" t="n"/>
      <c r="I592" s="21">
        <f>IF(OR(H592="",H592=0),"",1/H592)</f>
        <v/>
      </c>
      <c r="J592" s="11">
        <f>IF(OR(G592="",H592=""),"",H592*G592-1)</f>
        <v/>
      </c>
      <c r="K592" s="10">
        <f>IF(OR(G592="",H592="",G592&lt;=1),"",IF(J592&lt;IF(D592="Builder",MinEdgeBuilder,IF(D592="Player",MinEdgePlayer,MinEdgeSingle)),0,ROUND(MIN(IF(D592="Single",KellySingle,KellyBuilder)*(StartBank+SUM(P$1:P591))*J592/(G592-1),IF(D592="Builder",CapBuilder,CapSingle)*Unit),2)))</f>
        <v/>
      </c>
      <c r="L592" s="10" t="n"/>
      <c r="N592" s="10" t="n"/>
      <c r="O592" s="10">
        <f>IF(L592="","",IF(M592="Won",L592*G592,IF(M592="Void",L592,IF(M592="Cash out",N(N592),IF(M592="Lost",0,"")))))</f>
        <v/>
      </c>
      <c r="P592" s="10">
        <f>IF(OR(L592="",M592="",M592="Pending"),"",O592-L592)</f>
        <v/>
      </c>
      <c r="Q592" s="21" t="n"/>
      <c r="R592" s="11">
        <f>IF(OR(G592="",Q592=""),"",G592/Q592-1)</f>
        <v/>
      </c>
      <c r="S592" s="10">
        <f>IF(OR(L592="",J592=""),"",L592*J592)</f>
        <v/>
      </c>
      <c r="T592" s="10">
        <f>IF(P592="","",StartBank+SUM(P$2:P592))</f>
        <v/>
      </c>
    </row>
    <row r="593">
      <c r="A593" s="22" t="n"/>
      <c r="G593" s="21" t="n"/>
      <c r="H593" s="11" t="n"/>
      <c r="I593" s="21">
        <f>IF(OR(H593="",H593=0),"",1/H593)</f>
        <v/>
      </c>
      <c r="J593" s="11">
        <f>IF(OR(G593="",H593=""),"",H593*G593-1)</f>
        <v/>
      </c>
      <c r="K593" s="10">
        <f>IF(OR(G593="",H593="",G593&lt;=1),"",IF(J593&lt;IF(D593="Builder",MinEdgeBuilder,IF(D593="Player",MinEdgePlayer,MinEdgeSingle)),0,ROUND(MIN(IF(D593="Single",KellySingle,KellyBuilder)*(StartBank+SUM(P$1:P592))*J593/(G593-1),IF(D593="Builder",CapBuilder,CapSingle)*Unit),2)))</f>
        <v/>
      </c>
      <c r="L593" s="10" t="n"/>
      <c r="N593" s="10" t="n"/>
      <c r="O593" s="10">
        <f>IF(L593="","",IF(M593="Won",L593*G593,IF(M593="Void",L593,IF(M593="Cash out",N(N593),IF(M593="Lost",0,"")))))</f>
        <v/>
      </c>
      <c r="P593" s="10">
        <f>IF(OR(L593="",M593="",M593="Pending"),"",O593-L593)</f>
        <v/>
      </c>
      <c r="Q593" s="21" t="n"/>
      <c r="R593" s="11">
        <f>IF(OR(G593="",Q593=""),"",G593/Q593-1)</f>
        <v/>
      </c>
      <c r="S593" s="10">
        <f>IF(OR(L593="",J593=""),"",L593*J593)</f>
        <v/>
      </c>
      <c r="T593" s="10">
        <f>IF(P593="","",StartBank+SUM(P$2:P593))</f>
        <v/>
      </c>
    </row>
    <row r="594">
      <c r="A594" s="22" t="n"/>
      <c r="G594" s="21" t="n"/>
      <c r="H594" s="11" t="n"/>
      <c r="I594" s="21">
        <f>IF(OR(H594="",H594=0),"",1/H594)</f>
        <v/>
      </c>
      <c r="J594" s="11">
        <f>IF(OR(G594="",H594=""),"",H594*G594-1)</f>
        <v/>
      </c>
      <c r="K594" s="10">
        <f>IF(OR(G594="",H594="",G594&lt;=1),"",IF(J594&lt;IF(D594="Builder",MinEdgeBuilder,IF(D594="Player",MinEdgePlayer,MinEdgeSingle)),0,ROUND(MIN(IF(D594="Single",KellySingle,KellyBuilder)*(StartBank+SUM(P$1:P593))*J594/(G594-1),IF(D594="Builder",CapBuilder,CapSingle)*Unit),2)))</f>
        <v/>
      </c>
      <c r="L594" s="10" t="n"/>
      <c r="N594" s="10" t="n"/>
      <c r="O594" s="10">
        <f>IF(L594="","",IF(M594="Won",L594*G594,IF(M594="Void",L594,IF(M594="Cash out",N(N594),IF(M594="Lost",0,"")))))</f>
        <v/>
      </c>
      <c r="P594" s="10">
        <f>IF(OR(L594="",M594="",M594="Pending"),"",O594-L594)</f>
        <v/>
      </c>
      <c r="Q594" s="21" t="n"/>
      <c r="R594" s="11">
        <f>IF(OR(G594="",Q594=""),"",G594/Q594-1)</f>
        <v/>
      </c>
      <c r="S594" s="10">
        <f>IF(OR(L594="",J594=""),"",L594*J594)</f>
        <v/>
      </c>
      <c r="T594" s="10">
        <f>IF(P594="","",StartBank+SUM(P$2:P594))</f>
        <v/>
      </c>
    </row>
    <row r="595">
      <c r="A595" s="22" t="n"/>
      <c r="G595" s="21" t="n"/>
      <c r="H595" s="11" t="n"/>
      <c r="I595" s="21">
        <f>IF(OR(H595="",H595=0),"",1/H595)</f>
        <v/>
      </c>
      <c r="J595" s="11">
        <f>IF(OR(G595="",H595=""),"",H595*G595-1)</f>
        <v/>
      </c>
      <c r="K595" s="10">
        <f>IF(OR(G595="",H595="",G595&lt;=1),"",IF(J595&lt;IF(D595="Builder",MinEdgeBuilder,IF(D595="Player",MinEdgePlayer,MinEdgeSingle)),0,ROUND(MIN(IF(D595="Single",KellySingle,KellyBuilder)*(StartBank+SUM(P$1:P594))*J595/(G595-1),IF(D595="Builder",CapBuilder,CapSingle)*Unit),2)))</f>
        <v/>
      </c>
      <c r="L595" s="10" t="n"/>
      <c r="N595" s="10" t="n"/>
      <c r="O595" s="10">
        <f>IF(L595="","",IF(M595="Won",L595*G595,IF(M595="Void",L595,IF(M595="Cash out",N(N595),IF(M595="Lost",0,"")))))</f>
        <v/>
      </c>
      <c r="P595" s="10">
        <f>IF(OR(L595="",M595="",M595="Pending"),"",O595-L595)</f>
        <v/>
      </c>
      <c r="Q595" s="21" t="n"/>
      <c r="R595" s="11">
        <f>IF(OR(G595="",Q595=""),"",G595/Q595-1)</f>
        <v/>
      </c>
      <c r="S595" s="10">
        <f>IF(OR(L595="",J595=""),"",L595*J595)</f>
        <v/>
      </c>
      <c r="T595" s="10">
        <f>IF(P595="","",StartBank+SUM(P$2:P595))</f>
        <v/>
      </c>
    </row>
    <row r="596">
      <c r="A596" s="22" t="n"/>
      <c r="G596" s="21" t="n"/>
      <c r="H596" s="11" t="n"/>
      <c r="I596" s="21">
        <f>IF(OR(H596="",H596=0),"",1/H596)</f>
        <v/>
      </c>
      <c r="J596" s="11">
        <f>IF(OR(G596="",H596=""),"",H596*G596-1)</f>
        <v/>
      </c>
      <c r="K596" s="10">
        <f>IF(OR(G596="",H596="",G596&lt;=1),"",IF(J596&lt;IF(D596="Builder",MinEdgeBuilder,IF(D596="Player",MinEdgePlayer,MinEdgeSingle)),0,ROUND(MIN(IF(D596="Single",KellySingle,KellyBuilder)*(StartBank+SUM(P$1:P595))*J596/(G596-1),IF(D596="Builder",CapBuilder,CapSingle)*Unit),2)))</f>
        <v/>
      </c>
      <c r="L596" s="10" t="n"/>
      <c r="N596" s="10" t="n"/>
      <c r="O596" s="10">
        <f>IF(L596="","",IF(M596="Won",L596*G596,IF(M596="Void",L596,IF(M596="Cash out",N(N596),IF(M596="Lost",0,"")))))</f>
        <v/>
      </c>
      <c r="P596" s="10">
        <f>IF(OR(L596="",M596="",M596="Pending"),"",O596-L596)</f>
        <v/>
      </c>
      <c r="Q596" s="21" t="n"/>
      <c r="R596" s="11">
        <f>IF(OR(G596="",Q596=""),"",G596/Q596-1)</f>
        <v/>
      </c>
      <c r="S596" s="10">
        <f>IF(OR(L596="",J596=""),"",L596*J596)</f>
        <v/>
      </c>
      <c r="T596" s="10">
        <f>IF(P596="","",StartBank+SUM(P$2:P596))</f>
        <v/>
      </c>
    </row>
    <row r="597">
      <c r="A597" s="22" t="n"/>
      <c r="G597" s="21" t="n"/>
      <c r="H597" s="11" t="n"/>
      <c r="I597" s="21">
        <f>IF(OR(H597="",H597=0),"",1/H597)</f>
        <v/>
      </c>
      <c r="J597" s="11">
        <f>IF(OR(G597="",H597=""),"",H597*G597-1)</f>
        <v/>
      </c>
      <c r="K597" s="10">
        <f>IF(OR(G597="",H597="",G597&lt;=1),"",IF(J597&lt;IF(D597="Builder",MinEdgeBuilder,IF(D597="Player",MinEdgePlayer,MinEdgeSingle)),0,ROUND(MIN(IF(D597="Single",KellySingle,KellyBuilder)*(StartBank+SUM(P$1:P596))*J597/(G597-1),IF(D597="Builder",CapBuilder,CapSingle)*Unit),2)))</f>
        <v/>
      </c>
      <c r="L597" s="10" t="n"/>
      <c r="N597" s="10" t="n"/>
      <c r="O597" s="10">
        <f>IF(L597="","",IF(M597="Won",L597*G597,IF(M597="Void",L597,IF(M597="Cash out",N(N597),IF(M597="Lost",0,"")))))</f>
        <v/>
      </c>
      <c r="P597" s="10">
        <f>IF(OR(L597="",M597="",M597="Pending"),"",O597-L597)</f>
        <v/>
      </c>
      <c r="Q597" s="21" t="n"/>
      <c r="R597" s="11">
        <f>IF(OR(G597="",Q597=""),"",G597/Q597-1)</f>
        <v/>
      </c>
      <c r="S597" s="10">
        <f>IF(OR(L597="",J597=""),"",L597*J597)</f>
        <v/>
      </c>
      <c r="T597" s="10">
        <f>IF(P597="","",StartBank+SUM(P$2:P597))</f>
        <v/>
      </c>
    </row>
    <row r="598">
      <c r="A598" s="22" t="n"/>
      <c r="G598" s="21" t="n"/>
      <c r="H598" s="11" t="n"/>
      <c r="I598" s="21">
        <f>IF(OR(H598="",H598=0),"",1/H598)</f>
        <v/>
      </c>
      <c r="J598" s="11">
        <f>IF(OR(G598="",H598=""),"",H598*G598-1)</f>
        <v/>
      </c>
      <c r="K598" s="10">
        <f>IF(OR(G598="",H598="",G598&lt;=1),"",IF(J598&lt;IF(D598="Builder",MinEdgeBuilder,IF(D598="Player",MinEdgePlayer,MinEdgeSingle)),0,ROUND(MIN(IF(D598="Single",KellySingle,KellyBuilder)*(StartBank+SUM(P$1:P597))*J598/(G598-1),IF(D598="Builder",CapBuilder,CapSingle)*Unit),2)))</f>
        <v/>
      </c>
      <c r="L598" s="10" t="n"/>
      <c r="N598" s="10" t="n"/>
      <c r="O598" s="10">
        <f>IF(L598="","",IF(M598="Won",L598*G598,IF(M598="Void",L598,IF(M598="Cash out",N(N598),IF(M598="Lost",0,"")))))</f>
        <v/>
      </c>
      <c r="P598" s="10">
        <f>IF(OR(L598="",M598="",M598="Pending"),"",O598-L598)</f>
        <v/>
      </c>
      <c r="Q598" s="21" t="n"/>
      <c r="R598" s="11">
        <f>IF(OR(G598="",Q598=""),"",G598/Q598-1)</f>
        <v/>
      </c>
      <c r="S598" s="10">
        <f>IF(OR(L598="",J598=""),"",L598*J598)</f>
        <v/>
      </c>
      <c r="T598" s="10">
        <f>IF(P598="","",StartBank+SUM(P$2:P598))</f>
        <v/>
      </c>
    </row>
    <row r="599">
      <c r="A599" s="22" t="n"/>
      <c r="G599" s="21" t="n"/>
      <c r="H599" s="11" t="n"/>
      <c r="I599" s="21">
        <f>IF(OR(H599="",H599=0),"",1/H599)</f>
        <v/>
      </c>
      <c r="J599" s="11">
        <f>IF(OR(G599="",H599=""),"",H599*G599-1)</f>
        <v/>
      </c>
      <c r="K599" s="10">
        <f>IF(OR(G599="",H599="",G599&lt;=1),"",IF(J599&lt;IF(D599="Builder",MinEdgeBuilder,IF(D599="Player",MinEdgePlayer,MinEdgeSingle)),0,ROUND(MIN(IF(D599="Single",KellySingle,KellyBuilder)*(StartBank+SUM(P$1:P598))*J599/(G599-1),IF(D599="Builder",CapBuilder,CapSingle)*Unit),2)))</f>
        <v/>
      </c>
      <c r="L599" s="10" t="n"/>
      <c r="N599" s="10" t="n"/>
      <c r="O599" s="10">
        <f>IF(L599="","",IF(M599="Won",L599*G599,IF(M599="Void",L599,IF(M599="Cash out",N(N599),IF(M599="Lost",0,"")))))</f>
        <v/>
      </c>
      <c r="P599" s="10">
        <f>IF(OR(L599="",M599="",M599="Pending"),"",O599-L599)</f>
        <v/>
      </c>
      <c r="Q599" s="21" t="n"/>
      <c r="R599" s="11">
        <f>IF(OR(G599="",Q599=""),"",G599/Q599-1)</f>
        <v/>
      </c>
      <c r="S599" s="10">
        <f>IF(OR(L599="",J599=""),"",L599*J599)</f>
        <v/>
      </c>
      <c r="T599" s="10">
        <f>IF(P599="","",StartBank+SUM(P$2:P599))</f>
        <v/>
      </c>
    </row>
    <row r="600">
      <c r="A600" s="22" t="n"/>
      <c r="G600" s="21" t="n"/>
      <c r="H600" s="11" t="n"/>
      <c r="I600" s="21">
        <f>IF(OR(H600="",H600=0),"",1/H600)</f>
        <v/>
      </c>
      <c r="J600" s="11">
        <f>IF(OR(G600="",H600=""),"",H600*G600-1)</f>
        <v/>
      </c>
      <c r="K600" s="10">
        <f>IF(OR(G600="",H600="",G600&lt;=1),"",IF(J600&lt;IF(D600="Builder",MinEdgeBuilder,IF(D600="Player",MinEdgePlayer,MinEdgeSingle)),0,ROUND(MIN(IF(D600="Single",KellySingle,KellyBuilder)*(StartBank+SUM(P$1:P599))*J600/(G600-1),IF(D600="Builder",CapBuilder,CapSingle)*Unit),2)))</f>
        <v/>
      </c>
      <c r="L600" s="10" t="n"/>
      <c r="N600" s="10" t="n"/>
      <c r="O600" s="10">
        <f>IF(L600="","",IF(M600="Won",L600*G600,IF(M600="Void",L600,IF(M600="Cash out",N(N600),IF(M600="Lost",0,"")))))</f>
        <v/>
      </c>
      <c r="P600" s="10">
        <f>IF(OR(L600="",M600="",M600="Pending"),"",O600-L600)</f>
        <v/>
      </c>
      <c r="Q600" s="21" t="n"/>
      <c r="R600" s="11">
        <f>IF(OR(G600="",Q600=""),"",G600/Q600-1)</f>
        <v/>
      </c>
      <c r="S600" s="10">
        <f>IF(OR(L600="",J600=""),"",L600*J600)</f>
        <v/>
      </c>
      <c r="T600" s="10">
        <f>IF(P600="","",StartBank+SUM(P$2:P600))</f>
        <v/>
      </c>
    </row>
    <row r="601">
      <c r="A601" s="22" t="n"/>
      <c r="G601" s="21" t="n"/>
      <c r="H601" s="11" t="n"/>
      <c r="I601" s="21">
        <f>IF(OR(H601="",H601=0),"",1/H601)</f>
        <v/>
      </c>
      <c r="J601" s="11">
        <f>IF(OR(G601="",H601=""),"",H601*G601-1)</f>
        <v/>
      </c>
      <c r="K601" s="10">
        <f>IF(OR(G601="",H601="",G601&lt;=1),"",IF(J601&lt;IF(D601="Builder",MinEdgeBuilder,IF(D601="Player",MinEdgePlayer,MinEdgeSingle)),0,ROUND(MIN(IF(D601="Single",KellySingle,KellyBuilder)*(StartBank+SUM(P$1:P600))*J601/(G601-1),IF(D601="Builder",CapBuilder,CapSingle)*Unit),2)))</f>
        <v/>
      </c>
      <c r="L601" s="10" t="n"/>
      <c r="N601" s="10" t="n"/>
      <c r="O601" s="10">
        <f>IF(L601="","",IF(M601="Won",L601*G601,IF(M601="Void",L601,IF(M601="Cash out",N(N601),IF(M601="Lost",0,"")))))</f>
        <v/>
      </c>
      <c r="P601" s="10">
        <f>IF(OR(L601="",M601="",M601="Pending"),"",O601-L601)</f>
        <v/>
      </c>
      <c r="Q601" s="21" t="n"/>
      <c r="R601" s="11">
        <f>IF(OR(G601="",Q601=""),"",G601/Q601-1)</f>
        <v/>
      </c>
      <c r="S601" s="10">
        <f>IF(OR(L601="",J601=""),"",L601*J601)</f>
        <v/>
      </c>
      <c r="T601" s="10">
        <f>IF(P601="","",StartBank+SUM(P$2:P601))</f>
        <v/>
      </c>
    </row>
    <row r="602">
      <c r="A602" s="22" t="n"/>
      <c r="G602" s="21" t="n"/>
      <c r="H602" s="11" t="n"/>
      <c r="I602" s="21">
        <f>IF(OR(H602="",H602=0),"",1/H602)</f>
        <v/>
      </c>
      <c r="J602" s="11">
        <f>IF(OR(G602="",H602=""),"",H602*G602-1)</f>
        <v/>
      </c>
      <c r="K602" s="10">
        <f>IF(OR(G602="",H602="",G602&lt;=1),"",IF(J602&lt;IF(D602="Builder",MinEdgeBuilder,IF(D602="Player",MinEdgePlayer,MinEdgeSingle)),0,ROUND(MIN(IF(D602="Single",KellySingle,KellyBuilder)*(StartBank+SUM(P$1:P601))*J602/(G602-1),IF(D602="Builder",CapBuilder,CapSingle)*Unit),2)))</f>
        <v/>
      </c>
      <c r="L602" s="10" t="n"/>
      <c r="N602" s="10" t="n"/>
      <c r="O602" s="10">
        <f>IF(L602="","",IF(M602="Won",L602*G602,IF(M602="Void",L602,IF(M602="Cash out",N(N602),IF(M602="Lost",0,"")))))</f>
        <v/>
      </c>
      <c r="P602" s="10">
        <f>IF(OR(L602="",M602="",M602="Pending"),"",O602-L602)</f>
        <v/>
      </c>
      <c r="Q602" s="21" t="n"/>
      <c r="R602" s="11">
        <f>IF(OR(G602="",Q602=""),"",G602/Q602-1)</f>
        <v/>
      </c>
      <c r="S602" s="10">
        <f>IF(OR(L602="",J602=""),"",L602*J602)</f>
        <v/>
      </c>
      <c r="T602" s="10">
        <f>IF(P602="","",StartBank+SUM(P$2:P602))</f>
        <v/>
      </c>
    </row>
    <row r="603">
      <c r="A603" s="22" t="n"/>
      <c r="G603" s="21" t="n"/>
      <c r="H603" s="11" t="n"/>
      <c r="I603" s="21">
        <f>IF(OR(H603="",H603=0),"",1/H603)</f>
        <v/>
      </c>
      <c r="J603" s="11">
        <f>IF(OR(G603="",H603=""),"",H603*G603-1)</f>
        <v/>
      </c>
      <c r="K603" s="10">
        <f>IF(OR(G603="",H603="",G603&lt;=1),"",IF(J603&lt;IF(D603="Builder",MinEdgeBuilder,IF(D603="Player",MinEdgePlayer,MinEdgeSingle)),0,ROUND(MIN(IF(D603="Single",KellySingle,KellyBuilder)*(StartBank+SUM(P$1:P602))*J603/(G603-1),IF(D603="Builder",CapBuilder,CapSingle)*Unit),2)))</f>
        <v/>
      </c>
      <c r="L603" s="10" t="n"/>
      <c r="N603" s="10" t="n"/>
      <c r="O603" s="10">
        <f>IF(L603="","",IF(M603="Won",L603*G603,IF(M603="Void",L603,IF(M603="Cash out",N(N603),IF(M603="Lost",0,"")))))</f>
        <v/>
      </c>
      <c r="P603" s="10">
        <f>IF(OR(L603="",M603="",M603="Pending"),"",O603-L603)</f>
        <v/>
      </c>
      <c r="Q603" s="21" t="n"/>
      <c r="R603" s="11">
        <f>IF(OR(G603="",Q603=""),"",G603/Q603-1)</f>
        <v/>
      </c>
      <c r="S603" s="10">
        <f>IF(OR(L603="",J603=""),"",L603*J603)</f>
        <v/>
      </c>
      <c r="T603" s="10">
        <f>IF(P603="","",StartBank+SUM(P$2:P603))</f>
        <v/>
      </c>
    </row>
    <row r="604">
      <c r="A604" s="22" t="n"/>
      <c r="G604" s="21" t="n"/>
      <c r="H604" s="11" t="n"/>
      <c r="I604" s="21">
        <f>IF(OR(H604="",H604=0),"",1/H604)</f>
        <v/>
      </c>
      <c r="J604" s="11">
        <f>IF(OR(G604="",H604=""),"",H604*G604-1)</f>
        <v/>
      </c>
      <c r="K604" s="10">
        <f>IF(OR(G604="",H604="",G604&lt;=1),"",IF(J604&lt;IF(D604="Builder",MinEdgeBuilder,IF(D604="Player",MinEdgePlayer,MinEdgeSingle)),0,ROUND(MIN(IF(D604="Single",KellySingle,KellyBuilder)*(StartBank+SUM(P$1:P603))*J604/(G604-1),IF(D604="Builder",CapBuilder,CapSingle)*Unit),2)))</f>
        <v/>
      </c>
      <c r="L604" s="10" t="n"/>
      <c r="N604" s="10" t="n"/>
      <c r="O604" s="10">
        <f>IF(L604="","",IF(M604="Won",L604*G604,IF(M604="Void",L604,IF(M604="Cash out",N(N604),IF(M604="Lost",0,"")))))</f>
        <v/>
      </c>
      <c r="P604" s="10">
        <f>IF(OR(L604="",M604="",M604="Pending"),"",O604-L604)</f>
        <v/>
      </c>
      <c r="Q604" s="21" t="n"/>
      <c r="R604" s="11">
        <f>IF(OR(G604="",Q604=""),"",G604/Q604-1)</f>
        <v/>
      </c>
      <c r="S604" s="10">
        <f>IF(OR(L604="",J604=""),"",L604*J604)</f>
        <v/>
      </c>
      <c r="T604" s="10">
        <f>IF(P604="","",StartBank+SUM(P$2:P604))</f>
        <v/>
      </c>
    </row>
    <row r="605">
      <c r="A605" s="22" t="n"/>
      <c r="G605" s="21" t="n"/>
      <c r="H605" s="11" t="n"/>
      <c r="I605" s="21">
        <f>IF(OR(H605="",H605=0),"",1/H605)</f>
        <v/>
      </c>
      <c r="J605" s="11">
        <f>IF(OR(G605="",H605=""),"",H605*G605-1)</f>
        <v/>
      </c>
      <c r="K605" s="10">
        <f>IF(OR(G605="",H605="",G605&lt;=1),"",IF(J605&lt;IF(D605="Builder",MinEdgeBuilder,IF(D605="Player",MinEdgePlayer,MinEdgeSingle)),0,ROUND(MIN(IF(D605="Single",KellySingle,KellyBuilder)*(StartBank+SUM(P$1:P604))*J605/(G605-1),IF(D605="Builder",CapBuilder,CapSingle)*Unit),2)))</f>
        <v/>
      </c>
      <c r="L605" s="10" t="n"/>
      <c r="N605" s="10" t="n"/>
      <c r="O605" s="10">
        <f>IF(L605="","",IF(M605="Won",L605*G605,IF(M605="Void",L605,IF(M605="Cash out",N(N605),IF(M605="Lost",0,"")))))</f>
        <v/>
      </c>
      <c r="P605" s="10">
        <f>IF(OR(L605="",M605="",M605="Pending"),"",O605-L605)</f>
        <v/>
      </c>
      <c r="Q605" s="21" t="n"/>
      <c r="R605" s="11">
        <f>IF(OR(G605="",Q605=""),"",G605/Q605-1)</f>
        <v/>
      </c>
      <c r="S605" s="10">
        <f>IF(OR(L605="",J605=""),"",L605*J605)</f>
        <v/>
      </c>
      <c r="T605" s="10">
        <f>IF(P605="","",StartBank+SUM(P$2:P605))</f>
        <v/>
      </c>
    </row>
    <row r="606">
      <c r="A606" s="22" t="n"/>
      <c r="G606" s="21" t="n"/>
      <c r="H606" s="11" t="n"/>
      <c r="I606" s="21">
        <f>IF(OR(H606="",H606=0),"",1/H606)</f>
        <v/>
      </c>
      <c r="J606" s="11">
        <f>IF(OR(G606="",H606=""),"",H606*G606-1)</f>
        <v/>
      </c>
      <c r="K606" s="10">
        <f>IF(OR(G606="",H606="",G606&lt;=1),"",IF(J606&lt;IF(D606="Builder",MinEdgeBuilder,IF(D606="Player",MinEdgePlayer,MinEdgeSingle)),0,ROUND(MIN(IF(D606="Single",KellySingle,KellyBuilder)*(StartBank+SUM(P$1:P605))*J606/(G606-1),IF(D606="Builder",CapBuilder,CapSingle)*Unit),2)))</f>
        <v/>
      </c>
      <c r="L606" s="10" t="n"/>
      <c r="N606" s="10" t="n"/>
      <c r="O606" s="10">
        <f>IF(L606="","",IF(M606="Won",L606*G606,IF(M606="Void",L606,IF(M606="Cash out",N(N606),IF(M606="Lost",0,"")))))</f>
        <v/>
      </c>
      <c r="P606" s="10">
        <f>IF(OR(L606="",M606="",M606="Pending"),"",O606-L606)</f>
        <v/>
      </c>
      <c r="Q606" s="21" t="n"/>
      <c r="R606" s="11">
        <f>IF(OR(G606="",Q606=""),"",G606/Q606-1)</f>
        <v/>
      </c>
      <c r="S606" s="10">
        <f>IF(OR(L606="",J606=""),"",L606*J606)</f>
        <v/>
      </c>
      <c r="T606" s="10">
        <f>IF(P606="","",StartBank+SUM(P$2:P606))</f>
        <v/>
      </c>
    </row>
    <row r="607">
      <c r="A607" s="22" t="n"/>
      <c r="G607" s="21" t="n"/>
      <c r="H607" s="11" t="n"/>
      <c r="I607" s="21">
        <f>IF(OR(H607="",H607=0),"",1/H607)</f>
        <v/>
      </c>
      <c r="J607" s="11">
        <f>IF(OR(G607="",H607=""),"",H607*G607-1)</f>
        <v/>
      </c>
      <c r="K607" s="10">
        <f>IF(OR(G607="",H607="",G607&lt;=1),"",IF(J607&lt;IF(D607="Builder",MinEdgeBuilder,IF(D607="Player",MinEdgePlayer,MinEdgeSingle)),0,ROUND(MIN(IF(D607="Single",KellySingle,KellyBuilder)*(StartBank+SUM(P$1:P606))*J607/(G607-1),IF(D607="Builder",CapBuilder,CapSingle)*Unit),2)))</f>
        <v/>
      </c>
      <c r="L607" s="10" t="n"/>
      <c r="N607" s="10" t="n"/>
      <c r="O607" s="10">
        <f>IF(L607="","",IF(M607="Won",L607*G607,IF(M607="Void",L607,IF(M607="Cash out",N(N607),IF(M607="Lost",0,"")))))</f>
        <v/>
      </c>
      <c r="P607" s="10">
        <f>IF(OR(L607="",M607="",M607="Pending"),"",O607-L607)</f>
        <v/>
      </c>
      <c r="Q607" s="21" t="n"/>
      <c r="R607" s="11">
        <f>IF(OR(G607="",Q607=""),"",G607/Q607-1)</f>
        <v/>
      </c>
      <c r="S607" s="10">
        <f>IF(OR(L607="",J607=""),"",L607*J607)</f>
        <v/>
      </c>
      <c r="T607" s="10">
        <f>IF(P607="","",StartBank+SUM(P$2:P607))</f>
        <v/>
      </c>
    </row>
    <row r="608">
      <c r="A608" s="22" t="n"/>
      <c r="G608" s="21" t="n"/>
      <c r="H608" s="11" t="n"/>
      <c r="I608" s="21">
        <f>IF(OR(H608="",H608=0),"",1/H608)</f>
        <v/>
      </c>
      <c r="J608" s="11">
        <f>IF(OR(G608="",H608=""),"",H608*G608-1)</f>
        <v/>
      </c>
      <c r="K608" s="10">
        <f>IF(OR(G608="",H608="",G608&lt;=1),"",IF(J608&lt;IF(D608="Builder",MinEdgeBuilder,IF(D608="Player",MinEdgePlayer,MinEdgeSingle)),0,ROUND(MIN(IF(D608="Single",KellySingle,KellyBuilder)*(StartBank+SUM(P$1:P607))*J608/(G608-1),IF(D608="Builder",CapBuilder,CapSingle)*Unit),2)))</f>
        <v/>
      </c>
      <c r="L608" s="10" t="n"/>
      <c r="N608" s="10" t="n"/>
      <c r="O608" s="10">
        <f>IF(L608="","",IF(M608="Won",L608*G608,IF(M608="Void",L608,IF(M608="Cash out",N(N608),IF(M608="Lost",0,"")))))</f>
        <v/>
      </c>
      <c r="P608" s="10">
        <f>IF(OR(L608="",M608="",M608="Pending"),"",O608-L608)</f>
        <v/>
      </c>
      <c r="Q608" s="21" t="n"/>
      <c r="R608" s="11">
        <f>IF(OR(G608="",Q608=""),"",G608/Q608-1)</f>
        <v/>
      </c>
      <c r="S608" s="10">
        <f>IF(OR(L608="",J608=""),"",L608*J608)</f>
        <v/>
      </c>
      <c r="T608" s="10">
        <f>IF(P608="","",StartBank+SUM(P$2:P608))</f>
        <v/>
      </c>
    </row>
    <row r="609">
      <c r="A609" s="22" t="n"/>
      <c r="G609" s="21" t="n"/>
      <c r="H609" s="11" t="n"/>
      <c r="I609" s="21">
        <f>IF(OR(H609="",H609=0),"",1/H609)</f>
        <v/>
      </c>
      <c r="J609" s="11">
        <f>IF(OR(G609="",H609=""),"",H609*G609-1)</f>
        <v/>
      </c>
      <c r="K609" s="10">
        <f>IF(OR(G609="",H609="",G609&lt;=1),"",IF(J609&lt;IF(D609="Builder",MinEdgeBuilder,IF(D609="Player",MinEdgePlayer,MinEdgeSingle)),0,ROUND(MIN(IF(D609="Single",KellySingle,KellyBuilder)*(StartBank+SUM(P$1:P608))*J609/(G609-1),IF(D609="Builder",CapBuilder,CapSingle)*Unit),2)))</f>
        <v/>
      </c>
      <c r="L609" s="10" t="n"/>
      <c r="N609" s="10" t="n"/>
      <c r="O609" s="10">
        <f>IF(L609="","",IF(M609="Won",L609*G609,IF(M609="Void",L609,IF(M609="Cash out",N(N609),IF(M609="Lost",0,"")))))</f>
        <v/>
      </c>
      <c r="P609" s="10">
        <f>IF(OR(L609="",M609="",M609="Pending"),"",O609-L609)</f>
        <v/>
      </c>
      <c r="Q609" s="21" t="n"/>
      <c r="R609" s="11">
        <f>IF(OR(G609="",Q609=""),"",G609/Q609-1)</f>
        <v/>
      </c>
      <c r="S609" s="10">
        <f>IF(OR(L609="",J609=""),"",L609*J609)</f>
        <v/>
      </c>
      <c r="T609" s="10">
        <f>IF(P609="","",StartBank+SUM(P$2:P609))</f>
        <v/>
      </c>
    </row>
    <row r="610">
      <c r="A610" s="22" t="n"/>
      <c r="G610" s="21" t="n"/>
      <c r="H610" s="11" t="n"/>
      <c r="I610" s="21">
        <f>IF(OR(H610="",H610=0),"",1/H610)</f>
        <v/>
      </c>
      <c r="J610" s="11">
        <f>IF(OR(G610="",H610=""),"",H610*G610-1)</f>
        <v/>
      </c>
      <c r="K610" s="10">
        <f>IF(OR(G610="",H610="",G610&lt;=1),"",IF(J610&lt;IF(D610="Builder",MinEdgeBuilder,IF(D610="Player",MinEdgePlayer,MinEdgeSingle)),0,ROUND(MIN(IF(D610="Single",KellySingle,KellyBuilder)*(StartBank+SUM(P$1:P609))*J610/(G610-1),IF(D610="Builder",CapBuilder,CapSingle)*Unit),2)))</f>
        <v/>
      </c>
      <c r="L610" s="10" t="n"/>
      <c r="N610" s="10" t="n"/>
      <c r="O610" s="10">
        <f>IF(L610="","",IF(M610="Won",L610*G610,IF(M610="Void",L610,IF(M610="Cash out",N(N610),IF(M610="Lost",0,"")))))</f>
        <v/>
      </c>
      <c r="P610" s="10">
        <f>IF(OR(L610="",M610="",M610="Pending"),"",O610-L610)</f>
        <v/>
      </c>
      <c r="Q610" s="21" t="n"/>
      <c r="R610" s="11">
        <f>IF(OR(G610="",Q610=""),"",G610/Q610-1)</f>
        <v/>
      </c>
      <c r="S610" s="10">
        <f>IF(OR(L610="",J610=""),"",L610*J610)</f>
        <v/>
      </c>
      <c r="T610" s="10">
        <f>IF(P610="","",StartBank+SUM(P$2:P610))</f>
        <v/>
      </c>
    </row>
    <row r="611">
      <c r="A611" s="22" t="n"/>
      <c r="G611" s="21" t="n"/>
      <c r="H611" s="11" t="n"/>
      <c r="I611" s="21">
        <f>IF(OR(H611="",H611=0),"",1/H611)</f>
        <v/>
      </c>
      <c r="J611" s="11">
        <f>IF(OR(G611="",H611=""),"",H611*G611-1)</f>
        <v/>
      </c>
      <c r="K611" s="10">
        <f>IF(OR(G611="",H611="",G611&lt;=1),"",IF(J611&lt;IF(D611="Builder",MinEdgeBuilder,IF(D611="Player",MinEdgePlayer,MinEdgeSingle)),0,ROUND(MIN(IF(D611="Single",KellySingle,KellyBuilder)*(StartBank+SUM(P$1:P610))*J611/(G611-1),IF(D611="Builder",CapBuilder,CapSingle)*Unit),2)))</f>
        <v/>
      </c>
      <c r="L611" s="10" t="n"/>
      <c r="N611" s="10" t="n"/>
      <c r="O611" s="10">
        <f>IF(L611="","",IF(M611="Won",L611*G611,IF(M611="Void",L611,IF(M611="Cash out",N(N611),IF(M611="Lost",0,"")))))</f>
        <v/>
      </c>
      <c r="P611" s="10">
        <f>IF(OR(L611="",M611="",M611="Pending"),"",O611-L611)</f>
        <v/>
      </c>
      <c r="Q611" s="21" t="n"/>
      <c r="R611" s="11">
        <f>IF(OR(G611="",Q611=""),"",G611/Q611-1)</f>
        <v/>
      </c>
      <c r="S611" s="10">
        <f>IF(OR(L611="",J611=""),"",L611*J611)</f>
        <v/>
      </c>
      <c r="T611" s="10">
        <f>IF(P611="","",StartBank+SUM(P$2:P611))</f>
        <v/>
      </c>
    </row>
    <row r="612">
      <c r="A612" s="22" t="n"/>
      <c r="G612" s="21" t="n"/>
      <c r="H612" s="11" t="n"/>
      <c r="I612" s="21">
        <f>IF(OR(H612="",H612=0),"",1/H612)</f>
        <v/>
      </c>
      <c r="J612" s="11">
        <f>IF(OR(G612="",H612=""),"",H612*G612-1)</f>
        <v/>
      </c>
      <c r="K612" s="10">
        <f>IF(OR(G612="",H612="",G612&lt;=1),"",IF(J612&lt;IF(D612="Builder",MinEdgeBuilder,IF(D612="Player",MinEdgePlayer,MinEdgeSingle)),0,ROUND(MIN(IF(D612="Single",KellySingle,KellyBuilder)*(StartBank+SUM(P$1:P611))*J612/(G612-1),IF(D612="Builder",CapBuilder,CapSingle)*Unit),2)))</f>
        <v/>
      </c>
      <c r="L612" s="10" t="n"/>
      <c r="N612" s="10" t="n"/>
      <c r="O612" s="10">
        <f>IF(L612="","",IF(M612="Won",L612*G612,IF(M612="Void",L612,IF(M612="Cash out",N(N612),IF(M612="Lost",0,"")))))</f>
        <v/>
      </c>
      <c r="P612" s="10">
        <f>IF(OR(L612="",M612="",M612="Pending"),"",O612-L612)</f>
        <v/>
      </c>
      <c r="Q612" s="21" t="n"/>
      <c r="R612" s="11">
        <f>IF(OR(G612="",Q612=""),"",G612/Q612-1)</f>
        <v/>
      </c>
      <c r="S612" s="10">
        <f>IF(OR(L612="",J612=""),"",L612*J612)</f>
        <v/>
      </c>
      <c r="T612" s="10">
        <f>IF(P612="","",StartBank+SUM(P$2:P612))</f>
        <v/>
      </c>
    </row>
    <row r="613">
      <c r="A613" s="22" t="n"/>
      <c r="G613" s="21" t="n"/>
      <c r="H613" s="11" t="n"/>
      <c r="I613" s="21">
        <f>IF(OR(H613="",H613=0),"",1/H613)</f>
        <v/>
      </c>
      <c r="J613" s="11">
        <f>IF(OR(G613="",H613=""),"",H613*G613-1)</f>
        <v/>
      </c>
      <c r="K613" s="10">
        <f>IF(OR(G613="",H613="",G613&lt;=1),"",IF(J613&lt;IF(D613="Builder",MinEdgeBuilder,IF(D613="Player",MinEdgePlayer,MinEdgeSingle)),0,ROUND(MIN(IF(D613="Single",KellySingle,KellyBuilder)*(StartBank+SUM(P$1:P612))*J613/(G613-1),IF(D613="Builder",CapBuilder,CapSingle)*Unit),2)))</f>
        <v/>
      </c>
      <c r="L613" s="10" t="n"/>
      <c r="N613" s="10" t="n"/>
      <c r="O613" s="10">
        <f>IF(L613="","",IF(M613="Won",L613*G613,IF(M613="Void",L613,IF(M613="Cash out",N(N613),IF(M613="Lost",0,"")))))</f>
        <v/>
      </c>
      <c r="P613" s="10">
        <f>IF(OR(L613="",M613="",M613="Pending"),"",O613-L613)</f>
        <v/>
      </c>
      <c r="Q613" s="21" t="n"/>
      <c r="R613" s="11">
        <f>IF(OR(G613="",Q613=""),"",G613/Q613-1)</f>
        <v/>
      </c>
      <c r="S613" s="10">
        <f>IF(OR(L613="",J613=""),"",L613*J613)</f>
        <v/>
      </c>
      <c r="T613" s="10">
        <f>IF(P613="","",StartBank+SUM(P$2:P613))</f>
        <v/>
      </c>
    </row>
    <row r="614">
      <c r="A614" s="22" t="n"/>
      <c r="G614" s="21" t="n"/>
      <c r="H614" s="11" t="n"/>
      <c r="I614" s="21">
        <f>IF(OR(H614="",H614=0),"",1/H614)</f>
        <v/>
      </c>
      <c r="J614" s="11">
        <f>IF(OR(G614="",H614=""),"",H614*G614-1)</f>
        <v/>
      </c>
      <c r="K614" s="10">
        <f>IF(OR(G614="",H614="",G614&lt;=1),"",IF(J614&lt;IF(D614="Builder",MinEdgeBuilder,IF(D614="Player",MinEdgePlayer,MinEdgeSingle)),0,ROUND(MIN(IF(D614="Single",KellySingle,KellyBuilder)*(StartBank+SUM(P$1:P613))*J614/(G614-1),IF(D614="Builder",CapBuilder,CapSingle)*Unit),2)))</f>
        <v/>
      </c>
      <c r="L614" s="10" t="n"/>
      <c r="N614" s="10" t="n"/>
      <c r="O614" s="10">
        <f>IF(L614="","",IF(M614="Won",L614*G614,IF(M614="Void",L614,IF(M614="Cash out",N(N614),IF(M614="Lost",0,"")))))</f>
        <v/>
      </c>
      <c r="P614" s="10">
        <f>IF(OR(L614="",M614="",M614="Pending"),"",O614-L614)</f>
        <v/>
      </c>
      <c r="Q614" s="21" t="n"/>
      <c r="R614" s="11">
        <f>IF(OR(G614="",Q614=""),"",G614/Q614-1)</f>
        <v/>
      </c>
      <c r="S614" s="10">
        <f>IF(OR(L614="",J614=""),"",L614*J614)</f>
        <v/>
      </c>
      <c r="T614" s="10">
        <f>IF(P614="","",StartBank+SUM(P$2:P614))</f>
        <v/>
      </c>
    </row>
    <row r="615">
      <c r="A615" s="22" t="n"/>
      <c r="G615" s="21" t="n"/>
      <c r="H615" s="11" t="n"/>
      <c r="I615" s="21">
        <f>IF(OR(H615="",H615=0),"",1/H615)</f>
        <v/>
      </c>
      <c r="J615" s="11">
        <f>IF(OR(G615="",H615=""),"",H615*G615-1)</f>
        <v/>
      </c>
      <c r="K615" s="10">
        <f>IF(OR(G615="",H615="",G615&lt;=1),"",IF(J615&lt;IF(D615="Builder",MinEdgeBuilder,IF(D615="Player",MinEdgePlayer,MinEdgeSingle)),0,ROUND(MIN(IF(D615="Single",KellySingle,KellyBuilder)*(StartBank+SUM(P$1:P614))*J615/(G615-1),IF(D615="Builder",CapBuilder,CapSingle)*Unit),2)))</f>
        <v/>
      </c>
      <c r="L615" s="10" t="n"/>
      <c r="N615" s="10" t="n"/>
      <c r="O615" s="10">
        <f>IF(L615="","",IF(M615="Won",L615*G615,IF(M615="Void",L615,IF(M615="Cash out",N(N615),IF(M615="Lost",0,"")))))</f>
        <v/>
      </c>
      <c r="P615" s="10">
        <f>IF(OR(L615="",M615="",M615="Pending"),"",O615-L615)</f>
        <v/>
      </c>
      <c r="Q615" s="21" t="n"/>
      <c r="R615" s="11">
        <f>IF(OR(G615="",Q615=""),"",G615/Q615-1)</f>
        <v/>
      </c>
      <c r="S615" s="10">
        <f>IF(OR(L615="",J615=""),"",L615*J615)</f>
        <v/>
      </c>
      <c r="T615" s="10">
        <f>IF(P615="","",StartBank+SUM(P$2:P615))</f>
        <v/>
      </c>
    </row>
    <row r="616">
      <c r="A616" s="22" t="n"/>
      <c r="G616" s="21" t="n"/>
      <c r="H616" s="11" t="n"/>
      <c r="I616" s="21">
        <f>IF(OR(H616="",H616=0),"",1/H616)</f>
        <v/>
      </c>
      <c r="J616" s="11">
        <f>IF(OR(G616="",H616=""),"",H616*G616-1)</f>
        <v/>
      </c>
      <c r="K616" s="10">
        <f>IF(OR(G616="",H616="",G616&lt;=1),"",IF(J616&lt;IF(D616="Builder",MinEdgeBuilder,IF(D616="Player",MinEdgePlayer,MinEdgeSingle)),0,ROUND(MIN(IF(D616="Single",KellySingle,KellyBuilder)*(StartBank+SUM(P$1:P615))*J616/(G616-1),IF(D616="Builder",CapBuilder,CapSingle)*Unit),2)))</f>
        <v/>
      </c>
      <c r="L616" s="10" t="n"/>
      <c r="N616" s="10" t="n"/>
      <c r="O616" s="10">
        <f>IF(L616="","",IF(M616="Won",L616*G616,IF(M616="Void",L616,IF(M616="Cash out",N(N616),IF(M616="Lost",0,"")))))</f>
        <v/>
      </c>
      <c r="P616" s="10">
        <f>IF(OR(L616="",M616="",M616="Pending"),"",O616-L616)</f>
        <v/>
      </c>
      <c r="Q616" s="21" t="n"/>
      <c r="R616" s="11">
        <f>IF(OR(G616="",Q616=""),"",G616/Q616-1)</f>
        <v/>
      </c>
      <c r="S616" s="10">
        <f>IF(OR(L616="",J616=""),"",L616*J616)</f>
        <v/>
      </c>
      <c r="T616" s="10">
        <f>IF(P616="","",StartBank+SUM(P$2:P616))</f>
        <v/>
      </c>
    </row>
    <row r="617">
      <c r="A617" s="22" t="n"/>
      <c r="G617" s="21" t="n"/>
      <c r="H617" s="11" t="n"/>
      <c r="I617" s="21">
        <f>IF(OR(H617="",H617=0),"",1/H617)</f>
        <v/>
      </c>
      <c r="J617" s="11">
        <f>IF(OR(G617="",H617=""),"",H617*G617-1)</f>
        <v/>
      </c>
      <c r="K617" s="10">
        <f>IF(OR(G617="",H617="",G617&lt;=1),"",IF(J617&lt;IF(D617="Builder",MinEdgeBuilder,IF(D617="Player",MinEdgePlayer,MinEdgeSingle)),0,ROUND(MIN(IF(D617="Single",KellySingle,KellyBuilder)*(StartBank+SUM(P$1:P616))*J617/(G617-1),IF(D617="Builder",CapBuilder,CapSingle)*Unit),2)))</f>
        <v/>
      </c>
      <c r="L617" s="10" t="n"/>
      <c r="N617" s="10" t="n"/>
      <c r="O617" s="10">
        <f>IF(L617="","",IF(M617="Won",L617*G617,IF(M617="Void",L617,IF(M617="Cash out",N(N617),IF(M617="Lost",0,"")))))</f>
        <v/>
      </c>
      <c r="P617" s="10">
        <f>IF(OR(L617="",M617="",M617="Pending"),"",O617-L617)</f>
        <v/>
      </c>
      <c r="Q617" s="21" t="n"/>
      <c r="R617" s="11">
        <f>IF(OR(G617="",Q617=""),"",G617/Q617-1)</f>
        <v/>
      </c>
      <c r="S617" s="10">
        <f>IF(OR(L617="",J617=""),"",L617*J617)</f>
        <v/>
      </c>
      <c r="T617" s="10">
        <f>IF(P617="","",StartBank+SUM(P$2:P617))</f>
        <v/>
      </c>
    </row>
    <row r="618">
      <c r="A618" s="22" t="n"/>
      <c r="G618" s="21" t="n"/>
      <c r="H618" s="11" t="n"/>
      <c r="I618" s="21">
        <f>IF(OR(H618="",H618=0),"",1/H618)</f>
        <v/>
      </c>
      <c r="J618" s="11">
        <f>IF(OR(G618="",H618=""),"",H618*G618-1)</f>
        <v/>
      </c>
      <c r="K618" s="10">
        <f>IF(OR(G618="",H618="",G618&lt;=1),"",IF(J618&lt;IF(D618="Builder",MinEdgeBuilder,IF(D618="Player",MinEdgePlayer,MinEdgeSingle)),0,ROUND(MIN(IF(D618="Single",KellySingle,KellyBuilder)*(StartBank+SUM(P$1:P617))*J618/(G618-1),IF(D618="Builder",CapBuilder,CapSingle)*Unit),2)))</f>
        <v/>
      </c>
      <c r="L618" s="10" t="n"/>
      <c r="N618" s="10" t="n"/>
      <c r="O618" s="10">
        <f>IF(L618="","",IF(M618="Won",L618*G618,IF(M618="Void",L618,IF(M618="Cash out",N(N618),IF(M618="Lost",0,"")))))</f>
        <v/>
      </c>
      <c r="P618" s="10">
        <f>IF(OR(L618="",M618="",M618="Pending"),"",O618-L618)</f>
        <v/>
      </c>
      <c r="Q618" s="21" t="n"/>
      <c r="R618" s="11">
        <f>IF(OR(G618="",Q618=""),"",G618/Q618-1)</f>
        <v/>
      </c>
      <c r="S618" s="10">
        <f>IF(OR(L618="",J618=""),"",L618*J618)</f>
        <v/>
      </c>
      <c r="T618" s="10">
        <f>IF(P618="","",StartBank+SUM(P$2:P618))</f>
        <v/>
      </c>
    </row>
    <row r="619">
      <c r="A619" s="22" t="n"/>
      <c r="G619" s="21" t="n"/>
      <c r="H619" s="11" t="n"/>
      <c r="I619" s="21">
        <f>IF(OR(H619="",H619=0),"",1/H619)</f>
        <v/>
      </c>
      <c r="J619" s="11">
        <f>IF(OR(G619="",H619=""),"",H619*G619-1)</f>
        <v/>
      </c>
      <c r="K619" s="10">
        <f>IF(OR(G619="",H619="",G619&lt;=1),"",IF(J619&lt;IF(D619="Builder",MinEdgeBuilder,IF(D619="Player",MinEdgePlayer,MinEdgeSingle)),0,ROUND(MIN(IF(D619="Single",KellySingle,KellyBuilder)*(StartBank+SUM(P$1:P618))*J619/(G619-1),IF(D619="Builder",CapBuilder,CapSingle)*Unit),2)))</f>
        <v/>
      </c>
      <c r="L619" s="10" t="n"/>
      <c r="N619" s="10" t="n"/>
      <c r="O619" s="10">
        <f>IF(L619="","",IF(M619="Won",L619*G619,IF(M619="Void",L619,IF(M619="Cash out",N(N619),IF(M619="Lost",0,"")))))</f>
        <v/>
      </c>
      <c r="P619" s="10">
        <f>IF(OR(L619="",M619="",M619="Pending"),"",O619-L619)</f>
        <v/>
      </c>
      <c r="Q619" s="21" t="n"/>
      <c r="R619" s="11">
        <f>IF(OR(G619="",Q619=""),"",G619/Q619-1)</f>
        <v/>
      </c>
      <c r="S619" s="10">
        <f>IF(OR(L619="",J619=""),"",L619*J619)</f>
        <v/>
      </c>
      <c r="T619" s="10">
        <f>IF(P619="","",StartBank+SUM(P$2:P619))</f>
        <v/>
      </c>
    </row>
    <row r="620">
      <c r="A620" s="22" t="n"/>
      <c r="G620" s="21" t="n"/>
      <c r="H620" s="11" t="n"/>
      <c r="I620" s="21">
        <f>IF(OR(H620="",H620=0),"",1/H620)</f>
        <v/>
      </c>
      <c r="J620" s="11">
        <f>IF(OR(G620="",H620=""),"",H620*G620-1)</f>
        <v/>
      </c>
      <c r="K620" s="10">
        <f>IF(OR(G620="",H620="",G620&lt;=1),"",IF(J620&lt;IF(D620="Builder",MinEdgeBuilder,IF(D620="Player",MinEdgePlayer,MinEdgeSingle)),0,ROUND(MIN(IF(D620="Single",KellySingle,KellyBuilder)*(StartBank+SUM(P$1:P619))*J620/(G620-1),IF(D620="Builder",CapBuilder,CapSingle)*Unit),2)))</f>
        <v/>
      </c>
      <c r="L620" s="10" t="n"/>
      <c r="N620" s="10" t="n"/>
      <c r="O620" s="10">
        <f>IF(L620="","",IF(M620="Won",L620*G620,IF(M620="Void",L620,IF(M620="Cash out",N(N620),IF(M620="Lost",0,"")))))</f>
        <v/>
      </c>
      <c r="P620" s="10">
        <f>IF(OR(L620="",M620="",M620="Pending"),"",O620-L620)</f>
        <v/>
      </c>
      <c r="Q620" s="21" t="n"/>
      <c r="R620" s="11">
        <f>IF(OR(G620="",Q620=""),"",G620/Q620-1)</f>
        <v/>
      </c>
      <c r="S620" s="10">
        <f>IF(OR(L620="",J620=""),"",L620*J620)</f>
        <v/>
      </c>
      <c r="T620" s="10">
        <f>IF(P620="","",StartBank+SUM(P$2:P620))</f>
        <v/>
      </c>
    </row>
    <row r="621">
      <c r="A621" s="22" t="n"/>
      <c r="G621" s="21" t="n"/>
      <c r="H621" s="11" t="n"/>
      <c r="I621" s="21">
        <f>IF(OR(H621="",H621=0),"",1/H621)</f>
        <v/>
      </c>
      <c r="J621" s="11">
        <f>IF(OR(G621="",H621=""),"",H621*G621-1)</f>
        <v/>
      </c>
      <c r="K621" s="10">
        <f>IF(OR(G621="",H621="",G621&lt;=1),"",IF(J621&lt;IF(D621="Builder",MinEdgeBuilder,IF(D621="Player",MinEdgePlayer,MinEdgeSingle)),0,ROUND(MIN(IF(D621="Single",KellySingle,KellyBuilder)*(StartBank+SUM(P$1:P620))*J621/(G621-1),IF(D621="Builder",CapBuilder,CapSingle)*Unit),2)))</f>
        <v/>
      </c>
      <c r="L621" s="10" t="n"/>
      <c r="N621" s="10" t="n"/>
      <c r="O621" s="10">
        <f>IF(L621="","",IF(M621="Won",L621*G621,IF(M621="Void",L621,IF(M621="Cash out",N(N621),IF(M621="Lost",0,"")))))</f>
        <v/>
      </c>
      <c r="P621" s="10">
        <f>IF(OR(L621="",M621="",M621="Pending"),"",O621-L621)</f>
        <v/>
      </c>
      <c r="Q621" s="21" t="n"/>
      <c r="R621" s="11">
        <f>IF(OR(G621="",Q621=""),"",G621/Q621-1)</f>
        <v/>
      </c>
      <c r="S621" s="10">
        <f>IF(OR(L621="",J621=""),"",L621*J621)</f>
        <v/>
      </c>
      <c r="T621" s="10">
        <f>IF(P621="","",StartBank+SUM(P$2:P621))</f>
        <v/>
      </c>
    </row>
    <row r="622">
      <c r="A622" s="22" t="n"/>
      <c r="G622" s="21" t="n"/>
      <c r="H622" s="11" t="n"/>
      <c r="I622" s="21">
        <f>IF(OR(H622="",H622=0),"",1/H622)</f>
        <v/>
      </c>
      <c r="J622" s="11">
        <f>IF(OR(G622="",H622=""),"",H622*G622-1)</f>
        <v/>
      </c>
      <c r="K622" s="10">
        <f>IF(OR(G622="",H622="",G622&lt;=1),"",IF(J622&lt;IF(D622="Builder",MinEdgeBuilder,IF(D622="Player",MinEdgePlayer,MinEdgeSingle)),0,ROUND(MIN(IF(D622="Single",KellySingle,KellyBuilder)*(StartBank+SUM(P$1:P621))*J622/(G622-1),IF(D622="Builder",CapBuilder,CapSingle)*Unit),2)))</f>
        <v/>
      </c>
      <c r="L622" s="10" t="n"/>
      <c r="N622" s="10" t="n"/>
      <c r="O622" s="10">
        <f>IF(L622="","",IF(M622="Won",L622*G622,IF(M622="Void",L622,IF(M622="Cash out",N(N622),IF(M622="Lost",0,"")))))</f>
        <v/>
      </c>
      <c r="P622" s="10">
        <f>IF(OR(L622="",M622="",M622="Pending"),"",O622-L622)</f>
        <v/>
      </c>
      <c r="Q622" s="21" t="n"/>
      <c r="R622" s="11">
        <f>IF(OR(G622="",Q622=""),"",G622/Q622-1)</f>
        <v/>
      </c>
      <c r="S622" s="10">
        <f>IF(OR(L622="",J622=""),"",L622*J622)</f>
        <v/>
      </c>
      <c r="T622" s="10">
        <f>IF(P622="","",StartBank+SUM(P$2:P622))</f>
        <v/>
      </c>
    </row>
    <row r="623">
      <c r="A623" s="22" t="n"/>
      <c r="G623" s="21" t="n"/>
      <c r="H623" s="11" t="n"/>
      <c r="I623" s="21">
        <f>IF(OR(H623="",H623=0),"",1/H623)</f>
        <v/>
      </c>
      <c r="J623" s="11">
        <f>IF(OR(G623="",H623=""),"",H623*G623-1)</f>
        <v/>
      </c>
      <c r="K623" s="10">
        <f>IF(OR(G623="",H623="",G623&lt;=1),"",IF(J623&lt;IF(D623="Builder",MinEdgeBuilder,IF(D623="Player",MinEdgePlayer,MinEdgeSingle)),0,ROUND(MIN(IF(D623="Single",KellySingle,KellyBuilder)*(StartBank+SUM(P$1:P622))*J623/(G623-1),IF(D623="Builder",CapBuilder,CapSingle)*Unit),2)))</f>
        <v/>
      </c>
      <c r="L623" s="10" t="n"/>
      <c r="N623" s="10" t="n"/>
      <c r="O623" s="10">
        <f>IF(L623="","",IF(M623="Won",L623*G623,IF(M623="Void",L623,IF(M623="Cash out",N(N623),IF(M623="Lost",0,"")))))</f>
        <v/>
      </c>
      <c r="P623" s="10">
        <f>IF(OR(L623="",M623="",M623="Pending"),"",O623-L623)</f>
        <v/>
      </c>
      <c r="Q623" s="21" t="n"/>
      <c r="R623" s="11">
        <f>IF(OR(G623="",Q623=""),"",G623/Q623-1)</f>
        <v/>
      </c>
      <c r="S623" s="10">
        <f>IF(OR(L623="",J623=""),"",L623*J623)</f>
        <v/>
      </c>
      <c r="T623" s="10">
        <f>IF(P623="","",StartBank+SUM(P$2:P623))</f>
        <v/>
      </c>
    </row>
    <row r="624">
      <c r="A624" s="22" t="n"/>
      <c r="G624" s="21" t="n"/>
      <c r="H624" s="11" t="n"/>
      <c r="I624" s="21">
        <f>IF(OR(H624="",H624=0),"",1/H624)</f>
        <v/>
      </c>
      <c r="J624" s="11">
        <f>IF(OR(G624="",H624=""),"",H624*G624-1)</f>
        <v/>
      </c>
      <c r="K624" s="10">
        <f>IF(OR(G624="",H624="",G624&lt;=1),"",IF(J624&lt;IF(D624="Builder",MinEdgeBuilder,IF(D624="Player",MinEdgePlayer,MinEdgeSingle)),0,ROUND(MIN(IF(D624="Single",KellySingle,KellyBuilder)*(StartBank+SUM(P$1:P623))*J624/(G624-1),IF(D624="Builder",CapBuilder,CapSingle)*Unit),2)))</f>
        <v/>
      </c>
      <c r="L624" s="10" t="n"/>
      <c r="N624" s="10" t="n"/>
      <c r="O624" s="10">
        <f>IF(L624="","",IF(M624="Won",L624*G624,IF(M624="Void",L624,IF(M624="Cash out",N(N624),IF(M624="Lost",0,"")))))</f>
        <v/>
      </c>
      <c r="P624" s="10">
        <f>IF(OR(L624="",M624="",M624="Pending"),"",O624-L624)</f>
        <v/>
      </c>
      <c r="Q624" s="21" t="n"/>
      <c r="R624" s="11">
        <f>IF(OR(G624="",Q624=""),"",G624/Q624-1)</f>
        <v/>
      </c>
      <c r="S624" s="10">
        <f>IF(OR(L624="",J624=""),"",L624*J624)</f>
        <v/>
      </c>
      <c r="T624" s="10">
        <f>IF(P624="","",StartBank+SUM(P$2:P624))</f>
        <v/>
      </c>
    </row>
    <row r="625">
      <c r="A625" s="22" t="n"/>
      <c r="G625" s="21" t="n"/>
      <c r="H625" s="11" t="n"/>
      <c r="I625" s="21">
        <f>IF(OR(H625="",H625=0),"",1/H625)</f>
        <v/>
      </c>
      <c r="J625" s="11">
        <f>IF(OR(G625="",H625=""),"",H625*G625-1)</f>
        <v/>
      </c>
      <c r="K625" s="10">
        <f>IF(OR(G625="",H625="",G625&lt;=1),"",IF(J625&lt;IF(D625="Builder",MinEdgeBuilder,IF(D625="Player",MinEdgePlayer,MinEdgeSingle)),0,ROUND(MIN(IF(D625="Single",KellySingle,KellyBuilder)*(StartBank+SUM(P$1:P624))*J625/(G625-1),IF(D625="Builder",CapBuilder,CapSingle)*Unit),2)))</f>
        <v/>
      </c>
      <c r="L625" s="10" t="n"/>
      <c r="N625" s="10" t="n"/>
      <c r="O625" s="10">
        <f>IF(L625="","",IF(M625="Won",L625*G625,IF(M625="Void",L625,IF(M625="Cash out",N(N625),IF(M625="Lost",0,"")))))</f>
        <v/>
      </c>
      <c r="P625" s="10">
        <f>IF(OR(L625="",M625="",M625="Pending"),"",O625-L625)</f>
        <v/>
      </c>
      <c r="Q625" s="21" t="n"/>
      <c r="R625" s="11">
        <f>IF(OR(G625="",Q625=""),"",G625/Q625-1)</f>
        <v/>
      </c>
      <c r="S625" s="10">
        <f>IF(OR(L625="",J625=""),"",L625*J625)</f>
        <v/>
      </c>
      <c r="T625" s="10">
        <f>IF(P625="","",StartBank+SUM(P$2:P625))</f>
        <v/>
      </c>
    </row>
    <row r="626">
      <c r="A626" s="22" t="n"/>
      <c r="G626" s="21" t="n"/>
      <c r="H626" s="11" t="n"/>
      <c r="I626" s="21">
        <f>IF(OR(H626="",H626=0),"",1/H626)</f>
        <v/>
      </c>
      <c r="J626" s="11">
        <f>IF(OR(G626="",H626=""),"",H626*G626-1)</f>
        <v/>
      </c>
      <c r="K626" s="10">
        <f>IF(OR(G626="",H626="",G626&lt;=1),"",IF(J626&lt;IF(D626="Builder",MinEdgeBuilder,IF(D626="Player",MinEdgePlayer,MinEdgeSingle)),0,ROUND(MIN(IF(D626="Single",KellySingle,KellyBuilder)*(StartBank+SUM(P$1:P625))*J626/(G626-1),IF(D626="Builder",CapBuilder,CapSingle)*Unit),2)))</f>
        <v/>
      </c>
      <c r="L626" s="10" t="n"/>
      <c r="N626" s="10" t="n"/>
      <c r="O626" s="10">
        <f>IF(L626="","",IF(M626="Won",L626*G626,IF(M626="Void",L626,IF(M626="Cash out",N(N626),IF(M626="Lost",0,"")))))</f>
        <v/>
      </c>
      <c r="P626" s="10">
        <f>IF(OR(L626="",M626="",M626="Pending"),"",O626-L626)</f>
        <v/>
      </c>
      <c r="Q626" s="21" t="n"/>
      <c r="R626" s="11">
        <f>IF(OR(G626="",Q626=""),"",G626/Q626-1)</f>
        <v/>
      </c>
      <c r="S626" s="10">
        <f>IF(OR(L626="",J626=""),"",L626*J626)</f>
        <v/>
      </c>
      <c r="T626" s="10">
        <f>IF(P626="","",StartBank+SUM(P$2:P626))</f>
        <v/>
      </c>
    </row>
    <row r="627">
      <c r="A627" s="22" t="n"/>
      <c r="G627" s="21" t="n"/>
      <c r="H627" s="11" t="n"/>
      <c r="I627" s="21">
        <f>IF(OR(H627="",H627=0),"",1/H627)</f>
        <v/>
      </c>
      <c r="J627" s="11">
        <f>IF(OR(G627="",H627=""),"",H627*G627-1)</f>
        <v/>
      </c>
      <c r="K627" s="10">
        <f>IF(OR(G627="",H627="",G627&lt;=1),"",IF(J627&lt;IF(D627="Builder",MinEdgeBuilder,IF(D627="Player",MinEdgePlayer,MinEdgeSingle)),0,ROUND(MIN(IF(D627="Single",KellySingle,KellyBuilder)*(StartBank+SUM(P$1:P626))*J627/(G627-1),IF(D627="Builder",CapBuilder,CapSingle)*Unit),2)))</f>
        <v/>
      </c>
      <c r="L627" s="10" t="n"/>
      <c r="N627" s="10" t="n"/>
      <c r="O627" s="10">
        <f>IF(L627="","",IF(M627="Won",L627*G627,IF(M627="Void",L627,IF(M627="Cash out",N(N627),IF(M627="Lost",0,"")))))</f>
        <v/>
      </c>
      <c r="P627" s="10">
        <f>IF(OR(L627="",M627="",M627="Pending"),"",O627-L627)</f>
        <v/>
      </c>
      <c r="Q627" s="21" t="n"/>
      <c r="R627" s="11">
        <f>IF(OR(G627="",Q627=""),"",G627/Q627-1)</f>
        <v/>
      </c>
      <c r="S627" s="10">
        <f>IF(OR(L627="",J627=""),"",L627*J627)</f>
        <v/>
      </c>
      <c r="T627" s="10">
        <f>IF(P627="","",StartBank+SUM(P$2:P627))</f>
        <v/>
      </c>
    </row>
    <row r="628">
      <c r="A628" s="22" t="n"/>
      <c r="G628" s="21" t="n"/>
      <c r="H628" s="11" t="n"/>
      <c r="I628" s="21">
        <f>IF(OR(H628="",H628=0),"",1/H628)</f>
        <v/>
      </c>
      <c r="J628" s="11">
        <f>IF(OR(G628="",H628=""),"",H628*G628-1)</f>
        <v/>
      </c>
      <c r="K628" s="10">
        <f>IF(OR(G628="",H628="",G628&lt;=1),"",IF(J628&lt;IF(D628="Builder",MinEdgeBuilder,IF(D628="Player",MinEdgePlayer,MinEdgeSingle)),0,ROUND(MIN(IF(D628="Single",KellySingle,KellyBuilder)*(StartBank+SUM(P$1:P627))*J628/(G628-1),IF(D628="Builder",CapBuilder,CapSingle)*Unit),2)))</f>
        <v/>
      </c>
      <c r="L628" s="10" t="n"/>
      <c r="N628" s="10" t="n"/>
      <c r="O628" s="10">
        <f>IF(L628="","",IF(M628="Won",L628*G628,IF(M628="Void",L628,IF(M628="Cash out",N(N628),IF(M628="Lost",0,"")))))</f>
        <v/>
      </c>
      <c r="P628" s="10">
        <f>IF(OR(L628="",M628="",M628="Pending"),"",O628-L628)</f>
        <v/>
      </c>
      <c r="Q628" s="21" t="n"/>
      <c r="R628" s="11">
        <f>IF(OR(G628="",Q628=""),"",G628/Q628-1)</f>
        <v/>
      </c>
      <c r="S628" s="10">
        <f>IF(OR(L628="",J628=""),"",L628*J628)</f>
        <v/>
      </c>
      <c r="T628" s="10">
        <f>IF(P628="","",StartBank+SUM(P$2:P628))</f>
        <v/>
      </c>
    </row>
    <row r="629">
      <c r="A629" s="22" t="n"/>
      <c r="G629" s="21" t="n"/>
      <c r="H629" s="11" t="n"/>
      <c r="I629" s="21">
        <f>IF(OR(H629="",H629=0),"",1/H629)</f>
        <v/>
      </c>
      <c r="J629" s="11">
        <f>IF(OR(G629="",H629=""),"",H629*G629-1)</f>
        <v/>
      </c>
      <c r="K629" s="10">
        <f>IF(OR(G629="",H629="",G629&lt;=1),"",IF(J629&lt;IF(D629="Builder",MinEdgeBuilder,IF(D629="Player",MinEdgePlayer,MinEdgeSingle)),0,ROUND(MIN(IF(D629="Single",KellySingle,KellyBuilder)*(StartBank+SUM(P$1:P628))*J629/(G629-1),IF(D629="Builder",CapBuilder,CapSingle)*Unit),2)))</f>
        <v/>
      </c>
      <c r="L629" s="10" t="n"/>
      <c r="N629" s="10" t="n"/>
      <c r="O629" s="10">
        <f>IF(L629="","",IF(M629="Won",L629*G629,IF(M629="Void",L629,IF(M629="Cash out",N(N629),IF(M629="Lost",0,"")))))</f>
        <v/>
      </c>
      <c r="P629" s="10">
        <f>IF(OR(L629="",M629="",M629="Pending"),"",O629-L629)</f>
        <v/>
      </c>
      <c r="Q629" s="21" t="n"/>
      <c r="R629" s="11">
        <f>IF(OR(G629="",Q629=""),"",G629/Q629-1)</f>
        <v/>
      </c>
      <c r="S629" s="10">
        <f>IF(OR(L629="",J629=""),"",L629*J629)</f>
        <v/>
      </c>
      <c r="T629" s="10">
        <f>IF(P629="","",StartBank+SUM(P$2:P629))</f>
        <v/>
      </c>
    </row>
    <row r="630">
      <c r="A630" s="22" t="n"/>
      <c r="G630" s="21" t="n"/>
      <c r="H630" s="11" t="n"/>
      <c r="I630" s="21">
        <f>IF(OR(H630="",H630=0),"",1/H630)</f>
        <v/>
      </c>
      <c r="J630" s="11">
        <f>IF(OR(G630="",H630=""),"",H630*G630-1)</f>
        <v/>
      </c>
      <c r="K630" s="10">
        <f>IF(OR(G630="",H630="",G630&lt;=1),"",IF(J630&lt;IF(D630="Builder",MinEdgeBuilder,IF(D630="Player",MinEdgePlayer,MinEdgeSingle)),0,ROUND(MIN(IF(D630="Single",KellySingle,KellyBuilder)*(StartBank+SUM(P$1:P629))*J630/(G630-1),IF(D630="Builder",CapBuilder,CapSingle)*Unit),2)))</f>
        <v/>
      </c>
      <c r="L630" s="10" t="n"/>
      <c r="N630" s="10" t="n"/>
      <c r="O630" s="10">
        <f>IF(L630="","",IF(M630="Won",L630*G630,IF(M630="Void",L630,IF(M630="Cash out",N(N630),IF(M630="Lost",0,"")))))</f>
        <v/>
      </c>
      <c r="P630" s="10">
        <f>IF(OR(L630="",M630="",M630="Pending"),"",O630-L630)</f>
        <v/>
      </c>
      <c r="Q630" s="21" t="n"/>
      <c r="R630" s="11">
        <f>IF(OR(G630="",Q630=""),"",G630/Q630-1)</f>
        <v/>
      </c>
      <c r="S630" s="10">
        <f>IF(OR(L630="",J630=""),"",L630*J630)</f>
        <v/>
      </c>
      <c r="T630" s="10">
        <f>IF(P630="","",StartBank+SUM(P$2:P630))</f>
        <v/>
      </c>
    </row>
    <row r="631">
      <c r="A631" s="22" t="n"/>
      <c r="G631" s="21" t="n"/>
      <c r="H631" s="11" t="n"/>
      <c r="I631" s="21">
        <f>IF(OR(H631="",H631=0),"",1/H631)</f>
        <v/>
      </c>
      <c r="J631" s="11">
        <f>IF(OR(G631="",H631=""),"",H631*G631-1)</f>
        <v/>
      </c>
      <c r="K631" s="10">
        <f>IF(OR(G631="",H631="",G631&lt;=1),"",IF(J631&lt;IF(D631="Builder",MinEdgeBuilder,IF(D631="Player",MinEdgePlayer,MinEdgeSingle)),0,ROUND(MIN(IF(D631="Single",KellySingle,KellyBuilder)*(StartBank+SUM(P$1:P630))*J631/(G631-1),IF(D631="Builder",CapBuilder,CapSingle)*Unit),2)))</f>
        <v/>
      </c>
      <c r="L631" s="10" t="n"/>
      <c r="N631" s="10" t="n"/>
      <c r="O631" s="10">
        <f>IF(L631="","",IF(M631="Won",L631*G631,IF(M631="Void",L631,IF(M631="Cash out",N(N631),IF(M631="Lost",0,"")))))</f>
        <v/>
      </c>
      <c r="P631" s="10">
        <f>IF(OR(L631="",M631="",M631="Pending"),"",O631-L631)</f>
        <v/>
      </c>
      <c r="Q631" s="21" t="n"/>
      <c r="R631" s="11">
        <f>IF(OR(G631="",Q631=""),"",G631/Q631-1)</f>
        <v/>
      </c>
      <c r="S631" s="10">
        <f>IF(OR(L631="",J631=""),"",L631*J631)</f>
        <v/>
      </c>
      <c r="T631" s="10">
        <f>IF(P631="","",StartBank+SUM(P$2:P631))</f>
        <v/>
      </c>
    </row>
    <row r="632">
      <c r="A632" s="22" t="n"/>
      <c r="G632" s="21" t="n"/>
      <c r="H632" s="11" t="n"/>
      <c r="I632" s="21">
        <f>IF(OR(H632="",H632=0),"",1/H632)</f>
        <v/>
      </c>
      <c r="J632" s="11">
        <f>IF(OR(G632="",H632=""),"",H632*G632-1)</f>
        <v/>
      </c>
      <c r="K632" s="10">
        <f>IF(OR(G632="",H632="",G632&lt;=1),"",IF(J632&lt;IF(D632="Builder",MinEdgeBuilder,IF(D632="Player",MinEdgePlayer,MinEdgeSingle)),0,ROUND(MIN(IF(D632="Single",KellySingle,KellyBuilder)*(StartBank+SUM(P$1:P631))*J632/(G632-1),IF(D632="Builder",CapBuilder,CapSingle)*Unit),2)))</f>
        <v/>
      </c>
      <c r="L632" s="10" t="n"/>
      <c r="N632" s="10" t="n"/>
      <c r="O632" s="10">
        <f>IF(L632="","",IF(M632="Won",L632*G632,IF(M632="Void",L632,IF(M632="Cash out",N(N632),IF(M632="Lost",0,"")))))</f>
        <v/>
      </c>
      <c r="P632" s="10">
        <f>IF(OR(L632="",M632="",M632="Pending"),"",O632-L632)</f>
        <v/>
      </c>
      <c r="Q632" s="21" t="n"/>
      <c r="R632" s="11">
        <f>IF(OR(G632="",Q632=""),"",G632/Q632-1)</f>
        <v/>
      </c>
      <c r="S632" s="10">
        <f>IF(OR(L632="",J632=""),"",L632*J632)</f>
        <v/>
      </c>
      <c r="T632" s="10">
        <f>IF(P632="","",StartBank+SUM(P$2:P632))</f>
        <v/>
      </c>
    </row>
    <row r="633">
      <c r="A633" s="22" t="n"/>
      <c r="G633" s="21" t="n"/>
      <c r="H633" s="11" t="n"/>
      <c r="I633" s="21">
        <f>IF(OR(H633="",H633=0),"",1/H633)</f>
        <v/>
      </c>
      <c r="J633" s="11">
        <f>IF(OR(G633="",H633=""),"",H633*G633-1)</f>
        <v/>
      </c>
      <c r="K633" s="10">
        <f>IF(OR(G633="",H633="",G633&lt;=1),"",IF(J633&lt;IF(D633="Builder",MinEdgeBuilder,IF(D633="Player",MinEdgePlayer,MinEdgeSingle)),0,ROUND(MIN(IF(D633="Single",KellySingle,KellyBuilder)*(StartBank+SUM(P$1:P632))*J633/(G633-1),IF(D633="Builder",CapBuilder,CapSingle)*Unit),2)))</f>
        <v/>
      </c>
      <c r="L633" s="10" t="n"/>
      <c r="N633" s="10" t="n"/>
      <c r="O633" s="10">
        <f>IF(L633="","",IF(M633="Won",L633*G633,IF(M633="Void",L633,IF(M633="Cash out",N(N633),IF(M633="Lost",0,"")))))</f>
        <v/>
      </c>
      <c r="P633" s="10">
        <f>IF(OR(L633="",M633="",M633="Pending"),"",O633-L633)</f>
        <v/>
      </c>
      <c r="Q633" s="21" t="n"/>
      <c r="R633" s="11">
        <f>IF(OR(G633="",Q633=""),"",G633/Q633-1)</f>
        <v/>
      </c>
      <c r="S633" s="10">
        <f>IF(OR(L633="",J633=""),"",L633*J633)</f>
        <v/>
      </c>
      <c r="T633" s="10">
        <f>IF(P633="","",StartBank+SUM(P$2:P633))</f>
        <v/>
      </c>
    </row>
    <row r="634">
      <c r="A634" s="22" t="n"/>
      <c r="G634" s="21" t="n"/>
      <c r="H634" s="11" t="n"/>
      <c r="I634" s="21">
        <f>IF(OR(H634="",H634=0),"",1/H634)</f>
        <v/>
      </c>
      <c r="J634" s="11">
        <f>IF(OR(G634="",H634=""),"",H634*G634-1)</f>
        <v/>
      </c>
      <c r="K634" s="10">
        <f>IF(OR(G634="",H634="",G634&lt;=1),"",IF(J634&lt;IF(D634="Builder",MinEdgeBuilder,IF(D634="Player",MinEdgePlayer,MinEdgeSingle)),0,ROUND(MIN(IF(D634="Single",KellySingle,KellyBuilder)*(StartBank+SUM(P$1:P633))*J634/(G634-1),IF(D634="Builder",CapBuilder,CapSingle)*Unit),2)))</f>
        <v/>
      </c>
      <c r="L634" s="10" t="n"/>
      <c r="N634" s="10" t="n"/>
      <c r="O634" s="10">
        <f>IF(L634="","",IF(M634="Won",L634*G634,IF(M634="Void",L634,IF(M634="Cash out",N(N634),IF(M634="Lost",0,"")))))</f>
        <v/>
      </c>
      <c r="P634" s="10">
        <f>IF(OR(L634="",M634="",M634="Pending"),"",O634-L634)</f>
        <v/>
      </c>
      <c r="Q634" s="21" t="n"/>
      <c r="R634" s="11">
        <f>IF(OR(G634="",Q634=""),"",G634/Q634-1)</f>
        <v/>
      </c>
      <c r="S634" s="10">
        <f>IF(OR(L634="",J634=""),"",L634*J634)</f>
        <v/>
      </c>
      <c r="T634" s="10">
        <f>IF(P634="","",StartBank+SUM(P$2:P634))</f>
        <v/>
      </c>
    </row>
    <row r="635">
      <c r="A635" s="22" t="n"/>
      <c r="G635" s="21" t="n"/>
      <c r="H635" s="11" t="n"/>
      <c r="I635" s="21">
        <f>IF(OR(H635="",H635=0),"",1/H635)</f>
        <v/>
      </c>
      <c r="J635" s="11">
        <f>IF(OR(G635="",H635=""),"",H635*G635-1)</f>
        <v/>
      </c>
      <c r="K635" s="10">
        <f>IF(OR(G635="",H635="",G635&lt;=1),"",IF(J635&lt;IF(D635="Builder",MinEdgeBuilder,IF(D635="Player",MinEdgePlayer,MinEdgeSingle)),0,ROUND(MIN(IF(D635="Single",KellySingle,KellyBuilder)*(StartBank+SUM(P$1:P634))*J635/(G635-1),IF(D635="Builder",CapBuilder,CapSingle)*Unit),2)))</f>
        <v/>
      </c>
      <c r="L635" s="10" t="n"/>
      <c r="N635" s="10" t="n"/>
      <c r="O635" s="10">
        <f>IF(L635="","",IF(M635="Won",L635*G635,IF(M635="Void",L635,IF(M635="Cash out",N(N635),IF(M635="Lost",0,"")))))</f>
        <v/>
      </c>
      <c r="P635" s="10">
        <f>IF(OR(L635="",M635="",M635="Pending"),"",O635-L635)</f>
        <v/>
      </c>
      <c r="Q635" s="21" t="n"/>
      <c r="R635" s="11">
        <f>IF(OR(G635="",Q635=""),"",G635/Q635-1)</f>
        <v/>
      </c>
      <c r="S635" s="10">
        <f>IF(OR(L635="",J635=""),"",L635*J635)</f>
        <v/>
      </c>
      <c r="T635" s="10">
        <f>IF(P635="","",StartBank+SUM(P$2:P635))</f>
        <v/>
      </c>
    </row>
    <row r="636">
      <c r="A636" s="22" t="n"/>
      <c r="G636" s="21" t="n"/>
      <c r="H636" s="11" t="n"/>
      <c r="I636" s="21">
        <f>IF(OR(H636="",H636=0),"",1/H636)</f>
        <v/>
      </c>
      <c r="J636" s="11">
        <f>IF(OR(G636="",H636=""),"",H636*G636-1)</f>
        <v/>
      </c>
      <c r="K636" s="10">
        <f>IF(OR(G636="",H636="",G636&lt;=1),"",IF(J636&lt;IF(D636="Builder",MinEdgeBuilder,IF(D636="Player",MinEdgePlayer,MinEdgeSingle)),0,ROUND(MIN(IF(D636="Single",KellySingle,KellyBuilder)*(StartBank+SUM(P$1:P635))*J636/(G636-1),IF(D636="Builder",CapBuilder,CapSingle)*Unit),2)))</f>
        <v/>
      </c>
      <c r="L636" s="10" t="n"/>
      <c r="N636" s="10" t="n"/>
      <c r="O636" s="10">
        <f>IF(L636="","",IF(M636="Won",L636*G636,IF(M636="Void",L636,IF(M636="Cash out",N(N636),IF(M636="Lost",0,"")))))</f>
        <v/>
      </c>
      <c r="P636" s="10">
        <f>IF(OR(L636="",M636="",M636="Pending"),"",O636-L636)</f>
        <v/>
      </c>
      <c r="Q636" s="21" t="n"/>
      <c r="R636" s="11">
        <f>IF(OR(G636="",Q636=""),"",G636/Q636-1)</f>
        <v/>
      </c>
      <c r="S636" s="10">
        <f>IF(OR(L636="",J636=""),"",L636*J636)</f>
        <v/>
      </c>
      <c r="T636" s="10">
        <f>IF(P636="","",StartBank+SUM(P$2:P636))</f>
        <v/>
      </c>
    </row>
    <row r="637">
      <c r="A637" s="22" t="n"/>
      <c r="G637" s="21" t="n"/>
      <c r="H637" s="11" t="n"/>
      <c r="I637" s="21">
        <f>IF(OR(H637="",H637=0),"",1/H637)</f>
        <v/>
      </c>
      <c r="J637" s="11">
        <f>IF(OR(G637="",H637=""),"",H637*G637-1)</f>
        <v/>
      </c>
      <c r="K637" s="10">
        <f>IF(OR(G637="",H637="",G637&lt;=1),"",IF(J637&lt;IF(D637="Builder",MinEdgeBuilder,IF(D637="Player",MinEdgePlayer,MinEdgeSingle)),0,ROUND(MIN(IF(D637="Single",KellySingle,KellyBuilder)*(StartBank+SUM(P$1:P636))*J637/(G637-1),IF(D637="Builder",CapBuilder,CapSingle)*Unit),2)))</f>
        <v/>
      </c>
      <c r="L637" s="10" t="n"/>
      <c r="N637" s="10" t="n"/>
      <c r="O637" s="10">
        <f>IF(L637="","",IF(M637="Won",L637*G637,IF(M637="Void",L637,IF(M637="Cash out",N(N637),IF(M637="Lost",0,"")))))</f>
        <v/>
      </c>
      <c r="P637" s="10">
        <f>IF(OR(L637="",M637="",M637="Pending"),"",O637-L637)</f>
        <v/>
      </c>
      <c r="Q637" s="21" t="n"/>
      <c r="R637" s="11">
        <f>IF(OR(G637="",Q637=""),"",G637/Q637-1)</f>
        <v/>
      </c>
      <c r="S637" s="10">
        <f>IF(OR(L637="",J637=""),"",L637*J637)</f>
        <v/>
      </c>
      <c r="T637" s="10">
        <f>IF(P637="","",StartBank+SUM(P$2:P637))</f>
        <v/>
      </c>
    </row>
    <row r="638">
      <c r="A638" s="22" t="n"/>
      <c r="G638" s="21" t="n"/>
      <c r="H638" s="11" t="n"/>
      <c r="I638" s="21">
        <f>IF(OR(H638="",H638=0),"",1/H638)</f>
        <v/>
      </c>
      <c r="J638" s="11">
        <f>IF(OR(G638="",H638=""),"",H638*G638-1)</f>
        <v/>
      </c>
      <c r="K638" s="10">
        <f>IF(OR(G638="",H638="",G638&lt;=1),"",IF(J638&lt;IF(D638="Builder",MinEdgeBuilder,IF(D638="Player",MinEdgePlayer,MinEdgeSingle)),0,ROUND(MIN(IF(D638="Single",KellySingle,KellyBuilder)*(StartBank+SUM(P$1:P637))*J638/(G638-1),IF(D638="Builder",CapBuilder,CapSingle)*Unit),2)))</f>
        <v/>
      </c>
      <c r="L638" s="10" t="n"/>
      <c r="N638" s="10" t="n"/>
      <c r="O638" s="10">
        <f>IF(L638="","",IF(M638="Won",L638*G638,IF(M638="Void",L638,IF(M638="Cash out",N(N638),IF(M638="Lost",0,"")))))</f>
        <v/>
      </c>
      <c r="P638" s="10">
        <f>IF(OR(L638="",M638="",M638="Pending"),"",O638-L638)</f>
        <v/>
      </c>
      <c r="Q638" s="21" t="n"/>
      <c r="R638" s="11">
        <f>IF(OR(G638="",Q638=""),"",G638/Q638-1)</f>
        <v/>
      </c>
      <c r="S638" s="10">
        <f>IF(OR(L638="",J638=""),"",L638*J638)</f>
        <v/>
      </c>
      <c r="T638" s="10">
        <f>IF(P638="","",StartBank+SUM(P$2:P638))</f>
        <v/>
      </c>
    </row>
    <row r="639">
      <c r="A639" s="22" t="n"/>
      <c r="G639" s="21" t="n"/>
      <c r="H639" s="11" t="n"/>
      <c r="I639" s="21">
        <f>IF(OR(H639="",H639=0),"",1/H639)</f>
        <v/>
      </c>
      <c r="J639" s="11">
        <f>IF(OR(G639="",H639=""),"",H639*G639-1)</f>
        <v/>
      </c>
      <c r="K639" s="10">
        <f>IF(OR(G639="",H639="",G639&lt;=1),"",IF(J639&lt;IF(D639="Builder",MinEdgeBuilder,IF(D639="Player",MinEdgePlayer,MinEdgeSingle)),0,ROUND(MIN(IF(D639="Single",KellySingle,KellyBuilder)*(StartBank+SUM(P$1:P638))*J639/(G639-1),IF(D639="Builder",CapBuilder,CapSingle)*Unit),2)))</f>
        <v/>
      </c>
      <c r="L639" s="10" t="n"/>
      <c r="N639" s="10" t="n"/>
      <c r="O639" s="10">
        <f>IF(L639="","",IF(M639="Won",L639*G639,IF(M639="Void",L639,IF(M639="Cash out",N(N639),IF(M639="Lost",0,"")))))</f>
        <v/>
      </c>
      <c r="P639" s="10">
        <f>IF(OR(L639="",M639="",M639="Pending"),"",O639-L639)</f>
        <v/>
      </c>
      <c r="Q639" s="21" t="n"/>
      <c r="R639" s="11">
        <f>IF(OR(G639="",Q639=""),"",G639/Q639-1)</f>
        <v/>
      </c>
      <c r="S639" s="10">
        <f>IF(OR(L639="",J639=""),"",L639*J639)</f>
        <v/>
      </c>
      <c r="T639" s="10">
        <f>IF(P639="","",StartBank+SUM(P$2:P639))</f>
        <v/>
      </c>
    </row>
    <row r="640">
      <c r="A640" s="22" t="n"/>
      <c r="G640" s="21" t="n"/>
      <c r="H640" s="11" t="n"/>
      <c r="I640" s="21">
        <f>IF(OR(H640="",H640=0),"",1/H640)</f>
        <v/>
      </c>
      <c r="J640" s="11">
        <f>IF(OR(G640="",H640=""),"",H640*G640-1)</f>
        <v/>
      </c>
      <c r="K640" s="10">
        <f>IF(OR(G640="",H640="",G640&lt;=1),"",IF(J640&lt;IF(D640="Builder",MinEdgeBuilder,IF(D640="Player",MinEdgePlayer,MinEdgeSingle)),0,ROUND(MIN(IF(D640="Single",KellySingle,KellyBuilder)*(StartBank+SUM(P$1:P639))*J640/(G640-1),IF(D640="Builder",CapBuilder,CapSingle)*Unit),2)))</f>
        <v/>
      </c>
      <c r="L640" s="10" t="n"/>
      <c r="N640" s="10" t="n"/>
      <c r="O640" s="10">
        <f>IF(L640="","",IF(M640="Won",L640*G640,IF(M640="Void",L640,IF(M640="Cash out",N(N640),IF(M640="Lost",0,"")))))</f>
        <v/>
      </c>
      <c r="P640" s="10">
        <f>IF(OR(L640="",M640="",M640="Pending"),"",O640-L640)</f>
        <v/>
      </c>
      <c r="Q640" s="21" t="n"/>
      <c r="R640" s="11">
        <f>IF(OR(G640="",Q640=""),"",G640/Q640-1)</f>
        <v/>
      </c>
      <c r="S640" s="10">
        <f>IF(OR(L640="",J640=""),"",L640*J640)</f>
        <v/>
      </c>
      <c r="T640" s="10">
        <f>IF(P640="","",StartBank+SUM(P$2:P640))</f>
        <v/>
      </c>
    </row>
    <row r="641">
      <c r="A641" s="22" t="n"/>
      <c r="G641" s="21" t="n"/>
      <c r="H641" s="11" t="n"/>
      <c r="I641" s="21">
        <f>IF(OR(H641="",H641=0),"",1/H641)</f>
        <v/>
      </c>
      <c r="J641" s="11">
        <f>IF(OR(G641="",H641=""),"",H641*G641-1)</f>
        <v/>
      </c>
      <c r="K641" s="10">
        <f>IF(OR(G641="",H641="",G641&lt;=1),"",IF(J641&lt;IF(D641="Builder",MinEdgeBuilder,IF(D641="Player",MinEdgePlayer,MinEdgeSingle)),0,ROUND(MIN(IF(D641="Single",KellySingle,KellyBuilder)*(StartBank+SUM(P$1:P640))*J641/(G641-1),IF(D641="Builder",CapBuilder,CapSingle)*Unit),2)))</f>
        <v/>
      </c>
      <c r="L641" s="10" t="n"/>
      <c r="N641" s="10" t="n"/>
      <c r="O641" s="10">
        <f>IF(L641="","",IF(M641="Won",L641*G641,IF(M641="Void",L641,IF(M641="Cash out",N(N641),IF(M641="Lost",0,"")))))</f>
        <v/>
      </c>
      <c r="P641" s="10">
        <f>IF(OR(L641="",M641="",M641="Pending"),"",O641-L641)</f>
        <v/>
      </c>
      <c r="Q641" s="21" t="n"/>
      <c r="R641" s="11">
        <f>IF(OR(G641="",Q641=""),"",G641/Q641-1)</f>
        <v/>
      </c>
      <c r="S641" s="10">
        <f>IF(OR(L641="",J641=""),"",L641*J641)</f>
        <v/>
      </c>
      <c r="T641" s="10">
        <f>IF(P641="","",StartBank+SUM(P$2:P641))</f>
        <v/>
      </c>
    </row>
    <row r="642">
      <c r="A642" s="22" t="n"/>
      <c r="G642" s="21" t="n"/>
      <c r="H642" s="11" t="n"/>
      <c r="I642" s="21">
        <f>IF(OR(H642="",H642=0),"",1/H642)</f>
        <v/>
      </c>
      <c r="J642" s="11">
        <f>IF(OR(G642="",H642=""),"",H642*G642-1)</f>
        <v/>
      </c>
      <c r="K642" s="10">
        <f>IF(OR(G642="",H642="",G642&lt;=1),"",IF(J642&lt;IF(D642="Builder",MinEdgeBuilder,IF(D642="Player",MinEdgePlayer,MinEdgeSingle)),0,ROUND(MIN(IF(D642="Single",KellySingle,KellyBuilder)*(StartBank+SUM(P$1:P641))*J642/(G642-1),IF(D642="Builder",CapBuilder,CapSingle)*Unit),2)))</f>
        <v/>
      </c>
      <c r="L642" s="10" t="n"/>
      <c r="N642" s="10" t="n"/>
      <c r="O642" s="10">
        <f>IF(L642="","",IF(M642="Won",L642*G642,IF(M642="Void",L642,IF(M642="Cash out",N(N642),IF(M642="Lost",0,"")))))</f>
        <v/>
      </c>
      <c r="P642" s="10">
        <f>IF(OR(L642="",M642="",M642="Pending"),"",O642-L642)</f>
        <v/>
      </c>
      <c r="Q642" s="21" t="n"/>
      <c r="R642" s="11">
        <f>IF(OR(G642="",Q642=""),"",G642/Q642-1)</f>
        <v/>
      </c>
      <c r="S642" s="10">
        <f>IF(OR(L642="",J642=""),"",L642*J642)</f>
        <v/>
      </c>
      <c r="T642" s="10">
        <f>IF(P642="","",StartBank+SUM(P$2:P642))</f>
        <v/>
      </c>
    </row>
    <row r="643">
      <c r="A643" s="22" t="n"/>
      <c r="G643" s="21" t="n"/>
      <c r="H643" s="11" t="n"/>
      <c r="I643" s="21">
        <f>IF(OR(H643="",H643=0),"",1/H643)</f>
        <v/>
      </c>
      <c r="J643" s="11">
        <f>IF(OR(G643="",H643=""),"",H643*G643-1)</f>
        <v/>
      </c>
      <c r="K643" s="10">
        <f>IF(OR(G643="",H643="",G643&lt;=1),"",IF(J643&lt;IF(D643="Builder",MinEdgeBuilder,IF(D643="Player",MinEdgePlayer,MinEdgeSingle)),0,ROUND(MIN(IF(D643="Single",KellySingle,KellyBuilder)*(StartBank+SUM(P$1:P642))*J643/(G643-1),IF(D643="Builder",CapBuilder,CapSingle)*Unit),2)))</f>
        <v/>
      </c>
      <c r="L643" s="10" t="n"/>
      <c r="N643" s="10" t="n"/>
      <c r="O643" s="10">
        <f>IF(L643="","",IF(M643="Won",L643*G643,IF(M643="Void",L643,IF(M643="Cash out",N(N643),IF(M643="Lost",0,"")))))</f>
        <v/>
      </c>
      <c r="P643" s="10">
        <f>IF(OR(L643="",M643="",M643="Pending"),"",O643-L643)</f>
        <v/>
      </c>
      <c r="Q643" s="21" t="n"/>
      <c r="R643" s="11">
        <f>IF(OR(G643="",Q643=""),"",G643/Q643-1)</f>
        <v/>
      </c>
      <c r="S643" s="10">
        <f>IF(OR(L643="",J643=""),"",L643*J643)</f>
        <v/>
      </c>
      <c r="T643" s="10">
        <f>IF(P643="","",StartBank+SUM(P$2:P643))</f>
        <v/>
      </c>
    </row>
    <row r="644">
      <c r="A644" s="22" t="n"/>
      <c r="G644" s="21" t="n"/>
      <c r="H644" s="11" t="n"/>
      <c r="I644" s="21">
        <f>IF(OR(H644="",H644=0),"",1/H644)</f>
        <v/>
      </c>
      <c r="J644" s="11">
        <f>IF(OR(G644="",H644=""),"",H644*G644-1)</f>
        <v/>
      </c>
      <c r="K644" s="10">
        <f>IF(OR(G644="",H644="",G644&lt;=1),"",IF(J644&lt;IF(D644="Builder",MinEdgeBuilder,IF(D644="Player",MinEdgePlayer,MinEdgeSingle)),0,ROUND(MIN(IF(D644="Single",KellySingle,KellyBuilder)*(StartBank+SUM(P$1:P643))*J644/(G644-1),IF(D644="Builder",CapBuilder,CapSingle)*Unit),2)))</f>
        <v/>
      </c>
      <c r="L644" s="10" t="n"/>
      <c r="N644" s="10" t="n"/>
      <c r="O644" s="10">
        <f>IF(L644="","",IF(M644="Won",L644*G644,IF(M644="Void",L644,IF(M644="Cash out",N(N644),IF(M644="Lost",0,"")))))</f>
        <v/>
      </c>
      <c r="P644" s="10">
        <f>IF(OR(L644="",M644="",M644="Pending"),"",O644-L644)</f>
        <v/>
      </c>
      <c r="Q644" s="21" t="n"/>
      <c r="R644" s="11">
        <f>IF(OR(G644="",Q644=""),"",G644/Q644-1)</f>
        <v/>
      </c>
      <c r="S644" s="10">
        <f>IF(OR(L644="",J644=""),"",L644*J644)</f>
        <v/>
      </c>
      <c r="T644" s="10">
        <f>IF(P644="","",StartBank+SUM(P$2:P644))</f>
        <v/>
      </c>
    </row>
    <row r="645">
      <c r="A645" s="22" t="n"/>
      <c r="G645" s="21" t="n"/>
      <c r="H645" s="11" t="n"/>
      <c r="I645" s="21">
        <f>IF(OR(H645="",H645=0),"",1/H645)</f>
        <v/>
      </c>
      <c r="J645" s="11">
        <f>IF(OR(G645="",H645=""),"",H645*G645-1)</f>
        <v/>
      </c>
      <c r="K645" s="10">
        <f>IF(OR(G645="",H645="",G645&lt;=1),"",IF(J645&lt;IF(D645="Builder",MinEdgeBuilder,IF(D645="Player",MinEdgePlayer,MinEdgeSingle)),0,ROUND(MIN(IF(D645="Single",KellySingle,KellyBuilder)*(StartBank+SUM(P$1:P644))*J645/(G645-1),IF(D645="Builder",CapBuilder,CapSingle)*Unit),2)))</f>
        <v/>
      </c>
      <c r="L645" s="10" t="n"/>
      <c r="N645" s="10" t="n"/>
      <c r="O645" s="10">
        <f>IF(L645="","",IF(M645="Won",L645*G645,IF(M645="Void",L645,IF(M645="Cash out",N(N645),IF(M645="Lost",0,"")))))</f>
        <v/>
      </c>
      <c r="P645" s="10">
        <f>IF(OR(L645="",M645="",M645="Pending"),"",O645-L645)</f>
        <v/>
      </c>
      <c r="Q645" s="21" t="n"/>
      <c r="R645" s="11">
        <f>IF(OR(G645="",Q645=""),"",G645/Q645-1)</f>
        <v/>
      </c>
      <c r="S645" s="10">
        <f>IF(OR(L645="",J645=""),"",L645*J645)</f>
        <v/>
      </c>
      <c r="T645" s="10">
        <f>IF(P645="","",StartBank+SUM(P$2:P645))</f>
        <v/>
      </c>
    </row>
    <row r="646">
      <c r="A646" s="22" t="n"/>
      <c r="G646" s="21" t="n"/>
      <c r="H646" s="11" t="n"/>
      <c r="I646" s="21">
        <f>IF(OR(H646="",H646=0),"",1/H646)</f>
        <v/>
      </c>
      <c r="J646" s="11">
        <f>IF(OR(G646="",H646=""),"",H646*G646-1)</f>
        <v/>
      </c>
      <c r="K646" s="10">
        <f>IF(OR(G646="",H646="",G646&lt;=1),"",IF(J646&lt;IF(D646="Builder",MinEdgeBuilder,IF(D646="Player",MinEdgePlayer,MinEdgeSingle)),0,ROUND(MIN(IF(D646="Single",KellySingle,KellyBuilder)*(StartBank+SUM(P$1:P645))*J646/(G646-1),IF(D646="Builder",CapBuilder,CapSingle)*Unit),2)))</f>
        <v/>
      </c>
      <c r="L646" s="10" t="n"/>
      <c r="N646" s="10" t="n"/>
      <c r="O646" s="10">
        <f>IF(L646="","",IF(M646="Won",L646*G646,IF(M646="Void",L646,IF(M646="Cash out",N(N646),IF(M646="Lost",0,"")))))</f>
        <v/>
      </c>
      <c r="P646" s="10">
        <f>IF(OR(L646="",M646="",M646="Pending"),"",O646-L646)</f>
        <v/>
      </c>
      <c r="Q646" s="21" t="n"/>
      <c r="R646" s="11">
        <f>IF(OR(G646="",Q646=""),"",G646/Q646-1)</f>
        <v/>
      </c>
      <c r="S646" s="10">
        <f>IF(OR(L646="",J646=""),"",L646*J646)</f>
        <v/>
      </c>
      <c r="T646" s="10">
        <f>IF(P646="","",StartBank+SUM(P$2:P646))</f>
        <v/>
      </c>
    </row>
    <row r="647">
      <c r="A647" s="22" t="n"/>
      <c r="G647" s="21" t="n"/>
      <c r="H647" s="11" t="n"/>
      <c r="I647" s="21">
        <f>IF(OR(H647="",H647=0),"",1/H647)</f>
        <v/>
      </c>
      <c r="J647" s="11">
        <f>IF(OR(G647="",H647=""),"",H647*G647-1)</f>
        <v/>
      </c>
      <c r="K647" s="10">
        <f>IF(OR(G647="",H647="",G647&lt;=1),"",IF(J647&lt;IF(D647="Builder",MinEdgeBuilder,IF(D647="Player",MinEdgePlayer,MinEdgeSingle)),0,ROUND(MIN(IF(D647="Single",KellySingle,KellyBuilder)*(StartBank+SUM(P$1:P646))*J647/(G647-1),IF(D647="Builder",CapBuilder,CapSingle)*Unit),2)))</f>
        <v/>
      </c>
      <c r="L647" s="10" t="n"/>
      <c r="N647" s="10" t="n"/>
      <c r="O647" s="10">
        <f>IF(L647="","",IF(M647="Won",L647*G647,IF(M647="Void",L647,IF(M647="Cash out",N(N647),IF(M647="Lost",0,"")))))</f>
        <v/>
      </c>
      <c r="P647" s="10">
        <f>IF(OR(L647="",M647="",M647="Pending"),"",O647-L647)</f>
        <v/>
      </c>
      <c r="Q647" s="21" t="n"/>
      <c r="R647" s="11">
        <f>IF(OR(G647="",Q647=""),"",G647/Q647-1)</f>
        <v/>
      </c>
      <c r="S647" s="10">
        <f>IF(OR(L647="",J647=""),"",L647*J647)</f>
        <v/>
      </c>
      <c r="T647" s="10">
        <f>IF(P647="","",StartBank+SUM(P$2:P647))</f>
        <v/>
      </c>
    </row>
    <row r="648">
      <c r="A648" s="22" t="n"/>
      <c r="G648" s="21" t="n"/>
      <c r="H648" s="11" t="n"/>
      <c r="I648" s="21">
        <f>IF(OR(H648="",H648=0),"",1/H648)</f>
        <v/>
      </c>
      <c r="J648" s="11">
        <f>IF(OR(G648="",H648=""),"",H648*G648-1)</f>
        <v/>
      </c>
      <c r="K648" s="10">
        <f>IF(OR(G648="",H648="",G648&lt;=1),"",IF(J648&lt;IF(D648="Builder",MinEdgeBuilder,IF(D648="Player",MinEdgePlayer,MinEdgeSingle)),0,ROUND(MIN(IF(D648="Single",KellySingle,KellyBuilder)*(StartBank+SUM(P$1:P647))*J648/(G648-1),IF(D648="Builder",CapBuilder,CapSingle)*Unit),2)))</f>
        <v/>
      </c>
      <c r="L648" s="10" t="n"/>
      <c r="N648" s="10" t="n"/>
      <c r="O648" s="10">
        <f>IF(L648="","",IF(M648="Won",L648*G648,IF(M648="Void",L648,IF(M648="Cash out",N(N648),IF(M648="Lost",0,"")))))</f>
        <v/>
      </c>
      <c r="P648" s="10">
        <f>IF(OR(L648="",M648="",M648="Pending"),"",O648-L648)</f>
        <v/>
      </c>
      <c r="Q648" s="21" t="n"/>
      <c r="R648" s="11">
        <f>IF(OR(G648="",Q648=""),"",G648/Q648-1)</f>
        <v/>
      </c>
      <c r="S648" s="10">
        <f>IF(OR(L648="",J648=""),"",L648*J648)</f>
        <v/>
      </c>
      <c r="T648" s="10">
        <f>IF(P648="","",StartBank+SUM(P$2:P648))</f>
        <v/>
      </c>
    </row>
    <row r="649">
      <c r="A649" s="22" t="n"/>
      <c r="G649" s="21" t="n"/>
      <c r="H649" s="11" t="n"/>
      <c r="I649" s="21">
        <f>IF(OR(H649="",H649=0),"",1/H649)</f>
        <v/>
      </c>
      <c r="J649" s="11">
        <f>IF(OR(G649="",H649=""),"",H649*G649-1)</f>
        <v/>
      </c>
      <c r="K649" s="10">
        <f>IF(OR(G649="",H649="",G649&lt;=1),"",IF(J649&lt;IF(D649="Builder",MinEdgeBuilder,IF(D649="Player",MinEdgePlayer,MinEdgeSingle)),0,ROUND(MIN(IF(D649="Single",KellySingle,KellyBuilder)*(StartBank+SUM(P$1:P648))*J649/(G649-1),IF(D649="Builder",CapBuilder,CapSingle)*Unit),2)))</f>
        <v/>
      </c>
      <c r="L649" s="10" t="n"/>
      <c r="N649" s="10" t="n"/>
      <c r="O649" s="10">
        <f>IF(L649="","",IF(M649="Won",L649*G649,IF(M649="Void",L649,IF(M649="Cash out",N(N649),IF(M649="Lost",0,"")))))</f>
        <v/>
      </c>
      <c r="P649" s="10">
        <f>IF(OR(L649="",M649="",M649="Pending"),"",O649-L649)</f>
        <v/>
      </c>
      <c r="Q649" s="21" t="n"/>
      <c r="R649" s="11">
        <f>IF(OR(G649="",Q649=""),"",G649/Q649-1)</f>
        <v/>
      </c>
      <c r="S649" s="10">
        <f>IF(OR(L649="",J649=""),"",L649*J649)</f>
        <v/>
      </c>
      <c r="T649" s="10">
        <f>IF(P649="","",StartBank+SUM(P$2:P649))</f>
        <v/>
      </c>
    </row>
    <row r="650">
      <c r="A650" s="22" t="n"/>
      <c r="G650" s="21" t="n"/>
      <c r="H650" s="11" t="n"/>
      <c r="I650" s="21">
        <f>IF(OR(H650="",H650=0),"",1/H650)</f>
        <v/>
      </c>
      <c r="J650" s="11">
        <f>IF(OR(G650="",H650=""),"",H650*G650-1)</f>
        <v/>
      </c>
      <c r="K650" s="10">
        <f>IF(OR(G650="",H650="",G650&lt;=1),"",IF(J650&lt;IF(D650="Builder",MinEdgeBuilder,IF(D650="Player",MinEdgePlayer,MinEdgeSingle)),0,ROUND(MIN(IF(D650="Single",KellySingle,KellyBuilder)*(StartBank+SUM(P$1:P649))*J650/(G650-1),IF(D650="Builder",CapBuilder,CapSingle)*Unit),2)))</f>
        <v/>
      </c>
      <c r="L650" s="10" t="n"/>
      <c r="N650" s="10" t="n"/>
      <c r="O650" s="10">
        <f>IF(L650="","",IF(M650="Won",L650*G650,IF(M650="Void",L650,IF(M650="Cash out",N(N650),IF(M650="Lost",0,"")))))</f>
        <v/>
      </c>
      <c r="P650" s="10">
        <f>IF(OR(L650="",M650="",M650="Pending"),"",O650-L650)</f>
        <v/>
      </c>
      <c r="Q650" s="21" t="n"/>
      <c r="R650" s="11">
        <f>IF(OR(G650="",Q650=""),"",G650/Q650-1)</f>
        <v/>
      </c>
      <c r="S650" s="10">
        <f>IF(OR(L650="",J650=""),"",L650*J650)</f>
        <v/>
      </c>
      <c r="T650" s="10">
        <f>IF(P650="","",StartBank+SUM(P$2:P650))</f>
        <v/>
      </c>
    </row>
    <row r="651">
      <c r="A651" s="22" t="n"/>
      <c r="G651" s="21" t="n"/>
      <c r="H651" s="11" t="n"/>
      <c r="I651" s="21">
        <f>IF(OR(H651="",H651=0),"",1/H651)</f>
        <v/>
      </c>
      <c r="J651" s="11">
        <f>IF(OR(G651="",H651=""),"",H651*G651-1)</f>
        <v/>
      </c>
      <c r="K651" s="10">
        <f>IF(OR(G651="",H651="",G651&lt;=1),"",IF(J651&lt;IF(D651="Builder",MinEdgeBuilder,IF(D651="Player",MinEdgePlayer,MinEdgeSingle)),0,ROUND(MIN(IF(D651="Single",KellySingle,KellyBuilder)*(StartBank+SUM(P$1:P650))*J651/(G651-1),IF(D651="Builder",CapBuilder,CapSingle)*Unit),2)))</f>
        <v/>
      </c>
      <c r="L651" s="10" t="n"/>
      <c r="N651" s="10" t="n"/>
      <c r="O651" s="10">
        <f>IF(L651="","",IF(M651="Won",L651*G651,IF(M651="Void",L651,IF(M651="Cash out",N(N651),IF(M651="Lost",0,"")))))</f>
        <v/>
      </c>
      <c r="P651" s="10">
        <f>IF(OR(L651="",M651="",M651="Pending"),"",O651-L651)</f>
        <v/>
      </c>
      <c r="Q651" s="21" t="n"/>
      <c r="R651" s="11">
        <f>IF(OR(G651="",Q651=""),"",G651/Q651-1)</f>
        <v/>
      </c>
      <c r="S651" s="10">
        <f>IF(OR(L651="",J651=""),"",L651*J651)</f>
        <v/>
      </c>
      <c r="T651" s="10">
        <f>IF(P651="","",StartBank+SUM(P$2:P651))</f>
        <v/>
      </c>
    </row>
    <row r="652">
      <c r="A652" s="22" t="n"/>
      <c r="G652" s="21" t="n"/>
      <c r="H652" s="11" t="n"/>
      <c r="I652" s="21">
        <f>IF(OR(H652="",H652=0),"",1/H652)</f>
        <v/>
      </c>
      <c r="J652" s="11">
        <f>IF(OR(G652="",H652=""),"",H652*G652-1)</f>
        <v/>
      </c>
      <c r="K652" s="10">
        <f>IF(OR(G652="",H652="",G652&lt;=1),"",IF(J652&lt;IF(D652="Builder",MinEdgeBuilder,IF(D652="Player",MinEdgePlayer,MinEdgeSingle)),0,ROUND(MIN(IF(D652="Single",KellySingle,KellyBuilder)*(StartBank+SUM(P$1:P651))*J652/(G652-1),IF(D652="Builder",CapBuilder,CapSingle)*Unit),2)))</f>
        <v/>
      </c>
      <c r="L652" s="10" t="n"/>
      <c r="N652" s="10" t="n"/>
      <c r="O652" s="10">
        <f>IF(L652="","",IF(M652="Won",L652*G652,IF(M652="Void",L652,IF(M652="Cash out",N(N652),IF(M652="Lost",0,"")))))</f>
        <v/>
      </c>
      <c r="P652" s="10">
        <f>IF(OR(L652="",M652="",M652="Pending"),"",O652-L652)</f>
        <v/>
      </c>
      <c r="Q652" s="21" t="n"/>
      <c r="R652" s="11">
        <f>IF(OR(G652="",Q652=""),"",G652/Q652-1)</f>
        <v/>
      </c>
      <c r="S652" s="10">
        <f>IF(OR(L652="",J652=""),"",L652*J652)</f>
        <v/>
      </c>
      <c r="T652" s="10">
        <f>IF(P652="","",StartBank+SUM(P$2:P652))</f>
        <v/>
      </c>
    </row>
    <row r="653">
      <c r="A653" s="22" t="n"/>
      <c r="G653" s="21" t="n"/>
      <c r="H653" s="11" t="n"/>
      <c r="I653" s="21">
        <f>IF(OR(H653="",H653=0),"",1/H653)</f>
        <v/>
      </c>
      <c r="J653" s="11">
        <f>IF(OR(G653="",H653=""),"",H653*G653-1)</f>
        <v/>
      </c>
      <c r="K653" s="10">
        <f>IF(OR(G653="",H653="",G653&lt;=1),"",IF(J653&lt;IF(D653="Builder",MinEdgeBuilder,IF(D653="Player",MinEdgePlayer,MinEdgeSingle)),0,ROUND(MIN(IF(D653="Single",KellySingle,KellyBuilder)*(StartBank+SUM(P$1:P652))*J653/(G653-1),IF(D653="Builder",CapBuilder,CapSingle)*Unit),2)))</f>
        <v/>
      </c>
      <c r="L653" s="10" t="n"/>
      <c r="N653" s="10" t="n"/>
      <c r="O653" s="10">
        <f>IF(L653="","",IF(M653="Won",L653*G653,IF(M653="Void",L653,IF(M653="Cash out",N(N653),IF(M653="Lost",0,"")))))</f>
        <v/>
      </c>
      <c r="P653" s="10">
        <f>IF(OR(L653="",M653="",M653="Pending"),"",O653-L653)</f>
        <v/>
      </c>
      <c r="Q653" s="21" t="n"/>
      <c r="R653" s="11">
        <f>IF(OR(G653="",Q653=""),"",G653/Q653-1)</f>
        <v/>
      </c>
      <c r="S653" s="10">
        <f>IF(OR(L653="",J653=""),"",L653*J653)</f>
        <v/>
      </c>
      <c r="T653" s="10">
        <f>IF(P653="","",StartBank+SUM(P$2:P653))</f>
        <v/>
      </c>
    </row>
    <row r="654">
      <c r="A654" s="22" t="n"/>
      <c r="G654" s="21" t="n"/>
      <c r="H654" s="11" t="n"/>
      <c r="I654" s="21">
        <f>IF(OR(H654="",H654=0),"",1/H654)</f>
        <v/>
      </c>
      <c r="J654" s="11">
        <f>IF(OR(G654="",H654=""),"",H654*G654-1)</f>
        <v/>
      </c>
      <c r="K654" s="10">
        <f>IF(OR(G654="",H654="",G654&lt;=1),"",IF(J654&lt;IF(D654="Builder",MinEdgeBuilder,IF(D654="Player",MinEdgePlayer,MinEdgeSingle)),0,ROUND(MIN(IF(D654="Single",KellySingle,KellyBuilder)*(StartBank+SUM(P$1:P653))*J654/(G654-1),IF(D654="Builder",CapBuilder,CapSingle)*Unit),2)))</f>
        <v/>
      </c>
      <c r="L654" s="10" t="n"/>
      <c r="N654" s="10" t="n"/>
      <c r="O654" s="10">
        <f>IF(L654="","",IF(M654="Won",L654*G654,IF(M654="Void",L654,IF(M654="Cash out",N(N654),IF(M654="Lost",0,"")))))</f>
        <v/>
      </c>
      <c r="P654" s="10">
        <f>IF(OR(L654="",M654="",M654="Pending"),"",O654-L654)</f>
        <v/>
      </c>
      <c r="Q654" s="21" t="n"/>
      <c r="R654" s="11">
        <f>IF(OR(G654="",Q654=""),"",G654/Q654-1)</f>
        <v/>
      </c>
      <c r="S654" s="10">
        <f>IF(OR(L654="",J654=""),"",L654*J654)</f>
        <v/>
      </c>
      <c r="T654" s="10">
        <f>IF(P654="","",StartBank+SUM(P$2:P654))</f>
        <v/>
      </c>
    </row>
    <row r="655">
      <c r="A655" s="22" t="n"/>
      <c r="G655" s="21" t="n"/>
      <c r="H655" s="11" t="n"/>
      <c r="I655" s="21">
        <f>IF(OR(H655="",H655=0),"",1/H655)</f>
        <v/>
      </c>
      <c r="J655" s="11">
        <f>IF(OR(G655="",H655=""),"",H655*G655-1)</f>
        <v/>
      </c>
      <c r="K655" s="10">
        <f>IF(OR(G655="",H655="",G655&lt;=1),"",IF(J655&lt;IF(D655="Builder",MinEdgeBuilder,IF(D655="Player",MinEdgePlayer,MinEdgeSingle)),0,ROUND(MIN(IF(D655="Single",KellySingle,KellyBuilder)*(StartBank+SUM(P$1:P654))*J655/(G655-1),IF(D655="Builder",CapBuilder,CapSingle)*Unit),2)))</f>
        <v/>
      </c>
      <c r="L655" s="10" t="n"/>
      <c r="N655" s="10" t="n"/>
      <c r="O655" s="10">
        <f>IF(L655="","",IF(M655="Won",L655*G655,IF(M655="Void",L655,IF(M655="Cash out",N(N655),IF(M655="Lost",0,"")))))</f>
        <v/>
      </c>
      <c r="P655" s="10">
        <f>IF(OR(L655="",M655="",M655="Pending"),"",O655-L655)</f>
        <v/>
      </c>
      <c r="Q655" s="21" t="n"/>
      <c r="R655" s="11">
        <f>IF(OR(G655="",Q655=""),"",G655/Q655-1)</f>
        <v/>
      </c>
      <c r="S655" s="10">
        <f>IF(OR(L655="",J655=""),"",L655*J655)</f>
        <v/>
      </c>
      <c r="T655" s="10">
        <f>IF(P655="","",StartBank+SUM(P$2:P655))</f>
        <v/>
      </c>
    </row>
    <row r="656">
      <c r="A656" s="22" t="n"/>
      <c r="G656" s="21" t="n"/>
      <c r="H656" s="11" t="n"/>
      <c r="I656" s="21">
        <f>IF(OR(H656="",H656=0),"",1/H656)</f>
        <v/>
      </c>
      <c r="J656" s="11">
        <f>IF(OR(G656="",H656=""),"",H656*G656-1)</f>
        <v/>
      </c>
      <c r="K656" s="10">
        <f>IF(OR(G656="",H656="",G656&lt;=1),"",IF(J656&lt;IF(D656="Builder",MinEdgeBuilder,IF(D656="Player",MinEdgePlayer,MinEdgeSingle)),0,ROUND(MIN(IF(D656="Single",KellySingle,KellyBuilder)*(StartBank+SUM(P$1:P655))*J656/(G656-1),IF(D656="Builder",CapBuilder,CapSingle)*Unit),2)))</f>
        <v/>
      </c>
      <c r="L656" s="10" t="n"/>
      <c r="N656" s="10" t="n"/>
      <c r="O656" s="10">
        <f>IF(L656="","",IF(M656="Won",L656*G656,IF(M656="Void",L656,IF(M656="Cash out",N(N656),IF(M656="Lost",0,"")))))</f>
        <v/>
      </c>
      <c r="P656" s="10">
        <f>IF(OR(L656="",M656="",M656="Pending"),"",O656-L656)</f>
        <v/>
      </c>
      <c r="Q656" s="21" t="n"/>
      <c r="R656" s="11">
        <f>IF(OR(G656="",Q656=""),"",G656/Q656-1)</f>
        <v/>
      </c>
      <c r="S656" s="10">
        <f>IF(OR(L656="",J656=""),"",L656*J656)</f>
        <v/>
      </c>
      <c r="T656" s="10">
        <f>IF(P656="","",StartBank+SUM(P$2:P656))</f>
        <v/>
      </c>
    </row>
    <row r="657">
      <c r="A657" s="22" t="n"/>
      <c r="G657" s="21" t="n"/>
      <c r="H657" s="11" t="n"/>
      <c r="I657" s="21">
        <f>IF(OR(H657="",H657=0),"",1/H657)</f>
        <v/>
      </c>
      <c r="J657" s="11">
        <f>IF(OR(G657="",H657=""),"",H657*G657-1)</f>
        <v/>
      </c>
      <c r="K657" s="10">
        <f>IF(OR(G657="",H657="",G657&lt;=1),"",IF(J657&lt;IF(D657="Builder",MinEdgeBuilder,IF(D657="Player",MinEdgePlayer,MinEdgeSingle)),0,ROUND(MIN(IF(D657="Single",KellySingle,KellyBuilder)*(StartBank+SUM(P$1:P656))*J657/(G657-1),IF(D657="Builder",CapBuilder,CapSingle)*Unit),2)))</f>
        <v/>
      </c>
      <c r="L657" s="10" t="n"/>
      <c r="N657" s="10" t="n"/>
      <c r="O657" s="10">
        <f>IF(L657="","",IF(M657="Won",L657*G657,IF(M657="Void",L657,IF(M657="Cash out",N(N657),IF(M657="Lost",0,"")))))</f>
        <v/>
      </c>
      <c r="P657" s="10">
        <f>IF(OR(L657="",M657="",M657="Pending"),"",O657-L657)</f>
        <v/>
      </c>
      <c r="Q657" s="21" t="n"/>
      <c r="R657" s="11">
        <f>IF(OR(G657="",Q657=""),"",G657/Q657-1)</f>
        <v/>
      </c>
      <c r="S657" s="10">
        <f>IF(OR(L657="",J657=""),"",L657*J657)</f>
        <v/>
      </c>
      <c r="T657" s="10">
        <f>IF(P657="","",StartBank+SUM(P$2:P657))</f>
        <v/>
      </c>
    </row>
    <row r="658">
      <c r="A658" s="22" t="n"/>
      <c r="G658" s="21" t="n"/>
      <c r="H658" s="11" t="n"/>
      <c r="I658" s="21">
        <f>IF(OR(H658="",H658=0),"",1/H658)</f>
        <v/>
      </c>
      <c r="J658" s="11">
        <f>IF(OR(G658="",H658=""),"",H658*G658-1)</f>
        <v/>
      </c>
      <c r="K658" s="10">
        <f>IF(OR(G658="",H658="",G658&lt;=1),"",IF(J658&lt;IF(D658="Builder",MinEdgeBuilder,IF(D658="Player",MinEdgePlayer,MinEdgeSingle)),0,ROUND(MIN(IF(D658="Single",KellySingle,KellyBuilder)*(StartBank+SUM(P$1:P657))*J658/(G658-1),IF(D658="Builder",CapBuilder,CapSingle)*Unit),2)))</f>
        <v/>
      </c>
      <c r="L658" s="10" t="n"/>
      <c r="N658" s="10" t="n"/>
      <c r="O658" s="10">
        <f>IF(L658="","",IF(M658="Won",L658*G658,IF(M658="Void",L658,IF(M658="Cash out",N(N658),IF(M658="Lost",0,"")))))</f>
        <v/>
      </c>
      <c r="P658" s="10">
        <f>IF(OR(L658="",M658="",M658="Pending"),"",O658-L658)</f>
        <v/>
      </c>
      <c r="Q658" s="21" t="n"/>
      <c r="R658" s="11">
        <f>IF(OR(G658="",Q658=""),"",G658/Q658-1)</f>
        <v/>
      </c>
      <c r="S658" s="10">
        <f>IF(OR(L658="",J658=""),"",L658*J658)</f>
        <v/>
      </c>
      <c r="T658" s="10">
        <f>IF(P658="","",StartBank+SUM(P$2:P658))</f>
        <v/>
      </c>
    </row>
    <row r="659">
      <c r="A659" s="22" t="n"/>
      <c r="G659" s="21" t="n"/>
      <c r="H659" s="11" t="n"/>
      <c r="I659" s="21">
        <f>IF(OR(H659="",H659=0),"",1/H659)</f>
        <v/>
      </c>
      <c r="J659" s="11">
        <f>IF(OR(G659="",H659=""),"",H659*G659-1)</f>
        <v/>
      </c>
      <c r="K659" s="10">
        <f>IF(OR(G659="",H659="",G659&lt;=1),"",IF(J659&lt;IF(D659="Builder",MinEdgeBuilder,IF(D659="Player",MinEdgePlayer,MinEdgeSingle)),0,ROUND(MIN(IF(D659="Single",KellySingle,KellyBuilder)*(StartBank+SUM(P$1:P658))*J659/(G659-1),IF(D659="Builder",CapBuilder,CapSingle)*Unit),2)))</f>
        <v/>
      </c>
      <c r="L659" s="10" t="n"/>
      <c r="N659" s="10" t="n"/>
      <c r="O659" s="10">
        <f>IF(L659="","",IF(M659="Won",L659*G659,IF(M659="Void",L659,IF(M659="Cash out",N(N659),IF(M659="Lost",0,"")))))</f>
        <v/>
      </c>
      <c r="P659" s="10">
        <f>IF(OR(L659="",M659="",M659="Pending"),"",O659-L659)</f>
        <v/>
      </c>
      <c r="Q659" s="21" t="n"/>
      <c r="R659" s="11">
        <f>IF(OR(G659="",Q659=""),"",G659/Q659-1)</f>
        <v/>
      </c>
      <c r="S659" s="10">
        <f>IF(OR(L659="",J659=""),"",L659*J659)</f>
        <v/>
      </c>
      <c r="T659" s="10">
        <f>IF(P659="","",StartBank+SUM(P$2:P659))</f>
        <v/>
      </c>
    </row>
    <row r="660">
      <c r="A660" s="22" t="n"/>
      <c r="G660" s="21" t="n"/>
      <c r="H660" s="11" t="n"/>
      <c r="I660" s="21">
        <f>IF(OR(H660="",H660=0),"",1/H660)</f>
        <v/>
      </c>
      <c r="J660" s="11">
        <f>IF(OR(G660="",H660=""),"",H660*G660-1)</f>
        <v/>
      </c>
      <c r="K660" s="10">
        <f>IF(OR(G660="",H660="",G660&lt;=1),"",IF(J660&lt;IF(D660="Builder",MinEdgeBuilder,IF(D660="Player",MinEdgePlayer,MinEdgeSingle)),0,ROUND(MIN(IF(D660="Single",KellySingle,KellyBuilder)*(StartBank+SUM(P$1:P659))*J660/(G660-1),IF(D660="Builder",CapBuilder,CapSingle)*Unit),2)))</f>
        <v/>
      </c>
      <c r="L660" s="10" t="n"/>
      <c r="N660" s="10" t="n"/>
      <c r="O660" s="10">
        <f>IF(L660="","",IF(M660="Won",L660*G660,IF(M660="Void",L660,IF(M660="Cash out",N(N660),IF(M660="Lost",0,"")))))</f>
        <v/>
      </c>
      <c r="P660" s="10">
        <f>IF(OR(L660="",M660="",M660="Pending"),"",O660-L660)</f>
        <v/>
      </c>
      <c r="Q660" s="21" t="n"/>
      <c r="R660" s="11">
        <f>IF(OR(G660="",Q660=""),"",G660/Q660-1)</f>
        <v/>
      </c>
      <c r="S660" s="10">
        <f>IF(OR(L660="",J660=""),"",L660*J660)</f>
        <v/>
      </c>
      <c r="T660" s="10">
        <f>IF(P660="","",StartBank+SUM(P$2:P660))</f>
        <v/>
      </c>
    </row>
    <row r="661">
      <c r="A661" s="22" t="n"/>
      <c r="G661" s="21" t="n"/>
      <c r="H661" s="11" t="n"/>
      <c r="I661" s="21">
        <f>IF(OR(H661="",H661=0),"",1/H661)</f>
        <v/>
      </c>
      <c r="J661" s="11">
        <f>IF(OR(G661="",H661=""),"",H661*G661-1)</f>
        <v/>
      </c>
      <c r="K661" s="10">
        <f>IF(OR(G661="",H661="",G661&lt;=1),"",IF(J661&lt;IF(D661="Builder",MinEdgeBuilder,IF(D661="Player",MinEdgePlayer,MinEdgeSingle)),0,ROUND(MIN(IF(D661="Single",KellySingle,KellyBuilder)*(StartBank+SUM(P$1:P660))*J661/(G661-1),IF(D661="Builder",CapBuilder,CapSingle)*Unit),2)))</f>
        <v/>
      </c>
      <c r="L661" s="10" t="n"/>
      <c r="N661" s="10" t="n"/>
      <c r="O661" s="10">
        <f>IF(L661="","",IF(M661="Won",L661*G661,IF(M661="Void",L661,IF(M661="Cash out",N(N661),IF(M661="Lost",0,"")))))</f>
        <v/>
      </c>
      <c r="P661" s="10">
        <f>IF(OR(L661="",M661="",M661="Pending"),"",O661-L661)</f>
        <v/>
      </c>
      <c r="Q661" s="21" t="n"/>
      <c r="R661" s="11">
        <f>IF(OR(G661="",Q661=""),"",G661/Q661-1)</f>
        <v/>
      </c>
      <c r="S661" s="10">
        <f>IF(OR(L661="",J661=""),"",L661*J661)</f>
        <v/>
      </c>
      <c r="T661" s="10">
        <f>IF(P661="","",StartBank+SUM(P$2:P661))</f>
        <v/>
      </c>
    </row>
    <row r="662">
      <c r="A662" s="22" t="n"/>
      <c r="G662" s="21" t="n"/>
      <c r="H662" s="11" t="n"/>
      <c r="I662" s="21">
        <f>IF(OR(H662="",H662=0),"",1/H662)</f>
        <v/>
      </c>
      <c r="J662" s="11">
        <f>IF(OR(G662="",H662=""),"",H662*G662-1)</f>
        <v/>
      </c>
      <c r="K662" s="10">
        <f>IF(OR(G662="",H662="",G662&lt;=1),"",IF(J662&lt;IF(D662="Builder",MinEdgeBuilder,IF(D662="Player",MinEdgePlayer,MinEdgeSingle)),0,ROUND(MIN(IF(D662="Single",KellySingle,KellyBuilder)*(StartBank+SUM(P$1:P661))*J662/(G662-1),IF(D662="Builder",CapBuilder,CapSingle)*Unit),2)))</f>
        <v/>
      </c>
      <c r="L662" s="10" t="n"/>
      <c r="N662" s="10" t="n"/>
      <c r="O662" s="10">
        <f>IF(L662="","",IF(M662="Won",L662*G662,IF(M662="Void",L662,IF(M662="Cash out",N(N662),IF(M662="Lost",0,"")))))</f>
        <v/>
      </c>
      <c r="P662" s="10">
        <f>IF(OR(L662="",M662="",M662="Pending"),"",O662-L662)</f>
        <v/>
      </c>
      <c r="Q662" s="21" t="n"/>
      <c r="R662" s="11">
        <f>IF(OR(G662="",Q662=""),"",G662/Q662-1)</f>
        <v/>
      </c>
      <c r="S662" s="10">
        <f>IF(OR(L662="",J662=""),"",L662*J662)</f>
        <v/>
      </c>
      <c r="T662" s="10">
        <f>IF(P662="","",StartBank+SUM(P$2:P662))</f>
        <v/>
      </c>
    </row>
    <row r="663">
      <c r="A663" s="22" t="n"/>
      <c r="G663" s="21" t="n"/>
      <c r="H663" s="11" t="n"/>
      <c r="I663" s="21">
        <f>IF(OR(H663="",H663=0),"",1/H663)</f>
        <v/>
      </c>
      <c r="J663" s="11">
        <f>IF(OR(G663="",H663=""),"",H663*G663-1)</f>
        <v/>
      </c>
      <c r="K663" s="10">
        <f>IF(OR(G663="",H663="",G663&lt;=1),"",IF(J663&lt;IF(D663="Builder",MinEdgeBuilder,IF(D663="Player",MinEdgePlayer,MinEdgeSingle)),0,ROUND(MIN(IF(D663="Single",KellySingle,KellyBuilder)*(StartBank+SUM(P$1:P662))*J663/(G663-1),IF(D663="Builder",CapBuilder,CapSingle)*Unit),2)))</f>
        <v/>
      </c>
      <c r="L663" s="10" t="n"/>
      <c r="N663" s="10" t="n"/>
      <c r="O663" s="10">
        <f>IF(L663="","",IF(M663="Won",L663*G663,IF(M663="Void",L663,IF(M663="Cash out",N(N663),IF(M663="Lost",0,"")))))</f>
        <v/>
      </c>
      <c r="P663" s="10">
        <f>IF(OR(L663="",M663="",M663="Pending"),"",O663-L663)</f>
        <v/>
      </c>
      <c r="Q663" s="21" t="n"/>
      <c r="R663" s="11">
        <f>IF(OR(G663="",Q663=""),"",G663/Q663-1)</f>
        <v/>
      </c>
      <c r="S663" s="10">
        <f>IF(OR(L663="",J663=""),"",L663*J663)</f>
        <v/>
      </c>
      <c r="T663" s="10">
        <f>IF(P663="","",StartBank+SUM(P$2:P663))</f>
        <v/>
      </c>
    </row>
    <row r="664">
      <c r="A664" s="22" t="n"/>
      <c r="G664" s="21" t="n"/>
      <c r="H664" s="11" t="n"/>
      <c r="I664" s="21">
        <f>IF(OR(H664="",H664=0),"",1/H664)</f>
        <v/>
      </c>
      <c r="J664" s="11">
        <f>IF(OR(G664="",H664=""),"",H664*G664-1)</f>
        <v/>
      </c>
      <c r="K664" s="10">
        <f>IF(OR(G664="",H664="",G664&lt;=1),"",IF(J664&lt;IF(D664="Builder",MinEdgeBuilder,IF(D664="Player",MinEdgePlayer,MinEdgeSingle)),0,ROUND(MIN(IF(D664="Single",KellySingle,KellyBuilder)*(StartBank+SUM(P$1:P663))*J664/(G664-1),IF(D664="Builder",CapBuilder,CapSingle)*Unit),2)))</f>
        <v/>
      </c>
      <c r="L664" s="10" t="n"/>
      <c r="N664" s="10" t="n"/>
      <c r="O664" s="10">
        <f>IF(L664="","",IF(M664="Won",L664*G664,IF(M664="Void",L664,IF(M664="Cash out",N(N664),IF(M664="Lost",0,"")))))</f>
        <v/>
      </c>
      <c r="P664" s="10">
        <f>IF(OR(L664="",M664="",M664="Pending"),"",O664-L664)</f>
        <v/>
      </c>
      <c r="Q664" s="21" t="n"/>
      <c r="R664" s="11">
        <f>IF(OR(G664="",Q664=""),"",G664/Q664-1)</f>
        <v/>
      </c>
      <c r="S664" s="10">
        <f>IF(OR(L664="",J664=""),"",L664*J664)</f>
        <v/>
      </c>
      <c r="T664" s="10">
        <f>IF(P664="","",StartBank+SUM(P$2:P664))</f>
        <v/>
      </c>
    </row>
    <row r="665">
      <c r="A665" s="22" t="n"/>
      <c r="G665" s="21" t="n"/>
      <c r="H665" s="11" t="n"/>
      <c r="I665" s="21">
        <f>IF(OR(H665="",H665=0),"",1/H665)</f>
        <v/>
      </c>
      <c r="J665" s="11">
        <f>IF(OR(G665="",H665=""),"",H665*G665-1)</f>
        <v/>
      </c>
      <c r="K665" s="10">
        <f>IF(OR(G665="",H665="",G665&lt;=1),"",IF(J665&lt;IF(D665="Builder",MinEdgeBuilder,IF(D665="Player",MinEdgePlayer,MinEdgeSingle)),0,ROUND(MIN(IF(D665="Single",KellySingle,KellyBuilder)*(StartBank+SUM(P$1:P664))*J665/(G665-1),IF(D665="Builder",CapBuilder,CapSingle)*Unit),2)))</f>
        <v/>
      </c>
      <c r="L665" s="10" t="n"/>
      <c r="N665" s="10" t="n"/>
      <c r="O665" s="10">
        <f>IF(L665="","",IF(M665="Won",L665*G665,IF(M665="Void",L665,IF(M665="Cash out",N(N665),IF(M665="Lost",0,"")))))</f>
        <v/>
      </c>
      <c r="P665" s="10">
        <f>IF(OR(L665="",M665="",M665="Pending"),"",O665-L665)</f>
        <v/>
      </c>
      <c r="Q665" s="21" t="n"/>
      <c r="R665" s="11">
        <f>IF(OR(G665="",Q665=""),"",G665/Q665-1)</f>
        <v/>
      </c>
      <c r="S665" s="10">
        <f>IF(OR(L665="",J665=""),"",L665*J665)</f>
        <v/>
      </c>
      <c r="T665" s="10">
        <f>IF(P665="","",StartBank+SUM(P$2:P665))</f>
        <v/>
      </c>
    </row>
    <row r="666">
      <c r="A666" s="22" t="n"/>
      <c r="G666" s="21" t="n"/>
      <c r="H666" s="11" t="n"/>
      <c r="I666" s="21">
        <f>IF(OR(H666="",H666=0),"",1/H666)</f>
        <v/>
      </c>
      <c r="J666" s="11">
        <f>IF(OR(G666="",H666=""),"",H666*G666-1)</f>
        <v/>
      </c>
      <c r="K666" s="10">
        <f>IF(OR(G666="",H666="",G666&lt;=1),"",IF(J666&lt;IF(D666="Builder",MinEdgeBuilder,IF(D666="Player",MinEdgePlayer,MinEdgeSingle)),0,ROUND(MIN(IF(D666="Single",KellySingle,KellyBuilder)*(StartBank+SUM(P$1:P665))*J666/(G666-1),IF(D666="Builder",CapBuilder,CapSingle)*Unit),2)))</f>
        <v/>
      </c>
      <c r="L666" s="10" t="n"/>
      <c r="N666" s="10" t="n"/>
      <c r="O666" s="10">
        <f>IF(L666="","",IF(M666="Won",L666*G666,IF(M666="Void",L666,IF(M666="Cash out",N(N666),IF(M666="Lost",0,"")))))</f>
        <v/>
      </c>
      <c r="P666" s="10">
        <f>IF(OR(L666="",M666="",M666="Pending"),"",O666-L666)</f>
        <v/>
      </c>
      <c r="Q666" s="21" t="n"/>
      <c r="R666" s="11">
        <f>IF(OR(G666="",Q666=""),"",G666/Q666-1)</f>
        <v/>
      </c>
      <c r="S666" s="10">
        <f>IF(OR(L666="",J666=""),"",L666*J666)</f>
        <v/>
      </c>
      <c r="T666" s="10">
        <f>IF(P666="","",StartBank+SUM(P$2:P666))</f>
        <v/>
      </c>
    </row>
    <row r="667">
      <c r="A667" s="22" t="n"/>
      <c r="G667" s="21" t="n"/>
      <c r="H667" s="11" t="n"/>
      <c r="I667" s="21">
        <f>IF(OR(H667="",H667=0),"",1/H667)</f>
        <v/>
      </c>
      <c r="J667" s="11">
        <f>IF(OR(G667="",H667=""),"",H667*G667-1)</f>
        <v/>
      </c>
      <c r="K667" s="10">
        <f>IF(OR(G667="",H667="",G667&lt;=1),"",IF(J667&lt;IF(D667="Builder",MinEdgeBuilder,IF(D667="Player",MinEdgePlayer,MinEdgeSingle)),0,ROUND(MIN(IF(D667="Single",KellySingle,KellyBuilder)*(StartBank+SUM(P$1:P666))*J667/(G667-1),IF(D667="Builder",CapBuilder,CapSingle)*Unit),2)))</f>
        <v/>
      </c>
      <c r="L667" s="10" t="n"/>
      <c r="N667" s="10" t="n"/>
      <c r="O667" s="10">
        <f>IF(L667="","",IF(M667="Won",L667*G667,IF(M667="Void",L667,IF(M667="Cash out",N(N667),IF(M667="Lost",0,"")))))</f>
        <v/>
      </c>
      <c r="P667" s="10">
        <f>IF(OR(L667="",M667="",M667="Pending"),"",O667-L667)</f>
        <v/>
      </c>
      <c r="Q667" s="21" t="n"/>
      <c r="R667" s="11">
        <f>IF(OR(G667="",Q667=""),"",G667/Q667-1)</f>
        <v/>
      </c>
      <c r="S667" s="10">
        <f>IF(OR(L667="",J667=""),"",L667*J667)</f>
        <v/>
      </c>
      <c r="T667" s="10">
        <f>IF(P667="","",StartBank+SUM(P$2:P667))</f>
        <v/>
      </c>
    </row>
    <row r="668">
      <c r="A668" s="22" t="n"/>
      <c r="G668" s="21" t="n"/>
      <c r="H668" s="11" t="n"/>
      <c r="I668" s="21">
        <f>IF(OR(H668="",H668=0),"",1/H668)</f>
        <v/>
      </c>
      <c r="J668" s="11">
        <f>IF(OR(G668="",H668=""),"",H668*G668-1)</f>
        <v/>
      </c>
      <c r="K668" s="10">
        <f>IF(OR(G668="",H668="",G668&lt;=1),"",IF(J668&lt;IF(D668="Builder",MinEdgeBuilder,IF(D668="Player",MinEdgePlayer,MinEdgeSingle)),0,ROUND(MIN(IF(D668="Single",KellySingle,KellyBuilder)*(StartBank+SUM(P$1:P667))*J668/(G668-1),IF(D668="Builder",CapBuilder,CapSingle)*Unit),2)))</f>
        <v/>
      </c>
      <c r="L668" s="10" t="n"/>
      <c r="N668" s="10" t="n"/>
      <c r="O668" s="10">
        <f>IF(L668="","",IF(M668="Won",L668*G668,IF(M668="Void",L668,IF(M668="Cash out",N(N668),IF(M668="Lost",0,"")))))</f>
        <v/>
      </c>
      <c r="P668" s="10">
        <f>IF(OR(L668="",M668="",M668="Pending"),"",O668-L668)</f>
        <v/>
      </c>
      <c r="Q668" s="21" t="n"/>
      <c r="R668" s="11">
        <f>IF(OR(G668="",Q668=""),"",G668/Q668-1)</f>
        <v/>
      </c>
      <c r="S668" s="10">
        <f>IF(OR(L668="",J668=""),"",L668*J668)</f>
        <v/>
      </c>
      <c r="T668" s="10">
        <f>IF(P668="","",StartBank+SUM(P$2:P668))</f>
        <v/>
      </c>
    </row>
    <row r="669">
      <c r="A669" s="22" t="n"/>
      <c r="G669" s="21" t="n"/>
      <c r="H669" s="11" t="n"/>
      <c r="I669" s="21">
        <f>IF(OR(H669="",H669=0),"",1/H669)</f>
        <v/>
      </c>
      <c r="J669" s="11">
        <f>IF(OR(G669="",H669=""),"",H669*G669-1)</f>
        <v/>
      </c>
      <c r="K669" s="10">
        <f>IF(OR(G669="",H669="",G669&lt;=1),"",IF(J669&lt;IF(D669="Builder",MinEdgeBuilder,IF(D669="Player",MinEdgePlayer,MinEdgeSingle)),0,ROUND(MIN(IF(D669="Single",KellySingle,KellyBuilder)*(StartBank+SUM(P$1:P668))*J669/(G669-1),IF(D669="Builder",CapBuilder,CapSingle)*Unit),2)))</f>
        <v/>
      </c>
      <c r="L669" s="10" t="n"/>
      <c r="N669" s="10" t="n"/>
      <c r="O669" s="10">
        <f>IF(L669="","",IF(M669="Won",L669*G669,IF(M669="Void",L669,IF(M669="Cash out",N(N669),IF(M669="Lost",0,"")))))</f>
        <v/>
      </c>
      <c r="P669" s="10">
        <f>IF(OR(L669="",M669="",M669="Pending"),"",O669-L669)</f>
        <v/>
      </c>
      <c r="Q669" s="21" t="n"/>
      <c r="R669" s="11">
        <f>IF(OR(G669="",Q669=""),"",G669/Q669-1)</f>
        <v/>
      </c>
      <c r="S669" s="10">
        <f>IF(OR(L669="",J669=""),"",L669*J669)</f>
        <v/>
      </c>
      <c r="T669" s="10">
        <f>IF(P669="","",StartBank+SUM(P$2:P669))</f>
        <v/>
      </c>
    </row>
    <row r="670">
      <c r="A670" s="22" t="n"/>
      <c r="G670" s="21" t="n"/>
      <c r="H670" s="11" t="n"/>
      <c r="I670" s="21">
        <f>IF(OR(H670="",H670=0),"",1/H670)</f>
        <v/>
      </c>
      <c r="J670" s="11">
        <f>IF(OR(G670="",H670=""),"",H670*G670-1)</f>
        <v/>
      </c>
      <c r="K670" s="10">
        <f>IF(OR(G670="",H670="",G670&lt;=1),"",IF(J670&lt;IF(D670="Builder",MinEdgeBuilder,IF(D670="Player",MinEdgePlayer,MinEdgeSingle)),0,ROUND(MIN(IF(D670="Single",KellySingle,KellyBuilder)*(StartBank+SUM(P$1:P669))*J670/(G670-1),IF(D670="Builder",CapBuilder,CapSingle)*Unit),2)))</f>
        <v/>
      </c>
      <c r="L670" s="10" t="n"/>
      <c r="N670" s="10" t="n"/>
      <c r="O670" s="10">
        <f>IF(L670="","",IF(M670="Won",L670*G670,IF(M670="Void",L670,IF(M670="Cash out",N(N670),IF(M670="Lost",0,"")))))</f>
        <v/>
      </c>
      <c r="P670" s="10">
        <f>IF(OR(L670="",M670="",M670="Pending"),"",O670-L670)</f>
        <v/>
      </c>
      <c r="Q670" s="21" t="n"/>
      <c r="R670" s="11">
        <f>IF(OR(G670="",Q670=""),"",G670/Q670-1)</f>
        <v/>
      </c>
      <c r="S670" s="10">
        <f>IF(OR(L670="",J670=""),"",L670*J670)</f>
        <v/>
      </c>
      <c r="T670" s="10">
        <f>IF(P670="","",StartBank+SUM(P$2:P670))</f>
        <v/>
      </c>
    </row>
    <row r="671">
      <c r="A671" s="22" t="n"/>
      <c r="G671" s="21" t="n"/>
      <c r="H671" s="11" t="n"/>
      <c r="I671" s="21">
        <f>IF(OR(H671="",H671=0),"",1/H671)</f>
        <v/>
      </c>
      <c r="J671" s="11">
        <f>IF(OR(G671="",H671=""),"",H671*G671-1)</f>
        <v/>
      </c>
      <c r="K671" s="10">
        <f>IF(OR(G671="",H671="",G671&lt;=1),"",IF(J671&lt;IF(D671="Builder",MinEdgeBuilder,IF(D671="Player",MinEdgePlayer,MinEdgeSingle)),0,ROUND(MIN(IF(D671="Single",KellySingle,KellyBuilder)*(StartBank+SUM(P$1:P670))*J671/(G671-1),IF(D671="Builder",CapBuilder,CapSingle)*Unit),2)))</f>
        <v/>
      </c>
      <c r="L671" s="10" t="n"/>
      <c r="N671" s="10" t="n"/>
      <c r="O671" s="10">
        <f>IF(L671="","",IF(M671="Won",L671*G671,IF(M671="Void",L671,IF(M671="Cash out",N(N671),IF(M671="Lost",0,"")))))</f>
        <v/>
      </c>
      <c r="P671" s="10">
        <f>IF(OR(L671="",M671="",M671="Pending"),"",O671-L671)</f>
        <v/>
      </c>
      <c r="Q671" s="21" t="n"/>
      <c r="R671" s="11">
        <f>IF(OR(G671="",Q671=""),"",G671/Q671-1)</f>
        <v/>
      </c>
      <c r="S671" s="10">
        <f>IF(OR(L671="",J671=""),"",L671*J671)</f>
        <v/>
      </c>
      <c r="T671" s="10">
        <f>IF(P671="","",StartBank+SUM(P$2:P671))</f>
        <v/>
      </c>
    </row>
    <row r="672">
      <c r="A672" s="22" t="n"/>
      <c r="G672" s="21" t="n"/>
      <c r="H672" s="11" t="n"/>
      <c r="I672" s="21">
        <f>IF(OR(H672="",H672=0),"",1/H672)</f>
        <v/>
      </c>
      <c r="J672" s="11">
        <f>IF(OR(G672="",H672=""),"",H672*G672-1)</f>
        <v/>
      </c>
      <c r="K672" s="10">
        <f>IF(OR(G672="",H672="",G672&lt;=1),"",IF(J672&lt;IF(D672="Builder",MinEdgeBuilder,IF(D672="Player",MinEdgePlayer,MinEdgeSingle)),0,ROUND(MIN(IF(D672="Single",KellySingle,KellyBuilder)*(StartBank+SUM(P$1:P671))*J672/(G672-1),IF(D672="Builder",CapBuilder,CapSingle)*Unit),2)))</f>
        <v/>
      </c>
      <c r="L672" s="10" t="n"/>
      <c r="N672" s="10" t="n"/>
      <c r="O672" s="10">
        <f>IF(L672="","",IF(M672="Won",L672*G672,IF(M672="Void",L672,IF(M672="Cash out",N(N672),IF(M672="Lost",0,"")))))</f>
        <v/>
      </c>
      <c r="P672" s="10">
        <f>IF(OR(L672="",M672="",M672="Pending"),"",O672-L672)</f>
        <v/>
      </c>
      <c r="Q672" s="21" t="n"/>
      <c r="R672" s="11">
        <f>IF(OR(G672="",Q672=""),"",G672/Q672-1)</f>
        <v/>
      </c>
      <c r="S672" s="10">
        <f>IF(OR(L672="",J672=""),"",L672*J672)</f>
        <v/>
      </c>
      <c r="T672" s="10">
        <f>IF(P672="","",StartBank+SUM(P$2:P672))</f>
        <v/>
      </c>
    </row>
    <row r="673">
      <c r="A673" s="22" t="n"/>
      <c r="G673" s="21" t="n"/>
      <c r="H673" s="11" t="n"/>
      <c r="I673" s="21">
        <f>IF(OR(H673="",H673=0),"",1/H673)</f>
        <v/>
      </c>
      <c r="J673" s="11">
        <f>IF(OR(G673="",H673=""),"",H673*G673-1)</f>
        <v/>
      </c>
      <c r="K673" s="10">
        <f>IF(OR(G673="",H673="",G673&lt;=1),"",IF(J673&lt;IF(D673="Builder",MinEdgeBuilder,IF(D673="Player",MinEdgePlayer,MinEdgeSingle)),0,ROUND(MIN(IF(D673="Single",KellySingle,KellyBuilder)*(StartBank+SUM(P$1:P672))*J673/(G673-1),IF(D673="Builder",CapBuilder,CapSingle)*Unit),2)))</f>
        <v/>
      </c>
      <c r="L673" s="10" t="n"/>
      <c r="N673" s="10" t="n"/>
      <c r="O673" s="10">
        <f>IF(L673="","",IF(M673="Won",L673*G673,IF(M673="Void",L673,IF(M673="Cash out",N(N673),IF(M673="Lost",0,"")))))</f>
        <v/>
      </c>
      <c r="P673" s="10">
        <f>IF(OR(L673="",M673="",M673="Pending"),"",O673-L673)</f>
        <v/>
      </c>
      <c r="Q673" s="21" t="n"/>
      <c r="R673" s="11">
        <f>IF(OR(G673="",Q673=""),"",G673/Q673-1)</f>
        <v/>
      </c>
      <c r="S673" s="10">
        <f>IF(OR(L673="",J673=""),"",L673*J673)</f>
        <v/>
      </c>
      <c r="T673" s="10">
        <f>IF(P673="","",StartBank+SUM(P$2:P673))</f>
        <v/>
      </c>
    </row>
    <row r="674">
      <c r="A674" s="22" t="n"/>
      <c r="G674" s="21" t="n"/>
      <c r="H674" s="11" t="n"/>
      <c r="I674" s="21">
        <f>IF(OR(H674="",H674=0),"",1/H674)</f>
        <v/>
      </c>
      <c r="J674" s="11">
        <f>IF(OR(G674="",H674=""),"",H674*G674-1)</f>
        <v/>
      </c>
      <c r="K674" s="10">
        <f>IF(OR(G674="",H674="",G674&lt;=1),"",IF(J674&lt;IF(D674="Builder",MinEdgeBuilder,IF(D674="Player",MinEdgePlayer,MinEdgeSingle)),0,ROUND(MIN(IF(D674="Single",KellySingle,KellyBuilder)*(StartBank+SUM(P$1:P673))*J674/(G674-1),IF(D674="Builder",CapBuilder,CapSingle)*Unit),2)))</f>
        <v/>
      </c>
      <c r="L674" s="10" t="n"/>
      <c r="N674" s="10" t="n"/>
      <c r="O674" s="10">
        <f>IF(L674="","",IF(M674="Won",L674*G674,IF(M674="Void",L674,IF(M674="Cash out",N(N674),IF(M674="Lost",0,"")))))</f>
        <v/>
      </c>
      <c r="P674" s="10">
        <f>IF(OR(L674="",M674="",M674="Pending"),"",O674-L674)</f>
        <v/>
      </c>
      <c r="Q674" s="21" t="n"/>
      <c r="R674" s="11">
        <f>IF(OR(G674="",Q674=""),"",G674/Q674-1)</f>
        <v/>
      </c>
      <c r="S674" s="10">
        <f>IF(OR(L674="",J674=""),"",L674*J674)</f>
        <v/>
      </c>
      <c r="T674" s="10">
        <f>IF(P674="","",StartBank+SUM(P$2:P674))</f>
        <v/>
      </c>
    </row>
    <row r="675">
      <c r="A675" s="22" t="n"/>
      <c r="G675" s="21" t="n"/>
      <c r="H675" s="11" t="n"/>
      <c r="I675" s="21">
        <f>IF(OR(H675="",H675=0),"",1/H675)</f>
        <v/>
      </c>
      <c r="J675" s="11">
        <f>IF(OR(G675="",H675=""),"",H675*G675-1)</f>
        <v/>
      </c>
      <c r="K675" s="10">
        <f>IF(OR(G675="",H675="",G675&lt;=1),"",IF(J675&lt;IF(D675="Builder",MinEdgeBuilder,IF(D675="Player",MinEdgePlayer,MinEdgeSingle)),0,ROUND(MIN(IF(D675="Single",KellySingle,KellyBuilder)*(StartBank+SUM(P$1:P674))*J675/(G675-1),IF(D675="Builder",CapBuilder,CapSingle)*Unit),2)))</f>
        <v/>
      </c>
      <c r="L675" s="10" t="n"/>
      <c r="N675" s="10" t="n"/>
      <c r="O675" s="10">
        <f>IF(L675="","",IF(M675="Won",L675*G675,IF(M675="Void",L675,IF(M675="Cash out",N(N675),IF(M675="Lost",0,"")))))</f>
        <v/>
      </c>
      <c r="P675" s="10">
        <f>IF(OR(L675="",M675="",M675="Pending"),"",O675-L675)</f>
        <v/>
      </c>
      <c r="Q675" s="21" t="n"/>
      <c r="R675" s="11">
        <f>IF(OR(G675="",Q675=""),"",G675/Q675-1)</f>
        <v/>
      </c>
      <c r="S675" s="10">
        <f>IF(OR(L675="",J675=""),"",L675*J675)</f>
        <v/>
      </c>
      <c r="T675" s="10">
        <f>IF(P675="","",StartBank+SUM(P$2:P675))</f>
        <v/>
      </c>
    </row>
    <row r="676">
      <c r="A676" s="22" t="n"/>
      <c r="G676" s="21" t="n"/>
      <c r="H676" s="11" t="n"/>
      <c r="I676" s="21">
        <f>IF(OR(H676="",H676=0),"",1/H676)</f>
        <v/>
      </c>
      <c r="J676" s="11">
        <f>IF(OR(G676="",H676=""),"",H676*G676-1)</f>
        <v/>
      </c>
      <c r="K676" s="10">
        <f>IF(OR(G676="",H676="",G676&lt;=1),"",IF(J676&lt;IF(D676="Builder",MinEdgeBuilder,IF(D676="Player",MinEdgePlayer,MinEdgeSingle)),0,ROUND(MIN(IF(D676="Single",KellySingle,KellyBuilder)*(StartBank+SUM(P$1:P675))*J676/(G676-1),IF(D676="Builder",CapBuilder,CapSingle)*Unit),2)))</f>
        <v/>
      </c>
      <c r="L676" s="10" t="n"/>
      <c r="N676" s="10" t="n"/>
      <c r="O676" s="10">
        <f>IF(L676="","",IF(M676="Won",L676*G676,IF(M676="Void",L676,IF(M676="Cash out",N(N676),IF(M676="Lost",0,"")))))</f>
        <v/>
      </c>
      <c r="P676" s="10">
        <f>IF(OR(L676="",M676="",M676="Pending"),"",O676-L676)</f>
        <v/>
      </c>
      <c r="Q676" s="21" t="n"/>
      <c r="R676" s="11">
        <f>IF(OR(G676="",Q676=""),"",G676/Q676-1)</f>
        <v/>
      </c>
      <c r="S676" s="10">
        <f>IF(OR(L676="",J676=""),"",L676*J676)</f>
        <v/>
      </c>
      <c r="T676" s="10">
        <f>IF(P676="","",StartBank+SUM(P$2:P676))</f>
        <v/>
      </c>
    </row>
    <row r="677">
      <c r="A677" s="22" t="n"/>
      <c r="G677" s="21" t="n"/>
      <c r="H677" s="11" t="n"/>
      <c r="I677" s="21">
        <f>IF(OR(H677="",H677=0),"",1/H677)</f>
        <v/>
      </c>
      <c r="J677" s="11">
        <f>IF(OR(G677="",H677=""),"",H677*G677-1)</f>
        <v/>
      </c>
      <c r="K677" s="10">
        <f>IF(OR(G677="",H677="",G677&lt;=1),"",IF(J677&lt;IF(D677="Builder",MinEdgeBuilder,IF(D677="Player",MinEdgePlayer,MinEdgeSingle)),0,ROUND(MIN(IF(D677="Single",KellySingle,KellyBuilder)*(StartBank+SUM(P$1:P676))*J677/(G677-1),IF(D677="Builder",CapBuilder,CapSingle)*Unit),2)))</f>
        <v/>
      </c>
      <c r="L677" s="10" t="n"/>
      <c r="N677" s="10" t="n"/>
      <c r="O677" s="10">
        <f>IF(L677="","",IF(M677="Won",L677*G677,IF(M677="Void",L677,IF(M677="Cash out",N(N677),IF(M677="Lost",0,"")))))</f>
        <v/>
      </c>
      <c r="P677" s="10">
        <f>IF(OR(L677="",M677="",M677="Pending"),"",O677-L677)</f>
        <v/>
      </c>
      <c r="Q677" s="21" t="n"/>
      <c r="R677" s="11">
        <f>IF(OR(G677="",Q677=""),"",G677/Q677-1)</f>
        <v/>
      </c>
      <c r="S677" s="10">
        <f>IF(OR(L677="",J677=""),"",L677*J677)</f>
        <v/>
      </c>
      <c r="T677" s="10">
        <f>IF(P677="","",StartBank+SUM(P$2:P677))</f>
        <v/>
      </c>
    </row>
    <row r="678">
      <c r="A678" s="22" t="n"/>
      <c r="G678" s="21" t="n"/>
      <c r="H678" s="11" t="n"/>
      <c r="I678" s="21">
        <f>IF(OR(H678="",H678=0),"",1/H678)</f>
        <v/>
      </c>
      <c r="J678" s="11">
        <f>IF(OR(G678="",H678=""),"",H678*G678-1)</f>
        <v/>
      </c>
      <c r="K678" s="10">
        <f>IF(OR(G678="",H678="",G678&lt;=1),"",IF(J678&lt;IF(D678="Builder",MinEdgeBuilder,IF(D678="Player",MinEdgePlayer,MinEdgeSingle)),0,ROUND(MIN(IF(D678="Single",KellySingle,KellyBuilder)*(StartBank+SUM(P$1:P677))*J678/(G678-1),IF(D678="Builder",CapBuilder,CapSingle)*Unit),2)))</f>
        <v/>
      </c>
      <c r="L678" s="10" t="n"/>
      <c r="N678" s="10" t="n"/>
      <c r="O678" s="10">
        <f>IF(L678="","",IF(M678="Won",L678*G678,IF(M678="Void",L678,IF(M678="Cash out",N(N678),IF(M678="Lost",0,"")))))</f>
        <v/>
      </c>
      <c r="P678" s="10">
        <f>IF(OR(L678="",M678="",M678="Pending"),"",O678-L678)</f>
        <v/>
      </c>
      <c r="Q678" s="21" t="n"/>
      <c r="R678" s="11">
        <f>IF(OR(G678="",Q678=""),"",G678/Q678-1)</f>
        <v/>
      </c>
      <c r="S678" s="10">
        <f>IF(OR(L678="",J678=""),"",L678*J678)</f>
        <v/>
      </c>
      <c r="T678" s="10">
        <f>IF(P678="","",StartBank+SUM(P$2:P678))</f>
        <v/>
      </c>
    </row>
    <row r="679">
      <c r="A679" s="22" t="n"/>
      <c r="G679" s="21" t="n"/>
      <c r="H679" s="11" t="n"/>
      <c r="I679" s="21">
        <f>IF(OR(H679="",H679=0),"",1/H679)</f>
        <v/>
      </c>
      <c r="J679" s="11">
        <f>IF(OR(G679="",H679=""),"",H679*G679-1)</f>
        <v/>
      </c>
      <c r="K679" s="10">
        <f>IF(OR(G679="",H679="",G679&lt;=1),"",IF(J679&lt;IF(D679="Builder",MinEdgeBuilder,IF(D679="Player",MinEdgePlayer,MinEdgeSingle)),0,ROUND(MIN(IF(D679="Single",KellySingle,KellyBuilder)*(StartBank+SUM(P$1:P678))*J679/(G679-1),IF(D679="Builder",CapBuilder,CapSingle)*Unit),2)))</f>
        <v/>
      </c>
      <c r="L679" s="10" t="n"/>
      <c r="N679" s="10" t="n"/>
      <c r="O679" s="10">
        <f>IF(L679="","",IF(M679="Won",L679*G679,IF(M679="Void",L679,IF(M679="Cash out",N(N679),IF(M679="Lost",0,"")))))</f>
        <v/>
      </c>
      <c r="P679" s="10">
        <f>IF(OR(L679="",M679="",M679="Pending"),"",O679-L679)</f>
        <v/>
      </c>
      <c r="Q679" s="21" t="n"/>
      <c r="R679" s="11">
        <f>IF(OR(G679="",Q679=""),"",G679/Q679-1)</f>
        <v/>
      </c>
      <c r="S679" s="10">
        <f>IF(OR(L679="",J679=""),"",L679*J679)</f>
        <v/>
      </c>
      <c r="T679" s="10">
        <f>IF(P679="","",StartBank+SUM(P$2:P679))</f>
        <v/>
      </c>
    </row>
    <row r="680">
      <c r="A680" s="22" t="n"/>
      <c r="G680" s="21" t="n"/>
      <c r="H680" s="11" t="n"/>
      <c r="I680" s="21">
        <f>IF(OR(H680="",H680=0),"",1/H680)</f>
        <v/>
      </c>
      <c r="J680" s="11">
        <f>IF(OR(G680="",H680=""),"",H680*G680-1)</f>
        <v/>
      </c>
      <c r="K680" s="10">
        <f>IF(OR(G680="",H680="",G680&lt;=1),"",IF(J680&lt;IF(D680="Builder",MinEdgeBuilder,IF(D680="Player",MinEdgePlayer,MinEdgeSingle)),0,ROUND(MIN(IF(D680="Single",KellySingle,KellyBuilder)*(StartBank+SUM(P$1:P679))*J680/(G680-1),IF(D680="Builder",CapBuilder,CapSingle)*Unit),2)))</f>
        <v/>
      </c>
      <c r="L680" s="10" t="n"/>
      <c r="N680" s="10" t="n"/>
      <c r="O680" s="10">
        <f>IF(L680="","",IF(M680="Won",L680*G680,IF(M680="Void",L680,IF(M680="Cash out",N(N680),IF(M680="Lost",0,"")))))</f>
        <v/>
      </c>
      <c r="P680" s="10">
        <f>IF(OR(L680="",M680="",M680="Pending"),"",O680-L680)</f>
        <v/>
      </c>
      <c r="Q680" s="21" t="n"/>
      <c r="R680" s="11">
        <f>IF(OR(G680="",Q680=""),"",G680/Q680-1)</f>
        <v/>
      </c>
      <c r="S680" s="10">
        <f>IF(OR(L680="",J680=""),"",L680*J680)</f>
        <v/>
      </c>
      <c r="T680" s="10">
        <f>IF(P680="","",StartBank+SUM(P$2:P680))</f>
        <v/>
      </c>
    </row>
    <row r="681">
      <c r="A681" s="22" t="n"/>
      <c r="G681" s="21" t="n"/>
      <c r="H681" s="11" t="n"/>
      <c r="I681" s="21">
        <f>IF(OR(H681="",H681=0),"",1/H681)</f>
        <v/>
      </c>
      <c r="J681" s="11">
        <f>IF(OR(G681="",H681=""),"",H681*G681-1)</f>
        <v/>
      </c>
      <c r="K681" s="10">
        <f>IF(OR(G681="",H681="",G681&lt;=1),"",IF(J681&lt;IF(D681="Builder",MinEdgeBuilder,IF(D681="Player",MinEdgePlayer,MinEdgeSingle)),0,ROUND(MIN(IF(D681="Single",KellySingle,KellyBuilder)*(StartBank+SUM(P$1:P680))*J681/(G681-1),IF(D681="Builder",CapBuilder,CapSingle)*Unit),2)))</f>
        <v/>
      </c>
      <c r="L681" s="10" t="n"/>
      <c r="N681" s="10" t="n"/>
      <c r="O681" s="10">
        <f>IF(L681="","",IF(M681="Won",L681*G681,IF(M681="Void",L681,IF(M681="Cash out",N(N681),IF(M681="Lost",0,"")))))</f>
        <v/>
      </c>
      <c r="P681" s="10">
        <f>IF(OR(L681="",M681="",M681="Pending"),"",O681-L681)</f>
        <v/>
      </c>
      <c r="Q681" s="21" t="n"/>
      <c r="R681" s="11">
        <f>IF(OR(G681="",Q681=""),"",G681/Q681-1)</f>
        <v/>
      </c>
      <c r="S681" s="10">
        <f>IF(OR(L681="",J681=""),"",L681*J681)</f>
        <v/>
      </c>
      <c r="T681" s="10">
        <f>IF(P681="","",StartBank+SUM(P$2:P681))</f>
        <v/>
      </c>
    </row>
    <row r="682">
      <c r="A682" s="22" t="n"/>
      <c r="G682" s="21" t="n"/>
      <c r="H682" s="11" t="n"/>
      <c r="I682" s="21">
        <f>IF(OR(H682="",H682=0),"",1/H682)</f>
        <v/>
      </c>
      <c r="J682" s="11">
        <f>IF(OR(G682="",H682=""),"",H682*G682-1)</f>
        <v/>
      </c>
      <c r="K682" s="10">
        <f>IF(OR(G682="",H682="",G682&lt;=1),"",IF(J682&lt;IF(D682="Builder",MinEdgeBuilder,IF(D682="Player",MinEdgePlayer,MinEdgeSingle)),0,ROUND(MIN(IF(D682="Single",KellySingle,KellyBuilder)*(StartBank+SUM(P$1:P681))*J682/(G682-1),IF(D682="Builder",CapBuilder,CapSingle)*Unit),2)))</f>
        <v/>
      </c>
      <c r="L682" s="10" t="n"/>
      <c r="N682" s="10" t="n"/>
      <c r="O682" s="10">
        <f>IF(L682="","",IF(M682="Won",L682*G682,IF(M682="Void",L682,IF(M682="Cash out",N(N682),IF(M682="Lost",0,"")))))</f>
        <v/>
      </c>
      <c r="P682" s="10">
        <f>IF(OR(L682="",M682="",M682="Pending"),"",O682-L682)</f>
        <v/>
      </c>
      <c r="Q682" s="21" t="n"/>
      <c r="R682" s="11">
        <f>IF(OR(G682="",Q682=""),"",G682/Q682-1)</f>
        <v/>
      </c>
      <c r="S682" s="10">
        <f>IF(OR(L682="",J682=""),"",L682*J682)</f>
        <v/>
      </c>
      <c r="T682" s="10">
        <f>IF(P682="","",StartBank+SUM(P$2:P682))</f>
        <v/>
      </c>
    </row>
    <row r="683">
      <c r="A683" s="22" t="n"/>
      <c r="G683" s="21" t="n"/>
      <c r="H683" s="11" t="n"/>
      <c r="I683" s="21">
        <f>IF(OR(H683="",H683=0),"",1/H683)</f>
        <v/>
      </c>
      <c r="J683" s="11">
        <f>IF(OR(G683="",H683=""),"",H683*G683-1)</f>
        <v/>
      </c>
      <c r="K683" s="10">
        <f>IF(OR(G683="",H683="",G683&lt;=1),"",IF(J683&lt;IF(D683="Builder",MinEdgeBuilder,IF(D683="Player",MinEdgePlayer,MinEdgeSingle)),0,ROUND(MIN(IF(D683="Single",KellySingle,KellyBuilder)*(StartBank+SUM(P$1:P682))*J683/(G683-1),IF(D683="Builder",CapBuilder,CapSingle)*Unit),2)))</f>
        <v/>
      </c>
      <c r="L683" s="10" t="n"/>
      <c r="N683" s="10" t="n"/>
      <c r="O683" s="10">
        <f>IF(L683="","",IF(M683="Won",L683*G683,IF(M683="Void",L683,IF(M683="Cash out",N(N683),IF(M683="Lost",0,"")))))</f>
        <v/>
      </c>
      <c r="P683" s="10">
        <f>IF(OR(L683="",M683="",M683="Pending"),"",O683-L683)</f>
        <v/>
      </c>
      <c r="Q683" s="21" t="n"/>
      <c r="R683" s="11">
        <f>IF(OR(G683="",Q683=""),"",G683/Q683-1)</f>
        <v/>
      </c>
      <c r="S683" s="10">
        <f>IF(OR(L683="",J683=""),"",L683*J683)</f>
        <v/>
      </c>
      <c r="T683" s="10">
        <f>IF(P683="","",StartBank+SUM(P$2:P683))</f>
        <v/>
      </c>
    </row>
    <row r="684">
      <c r="A684" s="22" t="n"/>
      <c r="G684" s="21" t="n"/>
      <c r="H684" s="11" t="n"/>
      <c r="I684" s="21">
        <f>IF(OR(H684="",H684=0),"",1/H684)</f>
        <v/>
      </c>
      <c r="J684" s="11">
        <f>IF(OR(G684="",H684=""),"",H684*G684-1)</f>
        <v/>
      </c>
      <c r="K684" s="10">
        <f>IF(OR(G684="",H684="",G684&lt;=1),"",IF(J684&lt;IF(D684="Builder",MinEdgeBuilder,IF(D684="Player",MinEdgePlayer,MinEdgeSingle)),0,ROUND(MIN(IF(D684="Single",KellySingle,KellyBuilder)*(StartBank+SUM(P$1:P683))*J684/(G684-1),IF(D684="Builder",CapBuilder,CapSingle)*Unit),2)))</f>
        <v/>
      </c>
      <c r="L684" s="10" t="n"/>
      <c r="N684" s="10" t="n"/>
      <c r="O684" s="10">
        <f>IF(L684="","",IF(M684="Won",L684*G684,IF(M684="Void",L684,IF(M684="Cash out",N(N684),IF(M684="Lost",0,"")))))</f>
        <v/>
      </c>
      <c r="P684" s="10">
        <f>IF(OR(L684="",M684="",M684="Pending"),"",O684-L684)</f>
        <v/>
      </c>
      <c r="Q684" s="21" t="n"/>
      <c r="R684" s="11">
        <f>IF(OR(G684="",Q684=""),"",G684/Q684-1)</f>
        <v/>
      </c>
      <c r="S684" s="10">
        <f>IF(OR(L684="",J684=""),"",L684*J684)</f>
        <v/>
      </c>
      <c r="T684" s="10">
        <f>IF(P684="","",StartBank+SUM(P$2:P684))</f>
        <v/>
      </c>
    </row>
    <row r="685">
      <c r="A685" s="22" t="n"/>
      <c r="G685" s="21" t="n"/>
      <c r="H685" s="11" t="n"/>
      <c r="I685" s="21">
        <f>IF(OR(H685="",H685=0),"",1/H685)</f>
        <v/>
      </c>
      <c r="J685" s="11">
        <f>IF(OR(G685="",H685=""),"",H685*G685-1)</f>
        <v/>
      </c>
      <c r="K685" s="10">
        <f>IF(OR(G685="",H685="",G685&lt;=1),"",IF(J685&lt;IF(D685="Builder",MinEdgeBuilder,IF(D685="Player",MinEdgePlayer,MinEdgeSingle)),0,ROUND(MIN(IF(D685="Single",KellySingle,KellyBuilder)*(StartBank+SUM(P$1:P684))*J685/(G685-1),IF(D685="Builder",CapBuilder,CapSingle)*Unit),2)))</f>
        <v/>
      </c>
      <c r="L685" s="10" t="n"/>
      <c r="N685" s="10" t="n"/>
      <c r="O685" s="10">
        <f>IF(L685="","",IF(M685="Won",L685*G685,IF(M685="Void",L685,IF(M685="Cash out",N(N685),IF(M685="Lost",0,"")))))</f>
        <v/>
      </c>
      <c r="P685" s="10">
        <f>IF(OR(L685="",M685="",M685="Pending"),"",O685-L685)</f>
        <v/>
      </c>
      <c r="Q685" s="21" t="n"/>
      <c r="R685" s="11">
        <f>IF(OR(G685="",Q685=""),"",G685/Q685-1)</f>
        <v/>
      </c>
      <c r="S685" s="10">
        <f>IF(OR(L685="",J685=""),"",L685*J685)</f>
        <v/>
      </c>
      <c r="T685" s="10">
        <f>IF(P685="","",StartBank+SUM(P$2:P685))</f>
        <v/>
      </c>
    </row>
    <row r="686">
      <c r="A686" s="22" t="n"/>
      <c r="G686" s="21" t="n"/>
      <c r="H686" s="11" t="n"/>
      <c r="I686" s="21">
        <f>IF(OR(H686="",H686=0),"",1/H686)</f>
        <v/>
      </c>
      <c r="J686" s="11">
        <f>IF(OR(G686="",H686=""),"",H686*G686-1)</f>
        <v/>
      </c>
      <c r="K686" s="10">
        <f>IF(OR(G686="",H686="",G686&lt;=1),"",IF(J686&lt;IF(D686="Builder",MinEdgeBuilder,IF(D686="Player",MinEdgePlayer,MinEdgeSingle)),0,ROUND(MIN(IF(D686="Single",KellySingle,KellyBuilder)*(StartBank+SUM(P$1:P685))*J686/(G686-1),IF(D686="Builder",CapBuilder,CapSingle)*Unit),2)))</f>
        <v/>
      </c>
      <c r="L686" s="10" t="n"/>
      <c r="N686" s="10" t="n"/>
      <c r="O686" s="10">
        <f>IF(L686="","",IF(M686="Won",L686*G686,IF(M686="Void",L686,IF(M686="Cash out",N(N686),IF(M686="Lost",0,"")))))</f>
        <v/>
      </c>
      <c r="P686" s="10">
        <f>IF(OR(L686="",M686="",M686="Pending"),"",O686-L686)</f>
        <v/>
      </c>
      <c r="Q686" s="21" t="n"/>
      <c r="R686" s="11">
        <f>IF(OR(G686="",Q686=""),"",G686/Q686-1)</f>
        <v/>
      </c>
      <c r="S686" s="10">
        <f>IF(OR(L686="",J686=""),"",L686*J686)</f>
        <v/>
      </c>
      <c r="T686" s="10">
        <f>IF(P686="","",StartBank+SUM(P$2:P686))</f>
        <v/>
      </c>
    </row>
    <row r="687">
      <c r="A687" s="22" t="n"/>
      <c r="G687" s="21" t="n"/>
      <c r="H687" s="11" t="n"/>
      <c r="I687" s="21">
        <f>IF(OR(H687="",H687=0),"",1/H687)</f>
        <v/>
      </c>
      <c r="J687" s="11">
        <f>IF(OR(G687="",H687=""),"",H687*G687-1)</f>
        <v/>
      </c>
      <c r="K687" s="10">
        <f>IF(OR(G687="",H687="",G687&lt;=1),"",IF(J687&lt;IF(D687="Builder",MinEdgeBuilder,IF(D687="Player",MinEdgePlayer,MinEdgeSingle)),0,ROUND(MIN(IF(D687="Single",KellySingle,KellyBuilder)*(StartBank+SUM(P$1:P686))*J687/(G687-1),IF(D687="Builder",CapBuilder,CapSingle)*Unit),2)))</f>
        <v/>
      </c>
      <c r="L687" s="10" t="n"/>
      <c r="N687" s="10" t="n"/>
      <c r="O687" s="10">
        <f>IF(L687="","",IF(M687="Won",L687*G687,IF(M687="Void",L687,IF(M687="Cash out",N(N687),IF(M687="Lost",0,"")))))</f>
        <v/>
      </c>
      <c r="P687" s="10">
        <f>IF(OR(L687="",M687="",M687="Pending"),"",O687-L687)</f>
        <v/>
      </c>
      <c r="Q687" s="21" t="n"/>
      <c r="R687" s="11">
        <f>IF(OR(G687="",Q687=""),"",G687/Q687-1)</f>
        <v/>
      </c>
      <c r="S687" s="10">
        <f>IF(OR(L687="",J687=""),"",L687*J687)</f>
        <v/>
      </c>
      <c r="T687" s="10">
        <f>IF(P687="","",StartBank+SUM(P$2:P687))</f>
        <v/>
      </c>
    </row>
    <row r="688">
      <c r="A688" s="22" t="n"/>
      <c r="G688" s="21" t="n"/>
      <c r="H688" s="11" t="n"/>
      <c r="I688" s="21">
        <f>IF(OR(H688="",H688=0),"",1/H688)</f>
        <v/>
      </c>
      <c r="J688" s="11">
        <f>IF(OR(G688="",H688=""),"",H688*G688-1)</f>
        <v/>
      </c>
      <c r="K688" s="10">
        <f>IF(OR(G688="",H688="",G688&lt;=1),"",IF(J688&lt;IF(D688="Builder",MinEdgeBuilder,IF(D688="Player",MinEdgePlayer,MinEdgeSingle)),0,ROUND(MIN(IF(D688="Single",KellySingle,KellyBuilder)*(StartBank+SUM(P$1:P687))*J688/(G688-1),IF(D688="Builder",CapBuilder,CapSingle)*Unit),2)))</f>
        <v/>
      </c>
      <c r="L688" s="10" t="n"/>
      <c r="N688" s="10" t="n"/>
      <c r="O688" s="10">
        <f>IF(L688="","",IF(M688="Won",L688*G688,IF(M688="Void",L688,IF(M688="Cash out",N(N688),IF(M688="Lost",0,"")))))</f>
        <v/>
      </c>
      <c r="P688" s="10">
        <f>IF(OR(L688="",M688="",M688="Pending"),"",O688-L688)</f>
        <v/>
      </c>
      <c r="Q688" s="21" t="n"/>
      <c r="R688" s="11">
        <f>IF(OR(G688="",Q688=""),"",G688/Q688-1)</f>
        <v/>
      </c>
      <c r="S688" s="10">
        <f>IF(OR(L688="",J688=""),"",L688*J688)</f>
        <v/>
      </c>
      <c r="T688" s="10">
        <f>IF(P688="","",StartBank+SUM(P$2:P688))</f>
        <v/>
      </c>
    </row>
    <row r="689">
      <c r="A689" s="22" t="n"/>
      <c r="G689" s="21" t="n"/>
      <c r="H689" s="11" t="n"/>
      <c r="I689" s="21">
        <f>IF(OR(H689="",H689=0),"",1/H689)</f>
        <v/>
      </c>
      <c r="J689" s="11">
        <f>IF(OR(G689="",H689=""),"",H689*G689-1)</f>
        <v/>
      </c>
      <c r="K689" s="10">
        <f>IF(OR(G689="",H689="",G689&lt;=1),"",IF(J689&lt;IF(D689="Builder",MinEdgeBuilder,IF(D689="Player",MinEdgePlayer,MinEdgeSingle)),0,ROUND(MIN(IF(D689="Single",KellySingle,KellyBuilder)*(StartBank+SUM(P$1:P688))*J689/(G689-1),IF(D689="Builder",CapBuilder,CapSingle)*Unit),2)))</f>
        <v/>
      </c>
      <c r="L689" s="10" t="n"/>
      <c r="N689" s="10" t="n"/>
      <c r="O689" s="10">
        <f>IF(L689="","",IF(M689="Won",L689*G689,IF(M689="Void",L689,IF(M689="Cash out",N(N689),IF(M689="Lost",0,"")))))</f>
        <v/>
      </c>
      <c r="P689" s="10">
        <f>IF(OR(L689="",M689="",M689="Pending"),"",O689-L689)</f>
        <v/>
      </c>
      <c r="Q689" s="21" t="n"/>
      <c r="R689" s="11">
        <f>IF(OR(G689="",Q689=""),"",G689/Q689-1)</f>
        <v/>
      </c>
      <c r="S689" s="10">
        <f>IF(OR(L689="",J689=""),"",L689*J689)</f>
        <v/>
      </c>
      <c r="T689" s="10">
        <f>IF(P689="","",StartBank+SUM(P$2:P689))</f>
        <v/>
      </c>
    </row>
    <row r="690">
      <c r="A690" s="22" t="n"/>
      <c r="G690" s="21" t="n"/>
      <c r="H690" s="11" t="n"/>
      <c r="I690" s="21">
        <f>IF(OR(H690="",H690=0),"",1/H690)</f>
        <v/>
      </c>
      <c r="J690" s="11">
        <f>IF(OR(G690="",H690=""),"",H690*G690-1)</f>
        <v/>
      </c>
      <c r="K690" s="10">
        <f>IF(OR(G690="",H690="",G690&lt;=1),"",IF(J690&lt;IF(D690="Builder",MinEdgeBuilder,IF(D690="Player",MinEdgePlayer,MinEdgeSingle)),0,ROUND(MIN(IF(D690="Single",KellySingle,KellyBuilder)*(StartBank+SUM(P$1:P689))*J690/(G690-1),IF(D690="Builder",CapBuilder,CapSingle)*Unit),2)))</f>
        <v/>
      </c>
      <c r="L690" s="10" t="n"/>
      <c r="N690" s="10" t="n"/>
      <c r="O690" s="10">
        <f>IF(L690="","",IF(M690="Won",L690*G690,IF(M690="Void",L690,IF(M690="Cash out",N(N690),IF(M690="Lost",0,"")))))</f>
        <v/>
      </c>
      <c r="P690" s="10">
        <f>IF(OR(L690="",M690="",M690="Pending"),"",O690-L690)</f>
        <v/>
      </c>
      <c r="Q690" s="21" t="n"/>
      <c r="R690" s="11">
        <f>IF(OR(G690="",Q690=""),"",G690/Q690-1)</f>
        <v/>
      </c>
      <c r="S690" s="10">
        <f>IF(OR(L690="",J690=""),"",L690*J690)</f>
        <v/>
      </c>
      <c r="T690" s="10">
        <f>IF(P690="","",StartBank+SUM(P$2:P690))</f>
        <v/>
      </c>
    </row>
    <row r="691">
      <c r="A691" s="22" t="n"/>
      <c r="G691" s="21" t="n"/>
      <c r="H691" s="11" t="n"/>
      <c r="I691" s="21">
        <f>IF(OR(H691="",H691=0),"",1/H691)</f>
        <v/>
      </c>
      <c r="J691" s="11">
        <f>IF(OR(G691="",H691=""),"",H691*G691-1)</f>
        <v/>
      </c>
      <c r="K691" s="10">
        <f>IF(OR(G691="",H691="",G691&lt;=1),"",IF(J691&lt;IF(D691="Builder",MinEdgeBuilder,IF(D691="Player",MinEdgePlayer,MinEdgeSingle)),0,ROUND(MIN(IF(D691="Single",KellySingle,KellyBuilder)*(StartBank+SUM(P$1:P690))*J691/(G691-1),IF(D691="Builder",CapBuilder,CapSingle)*Unit),2)))</f>
        <v/>
      </c>
      <c r="L691" s="10" t="n"/>
      <c r="N691" s="10" t="n"/>
      <c r="O691" s="10">
        <f>IF(L691="","",IF(M691="Won",L691*G691,IF(M691="Void",L691,IF(M691="Cash out",N(N691),IF(M691="Lost",0,"")))))</f>
        <v/>
      </c>
      <c r="P691" s="10">
        <f>IF(OR(L691="",M691="",M691="Pending"),"",O691-L691)</f>
        <v/>
      </c>
      <c r="Q691" s="21" t="n"/>
      <c r="R691" s="11">
        <f>IF(OR(G691="",Q691=""),"",G691/Q691-1)</f>
        <v/>
      </c>
      <c r="S691" s="10">
        <f>IF(OR(L691="",J691=""),"",L691*J691)</f>
        <v/>
      </c>
      <c r="T691" s="10">
        <f>IF(P691="","",StartBank+SUM(P$2:P691))</f>
        <v/>
      </c>
    </row>
    <row r="692">
      <c r="A692" s="22" t="n"/>
      <c r="G692" s="21" t="n"/>
      <c r="H692" s="11" t="n"/>
      <c r="I692" s="21">
        <f>IF(OR(H692="",H692=0),"",1/H692)</f>
        <v/>
      </c>
      <c r="J692" s="11">
        <f>IF(OR(G692="",H692=""),"",H692*G692-1)</f>
        <v/>
      </c>
      <c r="K692" s="10">
        <f>IF(OR(G692="",H692="",G692&lt;=1),"",IF(J692&lt;IF(D692="Builder",MinEdgeBuilder,IF(D692="Player",MinEdgePlayer,MinEdgeSingle)),0,ROUND(MIN(IF(D692="Single",KellySingle,KellyBuilder)*(StartBank+SUM(P$1:P691))*J692/(G692-1),IF(D692="Builder",CapBuilder,CapSingle)*Unit),2)))</f>
        <v/>
      </c>
      <c r="L692" s="10" t="n"/>
      <c r="N692" s="10" t="n"/>
      <c r="O692" s="10">
        <f>IF(L692="","",IF(M692="Won",L692*G692,IF(M692="Void",L692,IF(M692="Cash out",N(N692),IF(M692="Lost",0,"")))))</f>
        <v/>
      </c>
      <c r="P692" s="10">
        <f>IF(OR(L692="",M692="",M692="Pending"),"",O692-L692)</f>
        <v/>
      </c>
      <c r="Q692" s="21" t="n"/>
      <c r="R692" s="11">
        <f>IF(OR(G692="",Q692=""),"",G692/Q692-1)</f>
        <v/>
      </c>
      <c r="S692" s="10">
        <f>IF(OR(L692="",J692=""),"",L692*J692)</f>
        <v/>
      </c>
      <c r="T692" s="10">
        <f>IF(P692="","",StartBank+SUM(P$2:P692))</f>
        <v/>
      </c>
    </row>
    <row r="693">
      <c r="A693" s="22" t="n"/>
      <c r="G693" s="21" t="n"/>
      <c r="H693" s="11" t="n"/>
      <c r="I693" s="21">
        <f>IF(OR(H693="",H693=0),"",1/H693)</f>
        <v/>
      </c>
      <c r="J693" s="11">
        <f>IF(OR(G693="",H693=""),"",H693*G693-1)</f>
        <v/>
      </c>
      <c r="K693" s="10">
        <f>IF(OR(G693="",H693="",G693&lt;=1),"",IF(J693&lt;IF(D693="Builder",MinEdgeBuilder,IF(D693="Player",MinEdgePlayer,MinEdgeSingle)),0,ROUND(MIN(IF(D693="Single",KellySingle,KellyBuilder)*(StartBank+SUM(P$1:P692))*J693/(G693-1),IF(D693="Builder",CapBuilder,CapSingle)*Unit),2)))</f>
        <v/>
      </c>
      <c r="L693" s="10" t="n"/>
      <c r="N693" s="10" t="n"/>
      <c r="O693" s="10">
        <f>IF(L693="","",IF(M693="Won",L693*G693,IF(M693="Void",L693,IF(M693="Cash out",N(N693),IF(M693="Lost",0,"")))))</f>
        <v/>
      </c>
      <c r="P693" s="10">
        <f>IF(OR(L693="",M693="",M693="Pending"),"",O693-L693)</f>
        <v/>
      </c>
      <c r="Q693" s="21" t="n"/>
      <c r="R693" s="11">
        <f>IF(OR(G693="",Q693=""),"",G693/Q693-1)</f>
        <v/>
      </c>
      <c r="S693" s="10">
        <f>IF(OR(L693="",J693=""),"",L693*J693)</f>
        <v/>
      </c>
      <c r="T693" s="10">
        <f>IF(P693="","",StartBank+SUM(P$2:P693))</f>
        <v/>
      </c>
    </row>
    <row r="694">
      <c r="A694" s="22" t="n"/>
      <c r="G694" s="21" t="n"/>
      <c r="H694" s="11" t="n"/>
      <c r="I694" s="21">
        <f>IF(OR(H694="",H694=0),"",1/H694)</f>
        <v/>
      </c>
      <c r="J694" s="11">
        <f>IF(OR(G694="",H694=""),"",H694*G694-1)</f>
        <v/>
      </c>
      <c r="K694" s="10">
        <f>IF(OR(G694="",H694="",G694&lt;=1),"",IF(J694&lt;IF(D694="Builder",MinEdgeBuilder,IF(D694="Player",MinEdgePlayer,MinEdgeSingle)),0,ROUND(MIN(IF(D694="Single",KellySingle,KellyBuilder)*(StartBank+SUM(P$1:P693))*J694/(G694-1),IF(D694="Builder",CapBuilder,CapSingle)*Unit),2)))</f>
        <v/>
      </c>
      <c r="L694" s="10" t="n"/>
      <c r="N694" s="10" t="n"/>
      <c r="O694" s="10">
        <f>IF(L694="","",IF(M694="Won",L694*G694,IF(M694="Void",L694,IF(M694="Cash out",N(N694),IF(M694="Lost",0,"")))))</f>
        <v/>
      </c>
      <c r="P694" s="10">
        <f>IF(OR(L694="",M694="",M694="Pending"),"",O694-L694)</f>
        <v/>
      </c>
      <c r="Q694" s="21" t="n"/>
      <c r="R694" s="11">
        <f>IF(OR(G694="",Q694=""),"",G694/Q694-1)</f>
        <v/>
      </c>
      <c r="S694" s="10">
        <f>IF(OR(L694="",J694=""),"",L694*J694)</f>
        <v/>
      </c>
      <c r="T694" s="10">
        <f>IF(P694="","",StartBank+SUM(P$2:P694))</f>
        <v/>
      </c>
    </row>
    <row r="695">
      <c r="A695" s="22" t="n"/>
      <c r="G695" s="21" t="n"/>
      <c r="H695" s="11" t="n"/>
      <c r="I695" s="21">
        <f>IF(OR(H695="",H695=0),"",1/H695)</f>
        <v/>
      </c>
      <c r="J695" s="11">
        <f>IF(OR(G695="",H695=""),"",H695*G695-1)</f>
        <v/>
      </c>
      <c r="K695" s="10">
        <f>IF(OR(G695="",H695="",G695&lt;=1),"",IF(J695&lt;IF(D695="Builder",MinEdgeBuilder,IF(D695="Player",MinEdgePlayer,MinEdgeSingle)),0,ROUND(MIN(IF(D695="Single",KellySingle,KellyBuilder)*(StartBank+SUM(P$1:P694))*J695/(G695-1),IF(D695="Builder",CapBuilder,CapSingle)*Unit),2)))</f>
        <v/>
      </c>
      <c r="L695" s="10" t="n"/>
      <c r="N695" s="10" t="n"/>
      <c r="O695" s="10">
        <f>IF(L695="","",IF(M695="Won",L695*G695,IF(M695="Void",L695,IF(M695="Cash out",N(N695),IF(M695="Lost",0,"")))))</f>
        <v/>
      </c>
      <c r="P695" s="10">
        <f>IF(OR(L695="",M695="",M695="Pending"),"",O695-L695)</f>
        <v/>
      </c>
      <c r="Q695" s="21" t="n"/>
      <c r="R695" s="11">
        <f>IF(OR(G695="",Q695=""),"",G695/Q695-1)</f>
        <v/>
      </c>
      <c r="S695" s="10">
        <f>IF(OR(L695="",J695=""),"",L695*J695)</f>
        <v/>
      </c>
      <c r="T695" s="10">
        <f>IF(P695="","",StartBank+SUM(P$2:P695))</f>
        <v/>
      </c>
    </row>
    <row r="696">
      <c r="A696" s="22" t="n"/>
      <c r="G696" s="21" t="n"/>
      <c r="H696" s="11" t="n"/>
      <c r="I696" s="21">
        <f>IF(OR(H696="",H696=0),"",1/H696)</f>
        <v/>
      </c>
      <c r="J696" s="11">
        <f>IF(OR(G696="",H696=""),"",H696*G696-1)</f>
        <v/>
      </c>
      <c r="K696" s="10">
        <f>IF(OR(G696="",H696="",G696&lt;=1),"",IF(J696&lt;IF(D696="Builder",MinEdgeBuilder,IF(D696="Player",MinEdgePlayer,MinEdgeSingle)),0,ROUND(MIN(IF(D696="Single",KellySingle,KellyBuilder)*(StartBank+SUM(P$1:P695))*J696/(G696-1),IF(D696="Builder",CapBuilder,CapSingle)*Unit),2)))</f>
        <v/>
      </c>
      <c r="L696" s="10" t="n"/>
      <c r="N696" s="10" t="n"/>
      <c r="O696" s="10">
        <f>IF(L696="","",IF(M696="Won",L696*G696,IF(M696="Void",L696,IF(M696="Cash out",N(N696),IF(M696="Lost",0,"")))))</f>
        <v/>
      </c>
      <c r="P696" s="10">
        <f>IF(OR(L696="",M696="",M696="Pending"),"",O696-L696)</f>
        <v/>
      </c>
      <c r="Q696" s="21" t="n"/>
      <c r="R696" s="11">
        <f>IF(OR(G696="",Q696=""),"",G696/Q696-1)</f>
        <v/>
      </c>
      <c r="S696" s="10">
        <f>IF(OR(L696="",J696=""),"",L696*J696)</f>
        <v/>
      </c>
      <c r="T696" s="10">
        <f>IF(P696="","",StartBank+SUM(P$2:P696))</f>
        <v/>
      </c>
    </row>
    <row r="697">
      <c r="A697" s="22" t="n"/>
      <c r="G697" s="21" t="n"/>
      <c r="H697" s="11" t="n"/>
      <c r="I697" s="21">
        <f>IF(OR(H697="",H697=0),"",1/H697)</f>
        <v/>
      </c>
      <c r="J697" s="11">
        <f>IF(OR(G697="",H697=""),"",H697*G697-1)</f>
        <v/>
      </c>
      <c r="K697" s="10">
        <f>IF(OR(G697="",H697="",G697&lt;=1),"",IF(J697&lt;IF(D697="Builder",MinEdgeBuilder,IF(D697="Player",MinEdgePlayer,MinEdgeSingle)),0,ROUND(MIN(IF(D697="Single",KellySingle,KellyBuilder)*(StartBank+SUM(P$1:P696))*J697/(G697-1),IF(D697="Builder",CapBuilder,CapSingle)*Unit),2)))</f>
        <v/>
      </c>
      <c r="L697" s="10" t="n"/>
      <c r="N697" s="10" t="n"/>
      <c r="O697" s="10">
        <f>IF(L697="","",IF(M697="Won",L697*G697,IF(M697="Void",L697,IF(M697="Cash out",N(N697),IF(M697="Lost",0,"")))))</f>
        <v/>
      </c>
      <c r="P697" s="10">
        <f>IF(OR(L697="",M697="",M697="Pending"),"",O697-L697)</f>
        <v/>
      </c>
      <c r="Q697" s="21" t="n"/>
      <c r="R697" s="11">
        <f>IF(OR(G697="",Q697=""),"",G697/Q697-1)</f>
        <v/>
      </c>
      <c r="S697" s="10">
        <f>IF(OR(L697="",J697=""),"",L697*J697)</f>
        <v/>
      </c>
      <c r="T697" s="10">
        <f>IF(P697="","",StartBank+SUM(P$2:P697))</f>
        <v/>
      </c>
    </row>
    <row r="698">
      <c r="A698" s="22" t="n"/>
      <c r="G698" s="21" t="n"/>
      <c r="H698" s="11" t="n"/>
      <c r="I698" s="21">
        <f>IF(OR(H698="",H698=0),"",1/H698)</f>
        <v/>
      </c>
      <c r="J698" s="11">
        <f>IF(OR(G698="",H698=""),"",H698*G698-1)</f>
        <v/>
      </c>
      <c r="K698" s="10">
        <f>IF(OR(G698="",H698="",G698&lt;=1),"",IF(J698&lt;IF(D698="Builder",MinEdgeBuilder,IF(D698="Player",MinEdgePlayer,MinEdgeSingle)),0,ROUND(MIN(IF(D698="Single",KellySingle,KellyBuilder)*(StartBank+SUM(P$1:P697))*J698/(G698-1),IF(D698="Builder",CapBuilder,CapSingle)*Unit),2)))</f>
        <v/>
      </c>
      <c r="L698" s="10" t="n"/>
      <c r="N698" s="10" t="n"/>
      <c r="O698" s="10">
        <f>IF(L698="","",IF(M698="Won",L698*G698,IF(M698="Void",L698,IF(M698="Cash out",N(N698),IF(M698="Lost",0,"")))))</f>
        <v/>
      </c>
      <c r="P698" s="10">
        <f>IF(OR(L698="",M698="",M698="Pending"),"",O698-L698)</f>
        <v/>
      </c>
      <c r="Q698" s="21" t="n"/>
      <c r="R698" s="11">
        <f>IF(OR(G698="",Q698=""),"",G698/Q698-1)</f>
        <v/>
      </c>
      <c r="S698" s="10">
        <f>IF(OR(L698="",J698=""),"",L698*J698)</f>
        <v/>
      </c>
      <c r="T698" s="10">
        <f>IF(P698="","",StartBank+SUM(P$2:P698))</f>
        <v/>
      </c>
    </row>
    <row r="699">
      <c r="A699" s="22" t="n"/>
      <c r="G699" s="21" t="n"/>
      <c r="H699" s="11" t="n"/>
      <c r="I699" s="21">
        <f>IF(OR(H699="",H699=0),"",1/H699)</f>
        <v/>
      </c>
      <c r="J699" s="11">
        <f>IF(OR(G699="",H699=""),"",H699*G699-1)</f>
        <v/>
      </c>
      <c r="K699" s="10">
        <f>IF(OR(G699="",H699="",G699&lt;=1),"",IF(J699&lt;IF(D699="Builder",MinEdgeBuilder,IF(D699="Player",MinEdgePlayer,MinEdgeSingle)),0,ROUND(MIN(IF(D699="Single",KellySingle,KellyBuilder)*(StartBank+SUM(P$1:P698))*J699/(G699-1),IF(D699="Builder",CapBuilder,CapSingle)*Unit),2)))</f>
        <v/>
      </c>
      <c r="L699" s="10" t="n"/>
      <c r="N699" s="10" t="n"/>
      <c r="O699" s="10">
        <f>IF(L699="","",IF(M699="Won",L699*G699,IF(M699="Void",L699,IF(M699="Cash out",N(N699),IF(M699="Lost",0,"")))))</f>
        <v/>
      </c>
      <c r="P699" s="10">
        <f>IF(OR(L699="",M699="",M699="Pending"),"",O699-L699)</f>
        <v/>
      </c>
      <c r="Q699" s="21" t="n"/>
      <c r="R699" s="11">
        <f>IF(OR(G699="",Q699=""),"",G699/Q699-1)</f>
        <v/>
      </c>
      <c r="S699" s="10">
        <f>IF(OR(L699="",J699=""),"",L699*J699)</f>
        <v/>
      </c>
      <c r="T699" s="10">
        <f>IF(P699="","",StartBank+SUM(P$2:P699))</f>
        <v/>
      </c>
    </row>
    <row r="700">
      <c r="A700" s="22" t="n"/>
      <c r="G700" s="21" t="n"/>
      <c r="H700" s="11" t="n"/>
      <c r="I700" s="21">
        <f>IF(OR(H700="",H700=0),"",1/H700)</f>
        <v/>
      </c>
      <c r="J700" s="11">
        <f>IF(OR(G700="",H700=""),"",H700*G700-1)</f>
        <v/>
      </c>
      <c r="K700" s="10">
        <f>IF(OR(G700="",H700="",G700&lt;=1),"",IF(J700&lt;IF(D700="Builder",MinEdgeBuilder,IF(D700="Player",MinEdgePlayer,MinEdgeSingle)),0,ROUND(MIN(IF(D700="Single",KellySingle,KellyBuilder)*(StartBank+SUM(P$1:P699))*J700/(G700-1),IF(D700="Builder",CapBuilder,CapSingle)*Unit),2)))</f>
        <v/>
      </c>
      <c r="L700" s="10" t="n"/>
      <c r="N700" s="10" t="n"/>
      <c r="O700" s="10">
        <f>IF(L700="","",IF(M700="Won",L700*G700,IF(M700="Void",L700,IF(M700="Cash out",N(N700),IF(M700="Lost",0,"")))))</f>
        <v/>
      </c>
      <c r="P700" s="10">
        <f>IF(OR(L700="",M700="",M700="Pending"),"",O700-L700)</f>
        <v/>
      </c>
      <c r="Q700" s="21" t="n"/>
      <c r="R700" s="11">
        <f>IF(OR(G700="",Q700=""),"",G700/Q700-1)</f>
        <v/>
      </c>
      <c r="S700" s="10">
        <f>IF(OR(L700="",J700=""),"",L700*J700)</f>
        <v/>
      </c>
      <c r="T700" s="10">
        <f>IF(P700="","",StartBank+SUM(P$2:P700))</f>
        <v/>
      </c>
    </row>
    <row r="701">
      <c r="A701" s="22" t="n"/>
      <c r="G701" s="21" t="n"/>
      <c r="H701" s="11" t="n"/>
      <c r="I701" s="21">
        <f>IF(OR(H701="",H701=0),"",1/H701)</f>
        <v/>
      </c>
      <c r="J701" s="11">
        <f>IF(OR(G701="",H701=""),"",H701*G701-1)</f>
        <v/>
      </c>
      <c r="K701" s="10">
        <f>IF(OR(G701="",H701="",G701&lt;=1),"",IF(J701&lt;IF(D701="Builder",MinEdgeBuilder,IF(D701="Player",MinEdgePlayer,MinEdgeSingle)),0,ROUND(MIN(IF(D701="Single",KellySingle,KellyBuilder)*(StartBank+SUM(P$1:P700))*J701/(G701-1),IF(D701="Builder",CapBuilder,CapSingle)*Unit),2)))</f>
        <v/>
      </c>
      <c r="L701" s="10" t="n"/>
      <c r="N701" s="10" t="n"/>
      <c r="O701" s="10">
        <f>IF(L701="","",IF(M701="Won",L701*G701,IF(M701="Void",L701,IF(M701="Cash out",N(N701),IF(M701="Lost",0,"")))))</f>
        <v/>
      </c>
      <c r="P701" s="10">
        <f>IF(OR(L701="",M701="",M701="Pending"),"",O701-L701)</f>
        <v/>
      </c>
      <c r="Q701" s="21" t="n"/>
      <c r="R701" s="11">
        <f>IF(OR(G701="",Q701=""),"",G701/Q701-1)</f>
        <v/>
      </c>
      <c r="S701" s="10">
        <f>IF(OR(L701="",J701=""),"",L701*J701)</f>
        <v/>
      </c>
      <c r="T701" s="10">
        <f>IF(P701="","",StartBank+SUM(P$2:P701))</f>
        <v/>
      </c>
    </row>
    <row r="702">
      <c r="A702" s="22" t="n"/>
      <c r="G702" s="21" t="n"/>
      <c r="H702" s="11" t="n"/>
      <c r="I702" s="21">
        <f>IF(OR(H702="",H702=0),"",1/H702)</f>
        <v/>
      </c>
      <c r="J702" s="11">
        <f>IF(OR(G702="",H702=""),"",H702*G702-1)</f>
        <v/>
      </c>
      <c r="K702" s="10">
        <f>IF(OR(G702="",H702="",G702&lt;=1),"",IF(J702&lt;IF(D702="Builder",MinEdgeBuilder,IF(D702="Player",MinEdgePlayer,MinEdgeSingle)),0,ROUND(MIN(IF(D702="Single",KellySingle,KellyBuilder)*(StartBank+SUM(P$1:P701))*J702/(G702-1),IF(D702="Builder",CapBuilder,CapSingle)*Unit),2)))</f>
        <v/>
      </c>
      <c r="L702" s="10" t="n"/>
      <c r="N702" s="10" t="n"/>
      <c r="O702" s="10">
        <f>IF(L702="","",IF(M702="Won",L702*G702,IF(M702="Void",L702,IF(M702="Cash out",N(N702),IF(M702="Lost",0,"")))))</f>
        <v/>
      </c>
      <c r="P702" s="10">
        <f>IF(OR(L702="",M702="",M702="Pending"),"",O702-L702)</f>
        <v/>
      </c>
      <c r="Q702" s="21" t="n"/>
      <c r="R702" s="11">
        <f>IF(OR(G702="",Q702=""),"",G702/Q702-1)</f>
        <v/>
      </c>
      <c r="S702" s="10">
        <f>IF(OR(L702="",J702=""),"",L702*J702)</f>
        <v/>
      </c>
      <c r="T702" s="10">
        <f>IF(P702="","",StartBank+SUM(P$2:P702))</f>
        <v/>
      </c>
    </row>
    <row r="703">
      <c r="A703" s="22" t="n"/>
      <c r="G703" s="21" t="n"/>
      <c r="H703" s="11" t="n"/>
      <c r="I703" s="21">
        <f>IF(OR(H703="",H703=0),"",1/H703)</f>
        <v/>
      </c>
      <c r="J703" s="11">
        <f>IF(OR(G703="",H703=""),"",H703*G703-1)</f>
        <v/>
      </c>
      <c r="K703" s="10">
        <f>IF(OR(G703="",H703="",G703&lt;=1),"",IF(J703&lt;IF(D703="Builder",MinEdgeBuilder,IF(D703="Player",MinEdgePlayer,MinEdgeSingle)),0,ROUND(MIN(IF(D703="Single",KellySingle,KellyBuilder)*(StartBank+SUM(P$1:P702))*J703/(G703-1),IF(D703="Builder",CapBuilder,CapSingle)*Unit),2)))</f>
        <v/>
      </c>
      <c r="L703" s="10" t="n"/>
      <c r="N703" s="10" t="n"/>
      <c r="O703" s="10">
        <f>IF(L703="","",IF(M703="Won",L703*G703,IF(M703="Void",L703,IF(M703="Cash out",N(N703),IF(M703="Lost",0,"")))))</f>
        <v/>
      </c>
      <c r="P703" s="10">
        <f>IF(OR(L703="",M703="",M703="Pending"),"",O703-L703)</f>
        <v/>
      </c>
      <c r="Q703" s="21" t="n"/>
      <c r="R703" s="11">
        <f>IF(OR(G703="",Q703=""),"",G703/Q703-1)</f>
        <v/>
      </c>
      <c r="S703" s="10">
        <f>IF(OR(L703="",J703=""),"",L703*J703)</f>
        <v/>
      </c>
      <c r="T703" s="10">
        <f>IF(P703="","",StartBank+SUM(P$2:P703))</f>
        <v/>
      </c>
    </row>
    <row r="704">
      <c r="A704" s="22" t="n"/>
      <c r="G704" s="21" t="n"/>
      <c r="H704" s="11" t="n"/>
      <c r="I704" s="21">
        <f>IF(OR(H704="",H704=0),"",1/H704)</f>
        <v/>
      </c>
      <c r="J704" s="11">
        <f>IF(OR(G704="",H704=""),"",H704*G704-1)</f>
        <v/>
      </c>
      <c r="K704" s="10">
        <f>IF(OR(G704="",H704="",G704&lt;=1),"",IF(J704&lt;IF(D704="Builder",MinEdgeBuilder,IF(D704="Player",MinEdgePlayer,MinEdgeSingle)),0,ROUND(MIN(IF(D704="Single",KellySingle,KellyBuilder)*(StartBank+SUM(P$1:P703))*J704/(G704-1),IF(D704="Builder",CapBuilder,CapSingle)*Unit),2)))</f>
        <v/>
      </c>
      <c r="L704" s="10" t="n"/>
      <c r="N704" s="10" t="n"/>
      <c r="O704" s="10">
        <f>IF(L704="","",IF(M704="Won",L704*G704,IF(M704="Void",L704,IF(M704="Cash out",N(N704),IF(M704="Lost",0,"")))))</f>
        <v/>
      </c>
      <c r="P704" s="10">
        <f>IF(OR(L704="",M704="",M704="Pending"),"",O704-L704)</f>
        <v/>
      </c>
      <c r="Q704" s="21" t="n"/>
      <c r="R704" s="11">
        <f>IF(OR(G704="",Q704=""),"",G704/Q704-1)</f>
        <v/>
      </c>
      <c r="S704" s="10">
        <f>IF(OR(L704="",J704=""),"",L704*J704)</f>
        <v/>
      </c>
      <c r="T704" s="10">
        <f>IF(P704="","",StartBank+SUM(P$2:P704))</f>
        <v/>
      </c>
    </row>
    <row r="705">
      <c r="A705" s="22" t="n"/>
      <c r="G705" s="21" t="n"/>
      <c r="H705" s="11" t="n"/>
      <c r="I705" s="21">
        <f>IF(OR(H705="",H705=0),"",1/H705)</f>
        <v/>
      </c>
      <c r="J705" s="11">
        <f>IF(OR(G705="",H705=""),"",H705*G705-1)</f>
        <v/>
      </c>
      <c r="K705" s="10">
        <f>IF(OR(G705="",H705="",G705&lt;=1),"",IF(J705&lt;IF(D705="Builder",MinEdgeBuilder,IF(D705="Player",MinEdgePlayer,MinEdgeSingle)),0,ROUND(MIN(IF(D705="Single",KellySingle,KellyBuilder)*(StartBank+SUM(P$1:P704))*J705/(G705-1),IF(D705="Builder",CapBuilder,CapSingle)*Unit),2)))</f>
        <v/>
      </c>
      <c r="L705" s="10" t="n"/>
      <c r="N705" s="10" t="n"/>
      <c r="O705" s="10">
        <f>IF(L705="","",IF(M705="Won",L705*G705,IF(M705="Void",L705,IF(M705="Cash out",N(N705),IF(M705="Lost",0,"")))))</f>
        <v/>
      </c>
      <c r="P705" s="10">
        <f>IF(OR(L705="",M705="",M705="Pending"),"",O705-L705)</f>
        <v/>
      </c>
      <c r="Q705" s="21" t="n"/>
      <c r="R705" s="11">
        <f>IF(OR(G705="",Q705=""),"",G705/Q705-1)</f>
        <v/>
      </c>
      <c r="S705" s="10">
        <f>IF(OR(L705="",J705=""),"",L705*J705)</f>
        <v/>
      </c>
      <c r="T705" s="10">
        <f>IF(P705="","",StartBank+SUM(P$2:P705))</f>
        <v/>
      </c>
    </row>
    <row r="706">
      <c r="A706" s="22" t="n"/>
      <c r="G706" s="21" t="n"/>
      <c r="H706" s="11" t="n"/>
      <c r="I706" s="21">
        <f>IF(OR(H706="",H706=0),"",1/H706)</f>
        <v/>
      </c>
      <c r="J706" s="11">
        <f>IF(OR(G706="",H706=""),"",H706*G706-1)</f>
        <v/>
      </c>
      <c r="K706" s="10">
        <f>IF(OR(G706="",H706="",G706&lt;=1),"",IF(J706&lt;IF(D706="Builder",MinEdgeBuilder,IF(D706="Player",MinEdgePlayer,MinEdgeSingle)),0,ROUND(MIN(IF(D706="Single",KellySingle,KellyBuilder)*(StartBank+SUM(P$1:P705))*J706/(G706-1),IF(D706="Builder",CapBuilder,CapSingle)*Unit),2)))</f>
        <v/>
      </c>
      <c r="L706" s="10" t="n"/>
      <c r="N706" s="10" t="n"/>
      <c r="O706" s="10">
        <f>IF(L706="","",IF(M706="Won",L706*G706,IF(M706="Void",L706,IF(M706="Cash out",N(N706),IF(M706="Lost",0,"")))))</f>
        <v/>
      </c>
      <c r="P706" s="10">
        <f>IF(OR(L706="",M706="",M706="Pending"),"",O706-L706)</f>
        <v/>
      </c>
      <c r="Q706" s="21" t="n"/>
      <c r="R706" s="11">
        <f>IF(OR(G706="",Q706=""),"",G706/Q706-1)</f>
        <v/>
      </c>
      <c r="S706" s="10">
        <f>IF(OR(L706="",J706=""),"",L706*J706)</f>
        <v/>
      </c>
      <c r="T706" s="10">
        <f>IF(P706="","",StartBank+SUM(P$2:P706))</f>
        <v/>
      </c>
    </row>
    <row r="707">
      <c r="A707" s="22" t="n"/>
      <c r="G707" s="21" t="n"/>
      <c r="H707" s="11" t="n"/>
      <c r="I707" s="21">
        <f>IF(OR(H707="",H707=0),"",1/H707)</f>
        <v/>
      </c>
      <c r="J707" s="11">
        <f>IF(OR(G707="",H707=""),"",H707*G707-1)</f>
        <v/>
      </c>
      <c r="K707" s="10">
        <f>IF(OR(G707="",H707="",G707&lt;=1),"",IF(J707&lt;IF(D707="Builder",MinEdgeBuilder,IF(D707="Player",MinEdgePlayer,MinEdgeSingle)),0,ROUND(MIN(IF(D707="Single",KellySingle,KellyBuilder)*(StartBank+SUM(P$1:P706))*J707/(G707-1),IF(D707="Builder",CapBuilder,CapSingle)*Unit),2)))</f>
        <v/>
      </c>
      <c r="L707" s="10" t="n"/>
      <c r="N707" s="10" t="n"/>
      <c r="O707" s="10">
        <f>IF(L707="","",IF(M707="Won",L707*G707,IF(M707="Void",L707,IF(M707="Cash out",N(N707),IF(M707="Lost",0,"")))))</f>
        <v/>
      </c>
      <c r="P707" s="10">
        <f>IF(OR(L707="",M707="",M707="Pending"),"",O707-L707)</f>
        <v/>
      </c>
      <c r="Q707" s="21" t="n"/>
      <c r="R707" s="11">
        <f>IF(OR(G707="",Q707=""),"",G707/Q707-1)</f>
        <v/>
      </c>
      <c r="S707" s="10">
        <f>IF(OR(L707="",J707=""),"",L707*J707)</f>
        <v/>
      </c>
      <c r="T707" s="10">
        <f>IF(P707="","",StartBank+SUM(P$2:P707))</f>
        <v/>
      </c>
    </row>
    <row r="708">
      <c r="A708" s="22" t="n"/>
      <c r="G708" s="21" t="n"/>
      <c r="H708" s="11" t="n"/>
      <c r="I708" s="21">
        <f>IF(OR(H708="",H708=0),"",1/H708)</f>
        <v/>
      </c>
      <c r="J708" s="11">
        <f>IF(OR(G708="",H708=""),"",H708*G708-1)</f>
        <v/>
      </c>
      <c r="K708" s="10">
        <f>IF(OR(G708="",H708="",G708&lt;=1),"",IF(J708&lt;IF(D708="Builder",MinEdgeBuilder,IF(D708="Player",MinEdgePlayer,MinEdgeSingle)),0,ROUND(MIN(IF(D708="Single",KellySingle,KellyBuilder)*(StartBank+SUM(P$1:P707))*J708/(G708-1),IF(D708="Builder",CapBuilder,CapSingle)*Unit),2)))</f>
        <v/>
      </c>
      <c r="L708" s="10" t="n"/>
      <c r="N708" s="10" t="n"/>
      <c r="O708" s="10">
        <f>IF(L708="","",IF(M708="Won",L708*G708,IF(M708="Void",L708,IF(M708="Cash out",N(N708),IF(M708="Lost",0,"")))))</f>
        <v/>
      </c>
      <c r="P708" s="10">
        <f>IF(OR(L708="",M708="",M708="Pending"),"",O708-L708)</f>
        <v/>
      </c>
      <c r="Q708" s="21" t="n"/>
      <c r="R708" s="11">
        <f>IF(OR(G708="",Q708=""),"",G708/Q708-1)</f>
        <v/>
      </c>
      <c r="S708" s="10">
        <f>IF(OR(L708="",J708=""),"",L708*J708)</f>
        <v/>
      </c>
      <c r="T708" s="10">
        <f>IF(P708="","",StartBank+SUM(P$2:P708))</f>
        <v/>
      </c>
    </row>
    <row r="709">
      <c r="A709" s="22" t="n"/>
      <c r="G709" s="21" t="n"/>
      <c r="H709" s="11" t="n"/>
      <c r="I709" s="21">
        <f>IF(OR(H709="",H709=0),"",1/H709)</f>
        <v/>
      </c>
      <c r="J709" s="11">
        <f>IF(OR(G709="",H709=""),"",H709*G709-1)</f>
        <v/>
      </c>
      <c r="K709" s="10">
        <f>IF(OR(G709="",H709="",G709&lt;=1),"",IF(J709&lt;IF(D709="Builder",MinEdgeBuilder,IF(D709="Player",MinEdgePlayer,MinEdgeSingle)),0,ROUND(MIN(IF(D709="Single",KellySingle,KellyBuilder)*(StartBank+SUM(P$1:P708))*J709/(G709-1),IF(D709="Builder",CapBuilder,CapSingle)*Unit),2)))</f>
        <v/>
      </c>
      <c r="L709" s="10" t="n"/>
      <c r="N709" s="10" t="n"/>
      <c r="O709" s="10">
        <f>IF(L709="","",IF(M709="Won",L709*G709,IF(M709="Void",L709,IF(M709="Cash out",N(N709),IF(M709="Lost",0,"")))))</f>
        <v/>
      </c>
      <c r="P709" s="10">
        <f>IF(OR(L709="",M709="",M709="Pending"),"",O709-L709)</f>
        <v/>
      </c>
      <c r="Q709" s="21" t="n"/>
      <c r="R709" s="11">
        <f>IF(OR(G709="",Q709=""),"",G709/Q709-1)</f>
        <v/>
      </c>
      <c r="S709" s="10">
        <f>IF(OR(L709="",J709=""),"",L709*J709)</f>
        <v/>
      </c>
      <c r="T709" s="10">
        <f>IF(P709="","",StartBank+SUM(P$2:P709))</f>
        <v/>
      </c>
    </row>
    <row r="710">
      <c r="A710" s="22" t="n"/>
      <c r="G710" s="21" t="n"/>
      <c r="H710" s="11" t="n"/>
      <c r="I710" s="21">
        <f>IF(OR(H710="",H710=0),"",1/H710)</f>
        <v/>
      </c>
      <c r="J710" s="11">
        <f>IF(OR(G710="",H710=""),"",H710*G710-1)</f>
        <v/>
      </c>
      <c r="K710" s="10">
        <f>IF(OR(G710="",H710="",G710&lt;=1),"",IF(J710&lt;IF(D710="Builder",MinEdgeBuilder,IF(D710="Player",MinEdgePlayer,MinEdgeSingle)),0,ROUND(MIN(IF(D710="Single",KellySingle,KellyBuilder)*(StartBank+SUM(P$1:P709))*J710/(G710-1),IF(D710="Builder",CapBuilder,CapSingle)*Unit),2)))</f>
        <v/>
      </c>
      <c r="L710" s="10" t="n"/>
      <c r="N710" s="10" t="n"/>
      <c r="O710" s="10">
        <f>IF(L710="","",IF(M710="Won",L710*G710,IF(M710="Void",L710,IF(M710="Cash out",N(N710),IF(M710="Lost",0,"")))))</f>
        <v/>
      </c>
      <c r="P710" s="10">
        <f>IF(OR(L710="",M710="",M710="Pending"),"",O710-L710)</f>
        <v/>
      </c>
      <c r="Q710" s="21" t="n"/>
      <c r="R710" s="11">
        <f>IF(OR(G710="",Q710=""),"",G710/Q710-1)</f>
        <v/>
      </c>
      <c r="S710" s="10">
        <f>IF(OR(L710="",J710=""),"",L710*J710)</f>
        <v/>
      </c>
      <c r="T710" s="10">
        <f>IF(P710="","",StartBank+SUM(P$2:P710))</f>
        <v/>
      </c>
    </row>
    <row r="711">
      <c r="A711" s="22" t="n"/>
      <c r="G711" s="21" t="n"/>
      <c r="H711" s="11" t="n"/>
      <c r="I711" s="21">
        <f>IF(OR(H711="",H711=0),"",1/H711)</f>
        <v/>
      </c>
      <c r="J711" s="11">
        <f>IF(OR(G711="",H711=""),"",H711*G711-1)</f>
        <v/>
      </c>
      <c r="K711" s="10">
        <f>IF(OR(G711="",H711="",G711&lt;=1),"",IF(J711&lt;IF(D711="Builder",MinEdgeBuilder,IF(D711="Player",MinEdgePlayer,MinEdgeSingle)),0,ROUND(MIN(IF(D711="Single",KellySingle,KellyBuilder)*(StartBank+SUM(P$1:P710))*J711/(G711-1),IF(D711="Builder",CapBuilder,CapSingle)*Unit),2)))</f>
        <v/>
      </c>
      <c r="L711" s="10" t="n"/>
      <c r="N711" s="10" t="n"/>
      <c r="O711" s="10">
        <f>IF(L711="","",IF(M711="Won",L711*G711,IF(M711="Void",L711,IF(M711="Cash out",N(N711),IF(M711="Lost",0,"")))))</f>
        <v/>
      </c>
      <c r="P711" s="10">
        <f>IF(OR(L711="",M711="",M711="Pending"),"",O711-L711)</f>
        <v/>
      </c>
      <c r="Q711" s="21" t="n"/>
      <c r="R711" s="11">
        <f>IF(OR(G711="",Q711=""),"",G711/Q711-1)</f>
        <v/>
      </c>
      <c r="S711" s="10">
        <f>IF(OR(L711="",J711=""),"",L711*J711)</f>
        <v/>
      </c>
      <c r="T711" s="10">
        <f>IF(P711="","",StartBank+SUM(P$2:P711))</f>
        <v/>
      </c>
    </row>
    <row r="712">
      <c r="A712" s="22" t="n"/>
      <c r="G712" s="21" t="n"/>
      <c r="H712" s="11" t="n"/>
      <c r="I712" s="21">
        <f>IF(OR(H712="",H712=0),"",1/H712)</f>
        <v/>
      </c>
      <c r="J712" s="11">
        <f>IF(OR(G712="",H712=""),"",H712*G712-1)</f>
        <v/>
      </c>
      <c r="K712" s="10">
        <f>IF(OR(G712="",H712="",G712&lt;=1),"",IF(J712&lt;IF(D712="Builder",MinEdgeBuilder,IF(D712="Player",MinEdgePlayer,MinEdgeSingle)),0,ROUND(MIN(IF(D712="Single",KellySingle,KellyBuilder)*(StartBank+SUM(P$1:P711))*J712/(G712-1),IF(D712="Builder",CapBuilder,CapSingle)*Unit),2)))</f>
        <v/>
      </c>
      <c r="L712" s="10" t="n"/>
      <c r="N712" s="10" t="n"/>
      <c r="O712" s="10">
        <f>IF(L712="","",IF(M712="Won",L712*G712,IF(M712="Void",L712,IF(M712="Cash out",N(N712),IF(M712="Lost",0,"")))))</f>
        <v/>
      </c>
      <c r="P712" s="10">
        <f>IF(OR(L712="",M712="",M712="Pending"),"",O712-L712)</f>
        <v/>
      </c>
      <c r="Q712" s="21" t="n"/>
      <c r="R712" s="11">
        <f>IF(OR(G712="",Q712=""),"",G712/Q712-1)</f>
        <v/>
      </c>
      <c r="S712" s="10">
        <f>IF(OR(L712="",J712=""),"",L712*J712)</f>
        <v/>
      </c>
      <c r="T712" s="10">
        <f>IF(P712="","",StartBank+SUM(P$2:P712))</f>
        <v/>
      </c>
    </row>
    <row r="713">
      <c r="A713" s="22" t="n"/>
      <c r="G713" s="21" t="n"/>
      <c r="H713" s="11" t="n"/>
      <c r="I713" s="21">
        <f>IF(OR(H713="",H713=0),"",1/H713)</f>
        <v/>
      </c>
      <c r="J713" s="11">
        <f>IF(OR(G713="",H713=""),"",H713*G713-1)</f>
        <v/>
      </c>
      <c r="K713" s="10">
        <f>IF(OR(G713="",H713="",G713&lt;=1),"",IF(J713&lt;IF(D713="Builder",MinEdgeBuilder,IF(D713="Player",MinEdgePlayer,MinEdgeSingle)),0,ROUND(MIN(IF(D713="Single",KellySingle,KellyBuilder)*(StartBank+SUM(P$1:P712))*J713/(G713-1),IF(D713="Builder",CapBuilder,CapSingle)*Unit),2)))</f>
        <v/>
      </c>
      <c r="L713" s="10" t="n"/>
      <c r="N713" s="10" t="n"/>
      <c r="O713" s="10">
        <f>IF(L713="","",IF(M713="Won",L713*G713,IF(M713="Void",L713,IF(M713="Cash out",N(N713),IF(M713="Lost",0,"")))))</f>
        <v/>
      </c>
      <c r="P713" s="10">
        <f>IF(OR(L713="",M713="",M713="Pending"),"",O713-L713)</f>
        <v/>
      </c>
      <c r="Q713" s="21" t="n"/>
      <c r="R713" s="11">
        <f>IF(OR(G713="",Q713=""),"",G713/Q713-1)</f>
        <v/>
      </c>
      <c r="S713" s="10">
        <f>IF(OR(L713="",J713=""),"",L713*J713)</f>
        <v/>
      </c>
      <c r="T713" s="10">
        <f>IF(P713="","",StartBank+SUM(P$2:P713))</f>
        <v/>
      </c>
    </row>
    <row r="714">
      <c r="A714" s="22" t="n"/>
      <c r="G714" s="21" t="n"/>
      <c r="H714" s="11" t="n"/>
      <c r="I714" s="21">
        <f>IF(OR(H714="",H714=0),"",1/H714)</f>
        <v/>
      </c>
      <c r="J714" s="11">
        <f>IF(OR(G714="",H714=""),"",H714*G714-1)</f>
        <v/>
      </c>
      <c r="K714" s="10">
        <f>IF(OR(G714="",H714="",G714&lt;=1),"",IF(J714&lt;IF(D714="Builder",MinEdgeBuilder,IF(D714="Player",MinEdgePlayer,MinEdgeSingle)),0,ROUND(MIN(IF(D714="Single",KellySingle,KellyBuilder)*(StartBank+SUM(P$1:P713))*J714/(G714-1),IF(D714="Builder",CapBuilder,CapSingle)*Unit),2)))</f>
        <v/>
      </c>
      <c r="L714" s="10" t="n"/>
      <c r="N714" s="10" t="n"/>
      <c r="O714" s="10">
        <f>IF(L714="","",IF(M714="Won",L714*G714,IF(M714="Void",L714,IF(M714="Cash out",N(N714),IF(M714="Lost",0,"")))))</f>
        <v/>
      </c>
      <c r="P714" s="10">
        <f>IF(OR(L714="",M714="",M714="Pending"),"",O714-L714)</f>
        <v/>
      </c>
      <c r="Q714" s="21" t="n"/>
      <c r="R714" s="11">
        <f>IF(OR(G714="",Q714=""),"",G714/Q714-1)</f>
        <v/>
      </c>
      <c r="S714" s="10">
        <f>IF(OR(L714="",J714=""),"",L714*J714)</f>
        <v/>
      </c>
      <c r="T714" s="10">
        <f>IF(P714="","",StartBank+SUM(P$2:P714))</f>
        <v/>
      </c>
    </row>
    <row r="715">
      <c r="A715" s="22" t="n"/>
      <c r="G715" s="21" t="n"/>
      <c r="H715" s="11" t="n"/>
      <c r="I715" s="21">
        <f>IF(OR(H715="",H715=0),"",1/H715)</f>
        <v/>
      </c>
      <c r="J715" s="11">
        <f>IF(OR(G715="",H715=""),"",H715*G715-1)</f>
        <v/>
      </c>
      <c r="K715" s="10">
        <f>IF(OR(G715="",H715="",G715&lt;=1),"",IF(J715&lt;IF(D715="Builder",MinEdgeBuilder,IF(D715="Player",MinEdgePlayer,MinEdgeSingle)),0,ROUND(MIN(IF(D715="Single",KellySingle,KellyBuilder)*(StartBank+SUM(P$1:P714))*J715/(G715-1),IF(D715="Builder",CapBuilder,CapSingle)*Unit),2)))</f>
        <v/>
      </c>
      <c r="L715" s="10" t="n"/>
      <c r="N715" s="10" t="n"/>
      <c r="O715" s="10">
        <f>IF(L715="","",IF(M715="Won",L715*G715,IF(M715="Void",L715,IF(M715="Cash out",N(N715),IF(M715="Lost",0,"")))))</f>
        <v/>
      </c>
      <c r="P715" s="10">
        <f>IF(OR(L715="",M715="",M715="Pending"),"",O715-L715)</f>
        <v/>
      </c>
      <c r="Q715" s="21" t="n"/>
      <c r="R715" s="11">
        <f>IF(OR(G715="",Q715=""),"",G715/Q715-1)</f>
        <v/>
      </c>
      <c r="S715" s="10">
        <f>IF(OR(L715="",J715=""),"",L715*J715)</f>
        <v/>
      </c>
      <c r="T715" s="10">
        <f>IF(P715="","",StartBank+SUM(P$2:P715))</f>
        <v/>
      </c>
    </row>
    <row r="716">
      <c r="A716" s="22" t="n"/>
      <c r="G716" s="21" t="n"/>
      <c r="H716" s="11" t="n"/>
      <c r="I716" s="21">
        <f>IF(OR(H716="",H716=0),"",1/H716)</f>
        <v/>
      </c>
      <c r="J716" s="11">
        <f>IF(OR(G716="",H716=""),"",H716*G716-1)</f>
        <v/>
      </c>
      <c r="K716" s="10">
        <f>IF(OR(G716="",H716="",G716&lt;=1),"",IF(J716&lt;IF(D716="Builder",MinEdgeBuilder,IF(D716="Player",MinEdgePlayer,MinEdgeSingle)),0,ROUND(MIN(IF(D716="Single",KellySingle,KellyBuilder)*(StartBank+SUM(P$1:P715))*J716/(G716-1),IF(D716="Builder",CapBuilder,CapSingle)*Unit),2)))</f>
        <v/>
      </c>
      <c r="L716" s="10" t="n"/>
      <c r="N716" s="10" t="n"/>
      <c r="O716" s="10">
        <f>IF(L716="","",IF(M716="Won",L716*G716,IF(M716="Void",L716,IF(M716="Cash out",N(N716),IF(M716="Lost",0,"")))))</f>
        <v/>
      </c>
      <c r="P716" s="10">
        <f>IF(OR(L716="",M716="",M716="Pending"),"",O716-L716)</f>
        <v/>
      </c>
      <c r="Q716" s="21" t="n"/>
      <c r="R716" s="11">
        <f>IF(OR(G716="",Q716=""),"",G716/Q716-1)</f>
        <v/>
      </c>
      <c r="S716" s="10">
        <f>IF(OR(L716="",J716=""),"",L716*J716)</f>
        <v/>
      </c>
      <c r="T716" s="10">
        <f>IF(P716="","",StartBank+SUM(P$2:P716))</f>
        <v/>
      </c>
    </row>
    <row r="717">
      <c r="A717" s="22" t="n"/>
      <c r="G717" s="21" t="n"/>
      <c r="H717" s="11" t="n"/>
      <c r="I717" s="21">
        <f>IF(OR(H717="",H717=0),"",1/H717)</f>
        <v/>
      </c>
      <c r="J717" s="11">
        <f>IF(OR(G717="",H717=""),"",H717*G717-1)</f>
        <v/>
      </c>
      <c r="K717" s="10">
        <f>IF(OR(G717="",H717="",G717&lt;=1),"",IF(J717&lt;IF(D717="Builder",MinEdgeBuilder,IF(D717="Player",MinEdgePlayer,MinEdgeSingle)),0,ROUND(MIN(IF(D717="Single",KellySingle,KellyBuilder)*(StartBank+SUM(P$1:P716))*J717/(G717-1),IF(D717="Builder",CapBuilder,CapSingle)*Unit),2)))</f>
        <v/>
      </c>
      <c r="L717" s="10" t="n"/>
      <c r="N717" s="10" t="n"/>
      <c r="O717" s="10">
        <f>IF(L717="","",IF(M717="Won",L717*G717,IF(M717="Void",L717,IF(M717="Cash out",N(N717),IF(M717="Lost",0,"")))))</f>
        <v/>
      </c>
      <c r="P717" s="10">
        <f>IF(OR(L717="",M717="",M717="Pending"),"",O717-L717)</f>
        <v/>
      </c>
      <c r="Q717" s="21" t="n"/>
      <c r="R717" s="11">
        <f>IF(OR(G717="",Q717=""),"",G717/Q717-1)</f>
        <v/>
      </c>
      <c r="S717" s="10">
        <f>IF(OR(L717="",J717=""),"",L717*J717)</f>
        <v/>
      </c>
      <c r="T717" s="10">
        <f>IF(P717="","",StartBank+SUM(P$2:P717))</f>
        <v/>
      </c>
    </row>
    <row r="718">
      <c r="A718" s="22" t="n"/>
      <c r="G718" s="21" t="n"/>
      <c r="H718" s="11" t="n"/>
      <c r="I718" s="21">
        <f>IF(OR(H718="",H718=0),"",1/H718)</f>
        <v/>
      </c>
      <c r="J718" s="11">
        <f>IF(OR(G718="",H718=""),"",H718*G718-1)</f>
        <v/>
      </c>
      <c r="K718" s="10">
        <f>IF(OR(G718="",H718="",G718&lt;=1),"",IF(J718&lt;IF(D718="Builder",MinEdgeBuilder,IF(D718="Player",MinEdgePlayer,MinEdgeSingle)),0,ROUND(MIN(IF(D718="Single",KellySingle,KellyBuilder)*(StartBank+SUM(P$1:P717))*J718/(G718-1),IF(D718="Builder",CapBuilder,CapSingle)*Unit),2)))</f>
        <v/>
      </c>
      <c r="L718" s="10" t="n"/>
      <c r="N718" s="10" t="n"/>
      <c r="O718" s="10">
        <f>IF(L718="","",IF(M718="Won",L718*G718,IF(M718="Void",L718,IF(M718="Cash out",N(N718),IF(M718="Lost",0,"")))))</f>
        <v/>
      </c>
      <c r="P718" s="10">
        <f>IF(OR(L718="",M718="",M718="Pending"),"",O718-L718)</f>
        <v/>
      </c>
      <c r="Q718" s="21" t="n"/>
      <c r="R718" s="11">
        <f>IF(OR(G718="",Q718=""),"",G718/Q718-1)</f>
        <v/>
      </c>
      <c r="S718" s="10">
        <f>IF(OR(L718="",J718=""),"",L718*J718)</f>
        <v/>
      </c>
      <c r="T718" s="10">
        <f>IF(P718="","",StartBank+SUM(P$2:P718))</f>
        <v/>
      </c>
    </row>
    <row r="719">
      <c r="A719" s="22" t="n"/>
      <c r="G719" s="21" t="n"/>
      <c r="H719" s="11" t="n"/>
      <c r="I719" s="21">
        <f>IF(OR(H719="",H719=0),"",1/H719)</f>
        <v/>
      </c>
      <c r="J719" s="11">
        <f>IF(OR(G719="",H719=""),"",H719*G719-1)</f>
        <v/>
      </c>
      <c r="K719" s="10">
        <f>IF(OR(G719="",H719="",G719&lt;=1),"",IF(J719&lt;IF(D719="Builder",MinEdgeBuilder,IF(D719="Player",MinEdgePlayer,MinEdgeSingle)),0,ROUND(MIN(IF(D719="Single",KellySingle,KellyBuilder)*(StartBank+SUM(P$1:P718))*J719/(G719-1),IF(D719="Builder",CapBuilder,CapSingle)*Unit),2)))</f>
        <v/>
      </c>
      <c r="L719" s="10" t="n"/>
      <c r="N719" s="10" t="n"/>
      <c r="O719" s="10">
        <f>IF(L719="","",IF(M719="Won",L719*G719,IF(M719="Void",L719,IF(M719="Cash out",N(N719),IF(M719="Lost",0,"")))))</f>
        <v/>
      </c>
      <c r="P719" s="10">
        <f>IF(OR(L719="",M719="",M719="Pending"),"",O719-L719)</f>
        <v/>
      </c>
      <c r="Q719" s="21" t="n"/>
      <c r="R719" s="11">
        <f>IF(OR(G719="",Q719=""),"",G719/Q719-1)</f>
        <v/>
      </c>
      <c r="S719" s="10">
        <f>IF(OR(L719="",J719=""),"",L719*J719)</f>
        <v/>
      </c>
      <c r="T719" s="10">
        <f>IF(P719="","",StartBank+SUM(P$2:P719))</f>
        <v/>
      </c>
    </row>
    <row r="720">
      <c r="A720" s="22" t="n"/>
      <c r="G720" s="21" t="n"/>
      <c r="H720" s="11" t="n"/>
      <c r="I720" s="21">
        <f>IF(OR(H720="",H720=0),"",1/H720)</f>
        <v/>
      </c>
      <c r="J720" s="11">
        <f>IF(OR(G720="",H720=""),"",H720*G720-1)</f>
        <v/>
      </c>
      <c r="K720" s="10">
        <f>IF(OR(G720="",H720="",G720&lt;=1),"",IF(J720&lt;IF(D720="Builder",MinEdgeBuilder,IF(D720="Player",MinEdgePlayer,MinEdgeSingle)),0,ROUND(MIN(IF(D720="Single",KellySingle,KellyBuilder)*(StartBank+SUM(P$1:P719))*J720/(G720-1),IF(D720="Builder",CapBuilder,CapSingle)*Unit),2)))</f>
        <v/>
      </c>
      <c r="L720" s="10" t="n"/>
      <c r="N720" s="10" t="n"/>
      <c r="O720" s="10">
        <f>IF(L720="","",IF(M720="Won",L720*G720,IF(M720="Void",L720,IF(M720="Cash out",N(N720),IF(M720="Lost",0,"")))))</f>
        <v/>
      </c>
      <c r="P720" s="10">
        <f>IF(OR(L720="",M720="",M720="Pending"),"",O720-L720)</f>
        <v/>
      </c>
      <c r="Q720" s="21" t="n"/>
      <c r="R720" s="11">
        <f>IF(OR(G720="",Q720=""),"",G720/Q720-1)</f>
        <v/>
      </c>
      <c r="S720" s="10">
        <f>IF(OR(L720="",J720=""),"",L720*J720)</f>
        <v/>
      </c>
      <c r="T720" s="10">
        <f>IF(P720="","",StartBank+SUM(P$2:P720))</f>
        <v/>
      </c>
    </row>
    <row r="721">
      <c r="A721" s="22" t="n"/>
      <c r="G721" s="21" t="n"/>
      <c r="H721" s="11" t="n"/>
      <c r="I721" s="21">
        <f>IF(OR(H721="",H721=0),"",1/H721)</f>
        <v/>
      </c>
      <c r="J721" s="11">
        <f>IF(OR(G721="",H721=""),"",H721*G721-1)</f>
        <v/>
      </c>
      <c r="K721" s="10">
        <f>IF(OR(G721="",H721="",G721&lt;=1),"",IF(J721&lt;IF(D721="Builder",MinEdgeBuilder,IF(D721="Player",MinEdgePlayer,MinEdgeSingle)),0,ROUND(MIN(IF(D721="Single",KellySingle,KellyBuilder)*(StartBank+SUM(P$1:P720))*J721/(G721-1),IF(D721="Builder",CapBuilder,CapSingle)*Unit),2)))</f>
        <v/>
      </c>
      <c r="L721" s="10" t="n"/>
      <c r="N721" s="10" t="n"/>
      <c r="O721" s="10">
        <f>IF(L721="","",IF(M721="Won",L721*G721,IF(M721="Void",L721,IF(M721="Cash out",N(N721),IF(M721="Lost",0,"")))))</f>
        <v/>
      </c>
      <c r="P721" s="10">
        <f>IF(OR(L721="",M721="",M721="Pending"),"",O721-L721)</f>
        <v/>
      </c>
      <c r="Q721" s="21" t="n"/>
      <c r="R721" s="11">
        <f>IF(OR(G721="",Q721=""),"",G721/Q721-1)</f>
        <v/>
      </c>
      <c r="S721" s="10">
        <f>IF(OR(L721="",J721=""),"",L721*J721)</f>
        <v/>
      </c>
      <c r="T721" s="10">
        <f>IF(P721="","",StartBank+SUM(P$2:P721))</f>
        <v/>
      </c>
    </row>
    <row r="722">
      <c r="A722" s="22" t="n"/>
      <c r="G722" s="21" t="n"/>
      <c r="H722" s="11" t="n"/>
      <c r="I722" s="21">
        <f>IF(OR(H722="",H722=0),"",1/H722)</f>
        <v/>
      </c>
      <c r="J722" s="11">
        <f>IF(OR(G722="",H722=""),"",H722*G722-1)</f>
        <v/>
      </c>
      <c r="K722" s="10">
        <f>IF(OR(G722="",H722="",G722&lt;=1),"",IF(J722&lt;IF(D722="Builder",MinEdgeBuilder,IF(D722="Player",MinEdgePlayer,MinEdgeSingle)),0,ROUND(MIN(IF(D722="Single",KellySingle,KellyBuilder)*(StartBank+SUM(P$1:P721))*J722/(G722-1),IF(D722="Builder",CapBuilder,CapSingle)*Unit),2)))</f>
        <v/>
      </c>
      <c r="L722" s="10" t="n"/>
      <c r="N722" s="10" t="n"/>
      <c r="O722" s="10">
        <f>IF(L722="","",IF(M722="Won",L722*G722,IF(M722="Void",L722,IF(M722="Cash out",N(N722),IF(M722="Lost",0,"")))))</f>
        <v/>
      </c>
      <c r="P722" s="10">
        <f>IF(OR(L722="",M722="",M722="Pending"),"",O722-L722)</f>
        <v/>
      </c>
      <c r="Q722" s="21" t="n"/>
      <c r="R722" s="11">
        <f>IF(OR(G722="",Q722=""),"",G722/Q722-1)</f>
        <v/>
      </c>
      <c r="S722" s="10">
        <f>IF(OR(L722="",J722=""),"",L722*J722)</f>
        <v/>
      </c>
      <c r="T722" s="10">
        <f>IF(P722="","",StartBank+SUM(P$2:P722))</f>
        <v/>
      </c>
    </row>
    <row r="723">
      <c r="A723" s="22" t="n"/>
      <c r="G723" s="21" t="n"/>
      <c r="H723" s="11" t="n"/>
      <c r="I723" s="21">
        <f>IF(OR(H723="",H723=0),"",1/H723)</f>
        <v/>
      </c>
      <c r="J723" s="11">
        <f>IF(OR(G723="",H723=""),"",H723*G723-1)</f>
        <v/>
      </c>
      <c r="K723" s="10">
        <f>IF(OR(G723="",H723="",G723&lt;=1),"",IF(J723&lt;IF(D723="Builder",MinEdgeBuilder,IF(D723="Player",MinEdgePlayer,MinEdgeSingle)),0,ROUND(MIN(IF(D723="Single",KellySingle,KellyBuilder)*(StartBank+SUM(P$1:P722))*J723/(G723-1),IF(D723="Builder",CapBuilder,CapSingle)*Unit),2)))</f>
        <v/>
      </c>
      <c r="L723" s="10" t="n"/>
      <c r="N723" s="10" t="n"/>
      <c r="O723" s="10">
        <f>IF(L723="","",IF(M723="Won",L723*G723,IF(M723="Void",L723,IF(M723="Cash out",N(N723),IF(M723="Lost",0,"")))))</f>
        <v/>
      </c>
      <c r="P723" s="10">
        <f>IF(OR(L723="",M723="",M723="Pending"),"",O723-L723)</f>
        <v/>
      </c>
      <c r="Q723" s="21" t="n"/>
      <c r="R723" s="11">
        <f>IF(OR(G723="",Q723=""),"",G723/Q723-1)</f>
        <v/>
      </c>
      <c r="S723" s="10">
        <f>IF(OR(L723="",J723=""),"",L723*J723)</f>
        <v/>
      </c>
      <c r="T723" s="10">
        <f>IF(P723="","",StartBank+SUM(P$2:P723))</f>
        <v/>
      </c>
    </row>
    <row r="724">
      <c r="A724" s="22" t="n"/>
      <c r="G724" s="21" t="n"/>
      <c r="H724" s="11" t="n"/>
      <c r="I724" s="21">
        <f>IF(OR(H724="",H724=0),"",1/H724)</f>
        <v/>
      </c>
      <c r="J724" s="11">
        <f>IF(OR(G724="",H724=""),"",H724*G724-1)</f>
        <v/>
      </c>
      <c r="K724" s="10">
        <f>IF(OR(G724="",H724="",G724&lt;=1),"",IF(J724&lt;IF(D724="Builder",MinEdgeBuilder,IF(D724="Player",MinEdgePlayer,MinEdgeSingle)),0,ROUND(MIN(IF(D724="Single",KellySingle,KellyBuilder)*(StartBank+SUM(P$1:P723))*J724/(G724-1),IF(D724="Builder",CapBuilder,CapSingle)*Unit),2)))</f>
        <v/>
      </c>
      <c r="L724" s="10" t="n"/>
      <c r="N724" s="10" t="n"/>
      <c r="O724" s="10">
        <f>IF(L724="","",IF(M724="Won",L724*G724,IF(M724="Void",L724,IF(M724="Cash out",N(N724),IF(M724="Lost",0,"")))))</f>
        <v/>
      </c>
      <c r="P724" s="10">
        <f>IF(OR(L724="",M724="",M724="Pending"),"",O724-L724)</f>
        <v/>
      </c>
      <c r="Q724" s="21" t="n"/>
      <c r="R724" s="11">
        <f>IF(OR(G724="",Q724=""),"",G724/Q724-1)</f>
        <v/>
      </c>
      <c r="S724" s="10">
        <f>IF(OR(L724="",J724=""),"",L724*J724)</f>
        <v/>
      </c>
      <c r="T724" s="10">
        <f>IF(P724="","",StartBank+SUM(P$2:P724))</f>
        <v/>
      </c>
    </row>
    <row r="725">
      <c r="A725" s="22" t="n"/>
      <c r="G725" s="21" t="n"/>
      <c r="H725" s="11" t="n"/>
      <c r="I725" s="21">
        <f>IF(OR(H725="",H725=0),"",1/H725)</f>
        <v/>
      </c>
      <c r="J725" s="11">
        <f>IF(OR(G725="",H725=""),"",H725*G725-1)</f>
        <v/>
      </c>
      <c r="K725" s="10">
        <f>IF(OR(G725="",H725="",G725&lt;=1),"",IF(J725&lt;IF(D725="Builder",MinEdgeBuilder,IF(D725="Player",MinEdgePlayer,MinEdgeSingle)),0,ROUND(MIN(IF(D725="Single",KellySingle,KellyBuilder)*(StartBank+SUM(P$1:P724))*J725/(G725-1),IF(D725="Builder",CapBuilder,CapSingle)*Unit),2)))</f>
        <v/>
      </c>
      <c r="L725" s="10" t="n"/>
      <c r="N725" s="10" t="n"/>
      <c r="O725" s="10">
        <f>IF(L725="","",IF(M725="Won",L725*G725,IF(M725="Void",L725,IF(M725="Cash out",N(N725),IF(M725="Lost",0,"")))))</f>
        <v/>
      </c>
      <c r="P725" s="10">
        <f>IF(OR(L725="",M725="",M725="Pending"),"",O725-L725)</f>
        <v/>
      </c>
      <c r="Q725" s="21" t="n"/>
      <c r="R725" s="11">
        <f>IF(OR(G725="",Q725=""),"",G725/Q725-1)</f>
        <v/>
      </c>
      <c r="S725" s="10">
        <f>IF(OR(L725="",J725=""),"",L725*J725)</f>
        <v/>
      </c>
      <c r="T725" s="10">
        <f>IF(P725="","",StartBank+SUM(P$2:P725))</f>
        <v/>
      </c>
    </row>
    <row r="726">
      <c r="A726" s="22" t="n"/>
      <c r="G726" s="21" t="n"/>
      <c r="H726" s="11" t="n"/>
      <c r="I726" s="21">
        <f>IF(OR(H726="",H726=0),"",1/H726)</f>
        <v/>
      </c>
      <c r="J726" s="11">
        <f>IF(OR(G726="",H726=""),"",H726*G726-1)</f>
        <v/>
      </c>
      <c r="K726" s="10">
        <f>IF(OR(G726="",H726="",G726&lt;=1),"",IF(J726&lt;IF(D726="Builder",MinEdgeBuilder,IF(D726="Player",MinEdgePlayer,MinEdgeSingle)),0,ROUND(MIN(IF(D726="Single",KellySingle,KellyBuilder)*(StartBank+SUM(P$1:P725))*J726/(G726-1),IF(D726="Builder",CapBuilder,CapSingle)*Unit),2)))</f>
        <v/>
      </c>
      <c r="L726" s="10" t="n"/>
      <c r="N726" s="10" t="n"/>
      <c r="O726" s="10">
        <f>IF(L726="","",IF(M726="Won",L726*G726,IF(M726="Void",L726,IF(M726="Cash out",N(N726),IF(M726="Lost",0,"")))))</f>
        <v/>
      </c>
      <c r="P726" s="10">
        <f>IF(OR(L726="",M726="",M726="Pending"),"",O726-L726)</f>
        <v/>
      </c>
      <c r="Q726" s="21" t="n"/>
      <c r="R726" s="11">
        <f>IF(OR(G726="",Q726=""),"",G726/Q726-1)</f>
        <v/>
      </c>
      <c r="S726" s="10">
        <f>IF(OR(L726="",J726=""),"",L726*J726)</f>
        <v/>
      </c>
      <c r="T726" s="10">
        <f>IF(P726="","",StartBank+SUM(P$2:P726))</f>
        <v/>
      </c>
    </row>
    <row r="727">
      <c r="A727" s="22" t="n"/>
      <c r="G727" s="21" t="n"/>
      <c r="H727" s="11" t="n"/>
      <c r="I727" s="21">
        <f>IF(OR(H727="",H727=0),"",1/H727)</f>
        <v/>
      </c>
      <c r="J727" s="11">
        <f>IF(OR(G727="",H727=""),"",H727*G727-1)</f>
        <v/>
      </c>
      <c r="K727" s="10">
        <f>IF(OR(G727="",H727="",G727&lt;=1),"",IF(J727&lt;IF(D727="Builder",MinEdgeBuilder,IF(D727="Player",MinEdgePlayer,MinEdgeSingle)),0,ROUND(MIN(IF(D727="Single",KellySingle,KellyBuilder)*(StartBank+SUM(P$1:P726))*J727/(G727-1),IF(D727="Builder",CapBuilder,CapSingle)*Unit),2)))</f>
        <v/>
      </c>
      <c r="L727" s="10" t="n"/>
      <c r="N727" s="10" t="n"/>
      <c r="O727" s="10">
        <f>IF(L727="","",IF(M727="Won",L727*G727,IF(M727="Void",L727,IF(M727="Cash out",N(N727),IF(M727="Lost",0,"")))))</f>
        <v/>
      </c>
      <c r="P727" s="10">
        <f>IF(OR(L727="",M727="",M727="Pending"),"",O727-L727)</f>
        <v/>
      </c>
      <c r="Q727" s="21" t="n"/>
      <c r="R727" s="11">
        <f>IF(OR(G727="",Q727=""),"",G727/Q727-1)</f>
        <v/>
      </c>
      <c r="S727" s="10">
        <f>IF(OR(L727="",J727=""),"",L727*J727)</f>
        <v/>
      </c>
      <c r="T727" s="10">
        <f>IF(P727="","",StartBank+SUM(P$2:P727))</f>
        <v/>
      </c>
    </row>
    <row r="728">
      <c r="A728" s="22" t="n"/>
      <c r="G728" s="21" t="n"/>
      <c r="H728" s="11" t="n"/>
      <c r="I728" s="21">
        <f>IF(OR(H728="",H728=0),"",1/H728)</f>
        <v/>
      </c>
      <c r="J728" s="11">
        <f>IF(OR(G728="",H728=""),"",H728*G728-1)</f>
        <v/>
      </c>
      <c r="K728" s="10">
        <f>IF(OR(G728="",H728="",G728&lt;=1),"",IF(J728&lt;IF(D728="Builder",MinEdgeBuilder,IF(D728="Player",MinEdgePlayer,MinEdgeSingle)),0,ROUND(MIN(IF(D728="Single",KellySingle,KellyBuilder)*(StartBank+SUM(P$1:P727))*J728/(G728-1),IF(D728="Builder",CapBuilder,CapSingle)*Unit),2)))</f>
        <v/>
      </c>
      <c r="L728" s="10" t="n"/>
      <c r="N728" s="10" t="n"/>
      <c r="O728" s="10">
        <f>IF(L728="","",IF(M728="Won",L728*G728,IF(M728="Void",L728,IF(M728="Cash out",N(N728),IF(M728="Lost",0,"")))))</f>
        <v/>
      </c>
      <c r="P728" s="10">
        <f>IF(OR(L728="",M728="",M728="Pending"),"",O728-L728)</f>
        <v/>
      </c>
      <c r="Q728" s="21" t="n"/>
      <c r="R728" s="11">
        <f>IF(OR(G728="",Q728=""),"",G728/Q728-1)</f>
        <v/>
      </c>
      <c r="S728" s="10">
        <f>IF(OR(L728="",J728=""),"",L728*J728)</f>
        <v/>
      </c>
      <c r="T728" s="10">
        <f>IF(P728="","",StartBank+SUM(P$2:P728))</f>
        <v/>
      </c>
    </row>
    <row r="729">
      <c r="A729" s="22" t="n"/>
      <c r="G729" s="21" t="n"/>
      <c r="H729" s="11" t="n"/>
      <c r="I729" s="21">
        <f>IF(OR(H729="",H729=0),"",1/H729)</f>
        <v/>
      </c>
      <c r="J729" s="11">
        <f>IF(OR(G729="",H729=""),"",H729*G729-1)</f>
        <v/>
      </c>
      <c r="K729" s="10">
        <f>IF(OR(G729="",H729="",G729&lt;=1),"",IF(J729&lt;IF(D729="Builder",MinEdgeBuilder,IF(D729="Player",MinEdgePlayer,MinEdgeSingle)),0,ROUND(MIN(IF(D729="Single",KellySingle,KellyBuilder)*(StartBank+SUM(P$1:P728))*J729/(G729-1),IF(D729="Builder",CapBuilder,CapSingle)*Unit),2)))</f>
        <v/>
      </c>
      <c r="L729" s="10" t="n"/>
      <c r="N729" s="10" t="n"/>
      <c r="O729" s="10">
        <f>IF(L729="","",IF(M729="Won",L729*G729,IF(M729="Void",L729,IF(M729="Cash out",N(N729),IF(M729="Lost",0,"")))))</f>
        <v/>
      </c>
      <c r="P729" s="10">
        <f>IF(OR(L729="",M729="",M729="Pending"),"",O729-L729)</f>
        <v/>
      </c>
      <c r="Q729" s="21" t="n"/>
      <c r="R729" s="11">
        <f>IF(OR(G729="",Q729=""),"",G729/Q729-1)</f>
        <v/>
      </c>
      <c r="S729" s="10">
        <f>IF(OR(L729="",J729=""),"",L729*J729)</f>
        <v/>
      </c>
      <c r="T729" s="10">
        <f>IF(P729="","",StartBank+SUM(P$2:P729))</f>
        <v/>
      </c>
    </row>
    <row r="730">
      <c r="A730" s="22" t="n"/>
      <c r="G730" s="21" t="n"/>
      <c r="H730" s="11" t="n"/>
      <c r="I730" s="21">
        <f>IF(OR(H730="",H730=0),"",1/H730)</f>
        <v/>
      </c>
      <c r="J730" s="11">
        <f>IF(OR(G730="",H730=""),"",H730*G730-1)</f>
        <v/>
      </c>
      <c r="K730" s="10">
        <f>IF(OR(G730="",H730="",G730&lt;=1),"",IF(J730&lt;IF(D730="Builder",MinEdgeBuilder,IF(D730="Player",MinEdgePlayer,MinEdgeSingle)),0,ROUND(MIN(IF(D730="Single",KellySingle,KellyBuilder)*(StartBank+SUM(P$1:P729))*J730/(G730-1),IF(D730="Builder",CapBuilder,CapSingle)*Unit),2)))</f>
        <v/>
      </c>
      <c r="L730" s="10" t="n"/>
      <c r="N730" s="10" t="n"/>
      <c r="O730" s="10">
        <f>IF(L730="","",IF(M730="Won",L730*G730,IF(M730="Void",L730,IF(M730="Cash out",N(N730),IF(M730="Lost",0,"")))))</f>
        <v/>
      </c>
      <c r="P730" s="10">
        <f>IF(OR(L730="",M730="",M730="Pending"),"",O730-L730)</f>
        <v/>
      </c>
      <c r="Q730" s="21" t="n"/>
      <c r="R730" s="11">
        <f>IF(OR(G730="",Q730=""),"",G730/Q730-1)</f>
        <v/>
      </c>
      <c r="S730" s="10">
        <f>IF(OR(L730="",J730=""),"",L730*J730)</f>
        <v/>
      </c>
      <c r="T730" s="10">
        <f>IF(P730="","",StartBank+SUM(P$2:P730))</f>
        <v/>
      </c>
    </row>
    <row r="731">
      <c r="A731" s="22" t="n"/>
      <c r="G731" s="21" t="n"/>
      <c r="H731" s="11" t="n"/>
      <c r="I731" s="21">
        <f>IF(OR(H731="",H731=0),"",1/H731)</f>
        <v/>
      </c>
      <c r="J731" s="11">
        <f>IF(OR(G731="",H731=""),"",H731*G731-1)</f>
        <v/>
      </c>
      <c r="K731" s="10">
        <f>IF(OR(G731="",H731="",G731&lt;=1),"",IF(J731&lt;IF(D731="Builder",MinEdgeBuilder,IF(D731="Player",MinEdgePlayer,MinEdgeSingle)),0,ROUND(MIN(IF(D731="Single",KellySingle,KellyBuilder)*(StartBank+SUM(P$1:P730))*J731/(G731-1),IF(D731="Builder",CapBuilder,CapSingle)*Unit),2)))</f>
        <v/>
      </c>
      <c r="L731" s="10" t="n"/>
      <c r="N731" s="10" t="n"/>
      <c r="O731" s="10">
        <f>IF(L731="","",IF(M731="Won",L731*G731,IF(M731="Void",L731,IF(M731="Cash out",N(N731),IF(M731="Lost",0,"")))))</f>
        <v/>
      </c>
      <c r="P731" s="10">
        <f>IF(OR(L731="",M731="",M731="Pending"),"",O731-L731)</f>
        <v/>
      </c>
      <c r="Q731" s="21" t="n"/>
      <c r="R731" s="11">
        <f>IF(OR(G731="",Q731=""),"",G731/Q731-1)</f>
        <v/>
      </c>
      <c r="S731" s="10">
        <f>IF(OR(L731="",J731=""),"",L731*J731)</f>
        <v/>
      </c>
      <c r="T731" s="10">
        <f>IF(P731="","",StartBank+SUM(P$2:P731))</f>
        <v/>
      </c>
    </row>
    <row r="732">
      <c r="A732" s="22" t="n"/>
      <c r="G732" s="21" t="n"/>
      <c r="H732" s="11" t="n"/>
      <c r="I732" s="21">
        <f>IF(OR(H732="",H732=0),"",1/H732)</f>
        <v/>
      </c>
      <c r="J732" s="11">
        <f>IF(OR(G732="",H732=""),"",H732*G732-1)</f>
        <v/>
      </c>
      <c r="K732" s="10">
        <f>IF(OR(G732="",H732="",G732&lt;=1),"",IF(J732&lt;IF(D732="Builder",MinEdgeBuilder,IF(D732="Player",MinEdgePlayer,MinEdgeSingle)),0,ROUND(MIN(IF(D732="Single",KellySingle,KellyBuilder)*(StartBank+SUM(P$1:P731))*J732/(G732-1),IF(D732="Builder",CapBuilder,CapSingle)*Unit),2)))</f>
        <v/>
      </c>
      <c r="L732" s="10" t="n"/>
      <c r="N732" s="10" t="n"/>
      <c r="O732" s="10">
        <f>IF(L732="","",IF(M732="Won",L732*G732,IF(M732="Void",L732,IF(M732="Cash out",N(N732),IF(M732="Lost",0,"")))))</f>
        <v/>
      </c>
      <c r="P732" s="10">
        <f>IF(OR(L732="",M732="",M732="Pending"),"",O732-L732)</f>
        <v/>
      </c>
      <c r="Q732" s="21" t="n"/>
      <c r="R732" s="11">
        <f>IF(OR(G732="",Q732=""),"",G732/Q732-1)</f>
        <v/>
      </c>
      <c r="S732" s="10">
        <f>IF(OR(L732="",J732=""),"",L732*J732)</f>
        <v/>
      </c>
      <c r="T732" s="10">
        <f>IF(P732="","",StartBank+SUM(P$2:P732))</f>
        <v/>
      </c>
    </row>
    <row r="733">
      <c r="A733" s="22" t="n"/>
      <c r="G733" s="21" t="n"/>
      <c r="H733" s="11" t="n"/>
      <c r="I733" s="21">
        <f>IF(OR(H733="",H733=0),"",1/H733)</f>
        <v/>
      </c>
      <c r="J733" s="11">
        <f>IF(OR(G733="",H733=""),"",H733*G733-1)</f>
        <v/>
      </c>
      <c r="K733" s="10">
        <f>IF(OR(G733="",H733="",G733&lt;=1),"",IF(J733&lt;IF(D733="Builder",MinEdgeBuilder,IF(D733="Player",MinEdgePlayer,MinEdgeSingle)),0,ROUND(MIN(IF(D733="Single",KellySingle,KellyBuilder)*(StartBank+SUM(P$1:P732))*J733/(G733-1),IF(D733="Builder",CapBuilder,CapSingle)*Unit),2)))</f>
        <v/>
      </c>
      <c r="L733" s="10" t="n"/>
      <c r="N733" s="10" t="n"/>
      <c r="O733" s="10">
        <f>IF(L733="","",IF(M733="Won",L733*G733,IF(M733="Void",L733,IF(M733="Cash out",N(N733),IF(M733="Lost",0,"")))))</f>
        <v/>
      </c>
      <c r="P733" s="10">
        <f>IF(OR(L733="",M733="",M733="Pending"),"",O733-L733)</f>
        <v/>
      </c>
      <c r="Q733" s="21" t="n"/>
      <c r="R733" s="11">
        <f>IF(OR(G733="",Q733=""),"",G733/Q733-1)</f>
        <v/>
      </c>
      <c r="S733" s="10">
        <f>IF(OR(L733="",J733=""),"",L733*J733)</f>
        <v/>
      </c>
      <c r="T733" s="10">
        <f>IF(P733="","",StartBank+SUM(P$2:P733))</f>
        <v/>
      </c>
    </row>
    <row r="734">
      <c r="A734" s="22" t="n"/>
      <c r="G734" s="21" t="n"/>
      <c r="H734" s="11" t="n"/>
      <c r="I734" s="21">
        <f>IF(OR(H734="",H734=0),"",1/H734)</f>
        <v/>
      </c>
      <c r="J734" s="11">
        <f>IF(OR(G734="",H734=""),"",H734*G734-1)</f>
        <v/>
      </c>
      <c r="K734" s="10">
        <f>IF(OR(G734="",H734="",G734&lt;=1),"",IF(J734&lt;IF(D734="Builder",MinEdgeBuilder,IF(D734="Player",MinEdgePlayer,MinEdgeSingle)),0,ROUND(MIN(IF(D734="Single",KellySingle,KellyBuilder)*(StartBank+SUM(P$1:P733))*J734/(G734-1),IF(D734="Builder",CapBuilder,CapSingle)*Unit),2)))</f>
        <v/>
      </c>
      <c r="L734" s="10" t="n"/>
      <c r="N734" s="10" t="n"/>
      <c r="O734" s="10">
        <f>IF(L734="","",IF(M734="Won",L734*G734,IF(M734="Void",L734,IF(M734="Cash out",N(N734),IF(M734="Lost",0,"")))))</f>
        <v/>
      </c>
      <c r="P734" s="10">
        <f>IF(OR(L734="",M734="",M734="Pending"),"",O734-L734)</f>
        <v/>
      </c>
      <c r="Q734" s="21" t="n"/>
      <c r="R734" s="11">
        <f>IF(OR(G734="",Q734=""),"",G734/Q734-1)</f>
        <v/>
      </c>
      <c r="S734" s="10">
        <f>IF(OR(L734="",J734=""),"",L734*J734)</f>
        <v/>
      </c>
      <c r="T734" s="10">
        <f>IF(P734="","",StartBank+SUM(P$2:P734))</f>
        <v/>
      </c>
    </row>
    <row r="735">
      <c r="A735" s="22" t="n"/>
      <c r="G735" s="21" t="n"/>
      <c r="H735" s="11" t="n"/>
      <c r="I735" s="21">
        <f>IF(OR(H735="",H735=0),"",1/H735)</f>
        <v/>
      </c>
      <c r="J735" s="11">
        <f>IF(OR(G735="",H735=""),"",H735*G735-1)</f>
        <v/>
      </c>
      <c r="K735" s="10">
        <f>IF(OR(G735="",H735="",G735&lt;=1),"",IF(J735&lt;IF(D735="Builder",MinEdgeBuilder,IF(D735="Player",MinEdgePlayer,MinEdgeSingle)),0,ROUND(MIN(IF(D735="Single",KellySingle,KellyBuilder)*(StartBank+SUM(P$1:P734))*J735/(G735-1),IF(D735="Builder",CapBuilder,CapSingle)*Unit),2)))</f>
        <v/>
      </c>
      <c r="L735" s="10" t="n"/>
      <c r="N735" s="10" t="n"/>
      <c r="O735" s="10">
        <f>IF(L735="","",IF(M735="Won",L735*G735,IF(M735="Void",L735,IF(M735="Cash out",N(N735),IF(M735="Lost",0,"")))))</f>
        <v/>
      </c>
      <c r="P735" s="10">
        <f>IF(OR(L735="",M735="",M735="Pending"),"",O735-L735)</f>
        <v/>
      </c>
      <c r="Q735" s="21" t="n"/>
      <c r="R735" s="11">
        <f>IF(OR(G735="",Q735=""),"",G735/Q735-1)</f>
        <v/>
      </c>
      <c r="S735" s="10">
        <f>IF(OR(L735="",J735=""),"",L735*J735)</f>
        <v/>
      </c>
      <c r="T735" s="10">
        <f>IF(P735="","",StartBank+SUM(P$2:P735))</f>
        <v/>
      </c>
    </row>
    <row r="736">
      <c r="A736" s="22" t="n"/>
      <c r="G736" s="21" t="n"/>
      <c r="H736" s="11" t="n"/>
      <c r="I736" s="21">
        <f>IF(OR(H736="",H736=0),"",1/H736)</f>
        <v/>
      </c>
      <c r="J736" s="11">
        <f>IF(OR(G736="",H736=""),"",H736*G736-1)</f>
        <v/>
      </c>
      <c r="K736" s="10">
        <f>IF(OR(G736="",H736="",G736&lt;=1),"",IF(J736&lt;IF(D736="Builder",MinEdgeBuilder,IF(D736="Player",MinEdgePlayer,MinEdgeSingle)),0,ROUND(MIN(IF(D736="Single",KellySingle,KellyBuilder)*(StartBank+SUM(P$1:P735))*J736/(G736-1),IF(D736="Builder",CapBuilder,CapSingle)*Unit),2)))</f>
        <v/>
      </c>
      <c r="L736" s="10" t="n"/>
      <c r="N736" s="10" t="n"/>
      <c r="O736" s="10">
        <f>IF(L736="","",IF(M736="Won",L736*G736,IF(M736="Void",L736,IF(M736="Cash out",N(N736),IF(M736="Lost",0,"")))))</f>
        <v/>
      </c>
      <c r="P736" s="10">
        <f>IF(OR(L736="",M736="",M736="Pending"),"",O736-L736)</f>
        <v/>
      </c>
      <c r="Q736" s="21" t="n"/>
      <c r="R736" s="11">
        <f>IF(OR(G736="",Q736=""),"",G736/Q736-1)</f>
        <v/>
      </c>
      <c r="S736" s="10">
        <f>IF(OR(L736="",J736=""),"",L736*J736)</f>
        <v/>
      </c>
      <c r="T736" s="10">
        <f>IF(P736="","",StartBank+SUM(P$2:P736))</f>
        <v/>
      </c>
    </row>
    <row r="737">
      <c r="A737" s="22" t="n"/>
      <c r="G737" s="21" t="n"/>
      <c r="H737" s="11" t="n"/>
      <c r="I737" s="21">
        <f>IF(OR(H737="",H737=0),"",1/H737)</f>
        <v/>
      </c>
      <c r="J737" s="11">
        <f>IF(OR(G737="",H737=""),"",H737*G737-1)</f>
        <v/>
      </c>
      <c r="K737" s="10">
        <f>IF(OR(G737="",H737="",G737&lt;=1),"",IF(J737&lt;IF(D737="Builder",MinEdgeBuilder,IF(D737="Player",MinEdgePlayer,MinEdgeSingle)),0,ROUND(MIN(IF(D737="Single",KellySingle,KellyBuilder)*(StartBank+SUM(P$1:P736))*J737/(G737-1),IF(D737="Builder",CapBuilder,CapSingle)*Unit),2)))</f>
        <v/>
      </c>
      <c r="L737" s="10" t="n"/>
      <c r="N737" s="10" t="n"/>
      <c r="O737" s="10">
        <f>IF(L737="","",IF(M737="Won",L737*G737,IF(M737="Void",L737,IF(M737="Cash out",N(N737),IF(M737="Lost",0,"")))))</f>
        <v/>
      </c>
      <c r="P737" s="10">
        <f>IF(OR(L737="",M737="",M737="Pending"),"",O737-L737)</f>
        <v/>
      </c>
      <c r="Q737" s="21" t="n"/>
      <c r="R737" s="11">
        <f>IF(OR(G737="",Q737=""),"",G737/Q737-1)</f>
        <v/>
      </c>
      <c r="S737" s="10">
        <f>IF(OR(L737="",J737=""),"",L737*J737)</f>
        <v/>
      </c>
      <c r="T737" s="10">
        <f>IF(P737="","",StartBank+SUM(P$2:P737))</f>
        <v/>
      </c>
    </row>
    <row r="738">
      <c r="A738" s="22" t="n"/>
      <c r="G738" s="21" t="n"/>
      <c r="H738" s="11" t="n"/>
      <c r="I738" s="21">
        <f>IF(OR(H738="",H738=0),"",1/H738)</f>
        <v/>
      </c>
      <c r="J738" s="11">
        <f>IF(OR(G738="",H738=""),"",H738*G738-1)</f>
        <v/>
      </c>
      <c r="K738" s="10">
        <f>IF(OR(G738="",H738="",G738&lt;=1),"",IF(J738&lt;IF(D738="Builder",MinEdgeBuilder,IF(D738="Player",MinEdgePlayer,MinEdgeSingle)),0,ROUND(MIN(IF(D738="Single",KellySingle,KellyBuilder)*(StartBank+SUM(P$1:P737))*J738/(G738-1),IF(D738="Builder",CapBuilder,CapSingle)*Unit),2)))</f>
        <v/>
      </c>
      <c r="L738" s="10" t="n"/>
      <c r="N738" s="10" t="n"/>
      <c r="O738" s="10">
        <f>IF(L738="","",IF(M738="Won",L738*G738,IF(M738="Void",L738,IF(M738="Cash out",N(N738),IF(M738="Lost",0,"")))))</f>
        <v/>
      </c>
      <c r="P738" s="10">
        <f>IF(OR(L738="",M738="",M738="Pending"),"",O738-L738)</f>
        <v/>
      </c>
      <c r="Q738" s="21" t="n"/>
      <c r="R738" s="11">
        <f>IF(OR(G738="",Q738=""),"",G738/Q738-1)</f>
        <v/>
      </c>
      <c r="S738" s="10">
        <f>IF(OR(L738="",J738=""),"",L738*J738)</f>
        <v/>
      </c>
      <c r="T738" s="10">
        <f>IF(P738="","",StartBank+SUM(P$2:P738))</f>
        <v/>
      </c>
    </row>
    <row r="739">
      <c r="A739" s="22" t="n"/>
      <c r="G739" s="21" t="n"/>
      <c r="H739" s="11" t="n"/>
      <c r="I739" s="21">
        <f>IF(OR(H739="",H739=0),"",1/H739)</f>
        <v/>
      </c>
      <c r="J739" s="11">
        <f>IF(OR(G739="",H739=""),"",H739*G739-1)</f>
        <v/>
      </c>
      <c r="K739" s="10">
        <f>IF(OR(G739="",H739="",G739&lt;=1),"",IF(J739&lt;IF(D739="Builder",MinEdgeBuilder,IF(D739="Player",MinEdgePlayer,MinEdgeSingle)),0,ROUND(MIN(IF(D739="Single",KellySingle,KellyBuilder)*(StartBank+SUM(P$1:P738))*J739/(G739-1),IF(D739="Builder",CapBuilder,CapSingle)*Unit),2)))</f>
        <v/>
      </c>
      <c r="L739" s="10" t="n"/>
      <c r="N739" s="10" t="n"/>
      <c r="O739" s="10">
        <f>IF(L739="","",IF(M739="Won",L739*G739,IF(M739="Void",L739,IF(M739="Cash out",N(N739),IF(M739="Lost",0,"")))))</f>
        <v/>
      </c>
      <c r="P739" s="10">
        <f>IF(OR(L739="",M739="",M739="Pending"),"",O739-L739)</f>
        <v/>
      </c>
      <c r="Q739" s="21" t="n"/>
      <c r="R739" s="11">
        <f>IF(OR(G739="",Q739=""),"",G739/Q739-1)</f>
        <v/>
      </c>
      <c r="S739" s="10">
        <f>IF(OR(L739="",J739=""),"",L739*J739)</f>
        <v/>
      </c>
      <c r="T739" s="10">
        <f>IF(P739="","",StartBank+SUM(P$2:P739))</f>
        <v/>
      </c>
    </row>
    <row r="740">
      <c r="A740" s="22" t="n"/>
      <c r="G740" s="21" t="n"/>
      <c r="H740" s="11" t="n"/>
      <c r="I740" s="21">
        <f>IF(OR(H740="",H740=0),"",1/H740)</f>
        <v/>
      </c>
      <c r="J740" s="11">
        <f>IF(OR(G740="",H740=""),"",H740*G740-1)</f>
        <v/>
      </c>
      <c r="K740" s="10">
        <f>IF(OR(G740="",H740="",G740&lt;=1),"",IF(J740&lt;IF(D740="Builder",MinEdgeBuilder,IF(D740="Player",MinEdgePlayer,MinEdgeSingle)),0,ROUND(MIN(IF(D740="Single",KellySingle,KellyBuilder)*(StartBank+SUM(P$1:P739))*J740/(G740-1),IF(D740="Builder",CapBuilder,CapSingle)*Unit),2)))</f>
        <v/>
      </c>
      <c r="L740" s="10" t="n"/>
      <c r="N740" s="10" t="n"/>
      <c r="O740" s="10">
        <f>IF(L740="","",IF(M740="Won",L740*G740,IF(M740="Void",L740,IF(M740="Cash out",N(N740),IF(M740="Lost",0,"")))))</f>
        <v/>
      </c>
      <c r="P740" s="10">
        <f>IF(OR(L740="",M740="",M740="Pending"),"",O740-L740)</f>
        <v/>
      </c>
      <c r="Q740" s="21" t="n"/>
      <c r="R740" s="11">
        <f>IF(OR(G740="",Q740=""),"",G740/Q740-1)</f>
        <v/>
      </c>
      <c r="S740" s="10">
        <f>IF(OR(L740="",J740=""),"",L740*J740)</f>
        <v/>
      </c>
      <c r="T740" s="10">
        <f>IF(P740="","",StartBank+SUM(P$2:P740))</f>
        <v/>
      </c>
    </row>
    <row r="741">
      <c r="A741" s="22" t="n"/>
      <c r="G741" s="21" t="n"/>
      <c r="H741" s="11" t="n"/>
      <c r="I741" s="21">
        <f>IF(OR(H741="",H741=0),"",1/H741)</f>
        <v/>
      </c>
      <c r="J741" s="11">
        <f>IF(OR(G741="",H741=""),"",H741*G741-1)</f>
        <v/>
      </c>
      <c r="K741" s="10">
        <f>IF(OR(G741="",H741="",G741&lt;=1),"",IF(J741&lt;IF(D741="Builder",MinEdgeBuilder,IF(D741="Player",MinEdgePlayer,MinEdgeSingle)),0,ROUND(MIN(IF(D741="Single",KellySingle,KellyBuilder)*(StartBank+SUM(P$1:P740))*J741/(G741-1),IF(D741="Builder",CapBuilder,CapSingle)*Unit),2)))</f>
        <v/>
      </c>
      <c r="L741" s="10" t="n"/>
      <c r="N741" s="10" t="n"/>
      <c r="O741" s="10">
        <f>IF(L741="","",IF(M741="Won",L741*G741,IF(M741="Void",L741,IF(M741="Cash out",N(N741),IF(M741="Lost",0,"")))))</f>
        <v/>
      </c>
      <c r="P741" s="10">
        <f>IF(OR(L741="",M741="",M741="Pending"),"",O741-L741)</f>
        <v/>
      </c>
      <c r="Q741" s="21" t="n"/>
      <c r="R741" s="11">
        <f>IF(OR(G741="",Q741=""),"",G741/Q741-1)</f>
        <v/>
      </c>
      <c r="S741" s="10">
        <f>IF(OR(L741="",J741=""),"",L741*J741)</f>
        <v/>
      </c>
      <c r="T741" s="10">
        <f>IF(P741="","",StartBank+SUM(P$2:P741))</f>
        <v/>
      </c>
    </row>
    <row r="742">
      <c r="A742" s="22" t="n"/>
      <c r="G742" s="21" t="n"/>
      <c r="H742" s="11" t="n"/>
      <c r="I742" s="21">
        <f>IF(OR(H742="",H742=0),"",1/H742)</f>
        <v/>
      </c>
      <c r="J742" s="11">
        <f>IF(OR(G742="",H742=""),"",H742*G742-1)</f>
        <v/>
      </c>
      <c r="K742" s="10">
        <f>IF(OR(G742="",H742="",G742&lt;=1),"",IF(J742&lt;IF(D742="Builder",MinEdgeBuilder,IF(D742="Player",MinEdgePlayer,MinEdgeSingle)),0,ROUND(MIN(IF(D742="Single",KellySingle,KellyBuilder)*(StartBank+SUM(P$1:P741))*J742/(G742-1),IF(D742="Builder",CapBuilder,CapSingle)*Unit),2)))</f>
        <v/>
      </c>
      <c r="L742" s="10" t="n"/>
      <c r="N742" s="10" t="n"/>
      <c r="O742" s="10">
        <f>IF(L742="","",IF(M742="Won",L742*G742,IF(M742="Void",L742,IF(M742="Cash out",N(N742),IF(M742="Lost",0,"")))))</f>
        <v/>
      </c>
      <c r="P742" s="10">
        <f>IF(OR(L742="",M742="",M742="Pending"),"",O742-L742)</f>
        <v/>
      </c>
      <c r="Q742" s="21" t="n"/>
      <c r="R742" s="11">
        <f>IF(OR(G742="",Q742=""),"",G742/Q742-1)</f>
        <v/>
      </c>
      <c r="S742" s="10">
        <f>IF(OR(L742="",J742=""),"",L742*J742)</f>
        <v/>
      </c>
      <c r="T742" s="10">
        <f>IF(P742="","",StartBank+SUM(P$2:P742))</f>
        <v/>
      </c>
    </row>
    <row r="743">
      <c r="A743" s="22" t="n"/>
      <c r="G743" s="21" t="n"/>
      <c r="H743" s="11" t="n"/>
      <c r="I743" s="21">
        <f>IF(OR(H743="",H743=0),"",1/H743)</f>
        <v/>
      </c>
      <c r="J743" s="11">
        <f>IF(OR(G743="",H743=""),"",H743*G743-1)</f>
        <v/>
      </c>
      <c r="K743" s="10">
        <f>IF(OR(G743="",H743="",G743&lt;=1),"",IF(J743&lt;IF(D743="Builder",MinEdgeBuilder,IF(D743="Player",MinEdgePlayer,MinEdgeSingle)),0,ROUND(MIN(IF(D743="Single",KellySingle,KellyBuilder)*(StartBank+SUM(P$1:P742))*J743/(G743-1),IF(D743="Builder",CapBuilder,CapSingle)*Unit),2)))</f>
        <v/>
      </c>
      <c r="L743" s="10" t="n"/>
      <c r="N743" s="10" t="n"/>
      <c r="O743" s="10">
        <f>IF(L743="","",IF(M743="Won",L743*G743,IF(M743="Void",L743,IF(M743="Cash out",N(N743),IF(M743="Lost",0,"")))))</f>
        <v/>
      </c>
      <c r="P743" s="10">
        <f>IF(OR(L743="",M743="",M743="Pending"),"",O743-L743)</f>
        <v/>
      </c>
      <c r="Q743" s="21" t="n"/>
      <c r="R743" s="11">
        <f>IF(OR(G743="",Q743=""),"",G743/Q743-1)</f>
        <v/>
      </c>
      <c r="S743" s="10">
        <f>IF(OR(L743="",J743=""),"",L743*J743)</f>
        <v/>
      </c>
      <c r="T743" s="10">
        <f>IF(P743="","",StartBank+SUM(P$2:P743))</f>
        <v/>
      </c>
    </row>
    <row r="744">
      <c r="A744" s="22" t="n"/>
      <c r="G744" s="21" t="n"/>
      <c r="H744" s="11" t="n"/>
      <c r="I744" s="21">
        <f>IF(OR(H744="",H744=0),"",1/H744)</f>
        <v/>
      </c>
      <c r="J744" s="11">
        <f>IF(OR(G744="",H744=""),"",H744*G744-1)</f>
        <v/>
      </c>
      <c r="K744" s="10">
        <f>IF(OR(G744="",H744="",G744&lt;=1),"",IF(J744&lt;IF(D744="Builder",MinEdgeBuilder,IF(D744="Player",MinEdgePlayer,MinEdgeSingle)),0,ROUND(MIN(IF(D744="Single",KellySingle,KellyBuilder)*(StartBank+SUM(P$1:P743))*J744/(G744-1),IF(D744="Builder",CapBuilder,CapSingle)*Unit),2)))</f>
        <v/>
      </c>
      <c r="L744" s="10" t="n"/>
      <c r="N744" s="10" t="n"/>
      <c r="O744" s="10">
        <f>IF(L744="","",IF(M744="Won",L744*G744,IF(M744="Void",L744,IF(M744="Cash out",N(N744),IF(M744="Lost",0,"")))))</f>
        <v/>
      </c>
      <c r="P744" s="10">
        <f>IF(OR(L744="",M744="",M744="Pending"),"",O744-L744)</f>
        <v/>
      </c>
      <c r="Q744" s="21" t="n"/>
      <c r="R744" s="11">
        <f>IF(OR(G744="",Q744=""),"",G744/Q744-1)</f>
        <v/>
      </c>
      <c r="S744" s="10">
        <f>IF(OR(L744="",J744=""),"",L744*J744)</f>
        <v/>
      </c>
      <c r="T744" s="10">
        <f>IF(P744="","",StartBank+SUM(P$2:P744))</f>
        <v/>
      </c>
    </row>
    <row r="745">
      <c r="A745" s="22" t="n"/>
      <c r="G745" s="21" t="n"/>
      <c r="H745" s="11" t="n"/>
      <c r="I745" s="21">
        <f>IF(OR(H745="",H745=0),"",1/H745)</f>
        <v/>
      </c>
      <c r="J745" s="11">
        <f>IF(OR(G745="",H745=""),"",H745*G745-1)</f>
        <v/>
      </c>
      <c r="K745" s="10">
        <f>IF(OR(G745="",H745="",G745&lt;=1),"",IF(J745&lt;IF(D745="Builder",MinEdgeBuilder,IF(D745="Player",MinEdgePlayer,MinEdgeSingle)),0,ROUND(MIN(IF(D745="Single",KellySingle,KellyBuilder)*(StartBank+SUM(P$1:P744))*J745/(G745-1),IF(D745="Builder",CapBuilder,CapSingle)*Unit),2)))</f>
        <v/>
      </c>
      <c r="L745" s="10" t="n"/>
      <c r="N745" s="10" t="n"/>
      <c r="O745" s="10">
        <f>IF(L745="","",IF(M745="Won",L745*G745,IF(M745="Void",L745,IF(M745="Cash out",N(N745),IF(M745="Lost",0,"")))))</f>
        <v/>
      </c>
      <c r="P745" s="10">
        <f>IF(OR(L745="",M745="",M745="Pending"),"",O745-L745)</f>
        <v/>
      </c>
      <c r="Q745" s="21" t="n"/>
      <c r="R745" s="11">
        <f>IF(OR(G745="",Q745=""),"",G745/Q745-1)</f>
        <v/>
      </c>
      <c r="S745" s="10">
        <f>IF(OR(L745="",J745=""),"",L745*J745)</f>
        <v/>
      </c>
      <c r="T745" s="10">
        <f>IF(P745="","",StartBank+SUM(P$2:P745))</f>
        <v/>
      </c>
    </row>
    <row r="746">
      <c r="A746" s="22" t="n"/>
      <c r="G746" s="21" t="n"/>
      <c r="H746" s="11" t="n"/>
      <c r="I746" s="21">
        <f>IF(OR(H746="",H746=0),"",1/H746)</f>
        <v/>
      </c>
      <c r="J746" s="11">
        <f>IF(OR(G746="",H746=""),"",H746*G746-1)</f>
        <v/>
      </c>
      <c r="K746" s="10">
        <f>IF(OR(G746="",H746="",G746&lt;=1),"",IF(J746&lt;IF(D746="Builder",MinEdgeBuilder,IF(D746="Player",MinEdgePlayer,MinEdgeSingle)),0,ROUND(MIN(IF(D746="Single",KellySingle,KellyBuilder)*(StartBank+SUM(P$1:P745))*J746/(G746-1),IF(D746="Builder",CapBuilder,CapSingle)*Unit),2)))</f>
        <v/>
      </c>
      <c r="L746" s="10" t="n"/>
      <c r="N746" s="10" t="n"/>
      <c r="O746" s="10">
        <f>IF(L746="","",IF(M746="Won",L746*G746,IF(M746="Void",L746,IF(M746="Cash out",N(N746),IF(M746="Lost",0,"")))))</f>
        <v/>
      </c>
      <c r="P746" s="10">
        <f>IF(OR(L746="",M746="",M746="Pending"),"",O746-L746)</f>
        <v/>
      </c>
      <c r="Q746" s="21" t="n"/>
      <c r="R746" s="11">
        <f>IF(OR(G746="",Q746=""),"",G746/Q746-1)</f>
        <v/>
      </c>
      <c r="S746" s="10">
        <f>IF(OR(L746="",J746=""),"",L746*J746)</f>
        <v/>
      </c>
      <c r="T746" s="10">
        <f>IF(P746="","",StartBank+SUM(P$2:P746))</f>
        <v/>
      </c>
    </row>
    <row r="747">
      <c r="A747" s="22" t="n"/>
      <c r="G747" s="21" t="n"/>
      <c r="H747" s="11" t="n"/>
      <c r="I747" s="21">
        <f>IF(OR(H747="",H747=0),"",1/H747)</f>
        <v/>
      </c>
      <c r="J747" s="11">
        <f>IF(OR(G747="",H747=""),"",H747*G747-1)</f>
        <v/>
      </c>
      <c r="K747" s="10">
        <f>IF(OR(G747="",H747="",G747&lt;=1),"",IF(J747&lt;IF(D747="Builder",MinEdgeBuilder,IF(D747="Player",MinEdgePlayer,MinEdgeSingle)),0,ROUND(MIN(IF(D747="Single",KellySingle,KellyBuilder)*(StartBank+SUM(P$1:P746))*J747/(G747-1),IF(D747="Builder",CapBuilder,CapSingle)*Unit),2)))</f>
        <v/>
      </c>
      <c r="L747" s="10" t="n"/>
      <c r="N747" s="10" t="n"/>
      <c r="O747" s="10">
        <f>IF(L747="","",IF(M747="Won",L747*G747,IF(M747="Void",L747,IF(M747="Cash out",N(N747),IF(M747="Lost",0,"")))))</f>
        <v/>
      </c>
      <c r="P747" s="10">
        <f>IF(OR(L747="",M747="",M747="Pending"),"",O747-L747)</f>
        <v/>
      </c>
      <c r="Q747" s="21" t="n"/>
      <c r="R747" s="11">
        <f>IF(OR(G747="",Q747=""),"",G747/Q747-1)</f>
        <v/>
      </c>
      <c r="S747" s="10">
        <f>IF(OR(L747="",J747=""),"",L747*J747)</f>
        <v/>
      </c>
      <c r="T747" s="10">
        <f>IF(P747="","",StartBank+SUM(P$2:P747))</f>
        <v/>
      </c>
    </row>
    <row r="748">
      <c r="A748" s="22" t="n"/>
      <c r="G748" s="21" t="n"/>
      <c r="H748" s="11" t="n"/>
      <c r="I748" s="21">
        <f>IF(OR(H748="",H748=0),"",1/H748)</f>
        <v/>
      </c>
      <c r="J748" s="11">
        <f>IF(OR(G748="",H748=""),"",H748*G748-1)</f>
        <v/>
      </c>
      <c r="K748" s="10">
        <f>IF(OR(G748="",H748="",G748&lt;=1),"",IF(J748&lt;IF(D748="Builder",MinEdgeBuilder,IF(D748="Player",MinEdgePlayer,MinEdgeSingle)),0,ROUND(MIN(IF(D748="Single",KellySingle,KellyBuilder)*(StartBank+SUM(P$1:P747))*J748/(G748-1),IF(D748="Builder",CapBuilder,CapSingle)*Unit),2)))</f>
        <v/>
      </c>
      <c r="L748" s="10" t="n"/>
      <c r="N748" s="10" t="n"/>
      <c r="O748" s="10">
        <f>IF(L748="","",IF(M748="Won",L748*G748,IF(M748="Void",L748,IF(M748="Cash out",N(N748),IF(M748="Lost",0,"")))))</f>
        <v/>
      </c>
      <c r="P748" s="10">
        <f>IF(OR(L748="",M748="",M748="Pending"),"",O748-L748)</f>
        <v/>
      </c>
      <c r="Q748" s="21" t="n"/>
      <c r="R748" s="11">
        <f>IF(OR(G748="",Q748=""),"",G748/Q748-1)</f>
        <v/>
      </c>
      <c r="S748" s="10">
        <f>IF(OR(L748="",J748=""),"",L748*J748)</f>
        <v/>
      </c>
      <c r="T748" s="10">
        <f>IF(P748="","",StartBank+SUM(P$2:P748))</f>
        <v/>
      </c>
    </row>
    <row r="749">
      <c r="A749" s="22" t="n"/>
      <c r="G749" s="21" t="n"/>
      <c r="H749" s="11" t="n"/>
      <c r="I749" s="21">
        <f>IF(OR(H749="",H749=0),"",1/H749)</f>
        <v/>
      </c>
      <c r="J749" s="11">
        <f>IF(OR(G749="",H749=""),"",H749*G749-1)</f>
        <v/>
      </c>
      <c r="K749" s="10">
        <f>IF(OR(G749="",H749="",G749&lt;=1),"",IF(J749&lt;IF(D749="Builder",MinEdgeBuilder,IF(D749="Player",MinEdgePlayer,MinEdgeSingle)),0,ROUND(MIN(IF(D749="Single",KellySingle,KellyBuilder)*(StartBank+SUM(P$1:P748))*J749/(G749-1),IF(D749="Builder",CapBuilder,CapSingle)*Unit),2)))</f>
        <v/>
      </c>
      <c r="L749" s="10" t="n"/>
      <c r="N749" s="10" t="n"/>
      <c r="O749" s="10">
        <f>IF(L749="","",IF(M749="Won",L749*G749,IF(M749="Void",L749,IF(M749="Cash out",N(N749),IF(M749="Lost",0,"")))))</f>
        <v/>
      </c>
      <c r="P749" s="10">
        <f>IF(OR(L749="",M749="",M749="Pending"),"",O749-L749)</f>
        <v/>
      </c>
      <c r="Q749" s="21" t="n"/>
      <c r="R749" s="11">
        <f>IF(OR(G749="",Q749=""),"",G749/Q749-1)</f>
        <v/>
      </c>
      <c r="S749" s="10">
        <f>IF(OR(L749="",J749=""),"",L749*J749)</f>
        <v/>
      </c>
      <c r="T749" s="10">
        <f>IF(P749="","",StartBank+SUM(P$2:P749))</f>
        <v/>
      </c>
    </row>
    <row r="750">
      <c r="A750" s="22" t="n"/>
      <c r="G750" s="21" t="n"/>
      <c r="H750" s="11" t="n"/>
      <c r="I750" s="21">
        <f>IF(OR(H750="",H750=0),"",1/H750)</f>
        <v/>
      </c>
      <c r="J750" s="11">
        <f>IF(OR(G750="",H750=""),"",H750*G750-1)</f>
        <v/>
      </c>
      <c r="K750" s="10">
        <f>IF(OR(G750="",H750="",G750&lt;=1),"",IF(J750&lt;IF(D750="Builder",MinEdgeBuilder,IF(D750="Player",MinEdgePlayer,MinEdgeSingle)),0,ROUND(MIN(IF(D750="Single",KellySingle,KellyBuilder)*(StartBank+SUM(P$1:P749))*J750/(G750-1),IF(D750="Builder",CapBuilder,CapSingle)*Unit),2)))</f>
        <v/>
      </c>
      <c r="L750" s="10" t="n"/>
      <c r="N750" s="10" t="n"/>
      <c r="O750" s="10">
        <f>IF(L750="","",IF(M750="Won",L750*G750,IF(M750="Void",L750,IF(M750="Cash out",N(N750),IF(M750="Lost",0,"")))))</f>
        <v/>
      </c>
      <c r="P750" s="10">
        <f>IF(OR(L750="",M750="",M750="Pending"),"",O750-L750)</f>
        <v/>
      </c>
      <c r="Q750" s="21" t="n"/>
      <c r="R750" s="11">
        <f>IF(OR(G750="",Q750=""),"",G750/Q750-1)</f>
        <v/>
      </c>
      <c r="S750" s="10">
        <f>IF(OR(L750="",J750=""),"",L750*J750)</f>
        <v/>
      </c>
      <c r="T750" s="10">
        <f>IF(P750="","",StartBank+SUM(P$2:P750))</f>
        <v/>
      </c>
    </row>
    <row r="751">
      <c r="A751" s="22" t="n"/>
      <c r="G751" s="21" t="n"/>
      <c r="H751" s="11" t="n"/>
      <c r="I751" s="21">
        <f>IF(OR(H751="",H751=0),"",1/H751)</f>
        <v/>
      </c>
      <c r="J751" s="11">
        <f>IF(OR(G751="",H751=""),"",H751*G751-1)</f>
        <v/>
      </c>
      <c r="K751" s="10">
        <f>IF(OR(G751="",H751="",G751&lt;=1),"",IF(J751&lt;IF(D751="Builder",MinEdgeBuilder,IF(D751="Player",MinEdgePlayer,MinEdgeSingle)),0,ROUND(MIN(IF(D751="Single",KellySingle,KellyBuilder)*(StartBank+SUM(P$1:P750))*J751/(G751-1),IF(D751="Builder",CapBuilder,CapSingle)*Unit),2)))</f>
        <v/>
      </c>
      <c r="L751" s="10" t="n"/>
      <c r="N751" s="10" t="n"/>
      <c r="O751" s="10">
        <f>IF(L751="","",IF(M751="Won",L751*G751,IF(M751="Void",L751,IF(M751="Cash out",N(N751),IF(M751="Lost",0,"")))))</f>
        <v/>
      </c>
      <c r="P751" s="10">
        <f>IF(OR(L751="",M751="",M751="Pending"),"",O751-L751)</f>
        <v/>
      </c>
      <c r="Q751" s="21" t="n"/>
      <c r="R751" s="11">
        <f>IF(OR(G751="",Q751=""),"",G751/Q751-1)</f>
        <v/>
      </c>
      <c r="S751" s="10">
        <f>IF(OR(L751="",J751=""),"",L751*J751)</f>
        <v/>
      </c>
      <c r="T751" s="10">
        <f>IF(P751="","",StartBank+SUM(P$2:P751))</f>
        <v/>
      </c>
    </row>
    <row r="752">
      <c r="A752" s="22" t="n"/>
      <c r="G752" s="21" t="n"/>
      <c r="H752" s="11" t="n"/>
      <c r="I752" s="21">
        <f>IF(OR(H752="",H752=0),"",1/H752)</f>
        <v/>
      </c>
      <c r="J752" s="11">
        <f>IF(OR(G752="",H752=""),"",H752*G752-1)</f>
        <v/>
      </c>
      <c r="K752" s="10">
        <f>IF(OR(G752="",H752="",G752&lt;=1),"",IF(J752&lt;IF(D752="Builder",MinEdgeBuilder,IF(D752="Player",MinEdgePlayer,MinEdgeSingle)),0,ROUND(MIN(IF(D752="Single",KellySingle,KellyBuilder)*(StartBank+SUM(P$1:P751))*J752/(G752-1),IF(D752="Builder",CapBuilder,CapSingle)*Unit),2)))</f>
        <v/>
      </c>
      <c r="L752" s="10" t="n"/>
      <c r="N752" s="10" t="n"/>
      <c r="O752" s="10">
        <f>IF(L752="","",IF(M752="Won",L752*G752,IF(M752="Void",L752,IF(M752="Cash out",N(N752),IF(M752="Lost",0,"")))))</f>
        <v/>
      </c>
      <c r="P752" s="10">
        <f>IF(OR(L752="",M752="",M752="Pending"),"",O752-L752)</f>
        <v/>
      </c>
      <c r="Q752" s="21" t="n"/>
      <c r="R752" s="11">
        <f>IF(OR(G752="",Q752=""),"",G752/Q752-1)</f>
        <v/>
      </c>
      <c r="S752" s="10">
        <f>IF(OR(L752="",J752=""),"",L752*J752)</f>
        <v/>
      </c>
      <c r="T752" s="10">
        <f>IF(P752="","",StartBank+SUM(P$2:P752))</f>
        <v/>
      </c>
    </row>
    <row r="753">
      <c r="A753" s="22" t="n"/>
      <c r="G753" s="21" t="n"/>
      <c r="H753" s="11" t="n"/>
      <c r="I753" s="21">
        <f>IF(OR(H753="",H753=0),"",1/H753)</f>
        <v/>
      </c>
      <c r="J753" s="11">
        <f>IF(OR(G753="",H753=""),"",H753*G753-1)</f>
        <v/>
      </c>
      <c r="K753" s="10">
        <f>IF(OR(G753="",H753="",G753&lt;=1),"",IF(J753&lt;IF(D753="Builder",MinEdgeBuilder,IF(D753="Player",MinEdgePlayer,MinEdgeSingle)),0,ROUND(MIN(IF(D753="Single",KellySingle,KellyBuilder)*(StartBank+SUM(P$1:P752))*J753/(G753-1),IF(D753="Builder",CapBuilder,CapSingle)*Unit),2)))</f>
        <v/>
      </c>
      <c r="L753" s="10" t="n"/>
      <c r="N753" s="10" t="n"/>
      <c r="O753" s="10">
        <f>IF(L753="","",IF(M753="Won",L753*G753,IF(M753="Void",L753,IF(M753="Cash out",N(N753),IF(M753="Lost",0,"")))))</f>
        <v/>
      </c>
      <c r="P753" s="10">
        <f>IF(OR(L753="",M753="",M753="Pending"),"",O753-L753)</f>
        <v/>
      </c>
      <c r="Q753" s="21" t="n"/>
      <c r="R753" s="11">
        <f>IF(OR(G753="",Q753=""),"",G753/Q753-1)</f>
        <v/>
      </c>
      <c r="S753" s="10">
        <f>IF(OR(L753="",J753=""),"",L753*J753)</f>
        <v/>
      </c>
      <c r="T753" s="10">
        <f>IF(P753="","",StartBank+SUM(P$2:P753))</f>
        <v/>
      </c>
    </row>
    <row r="754">
      <c r="A754" s="22" t="n"/>
      <c r="G754" s="21" t="n"/>
      <c r="H754" s="11" t="n"/>
      <c r="I754" s="21">
        <f>IF(OR(H754="",H754=0),"",1/H754)</f>
        <v/>
      </c>
      <c r="J754" s="11">
        <f>IF(OR(G754="",H754=""),"",H754*G754-1)</f>
        <v/>
      </c>
      <c r="K754" s="10">
        <f>IF(OR(G754="",H754="",G754&lt;=1),"",IF(J754&lt;IF(D754="Builder",MinEdgeBuilder,IF(D754="Player",MinEdgePlayer,MinEdgeSingle)),0,ROUND(MIN(IF(D754="Single",KellySingle,KellyBuilder)*(StartBank+SUM(P$1:P753))*J754/(G754-1),IF(D754="Builder",CapBuilder,CapSingle)*Unit),2)))</f>
        <v/>
      </c>
      <c r="L754" s="10" t="n"/>
      <c r="N754" s="10" t="n"/>
      <c r="O754" s="10">
        <f>IF(L754="","",IF(M754="Won",L754*G754,IF(M754="Void",L754,IF(M754="Cash out",N(N754),IF(M754="Lost",0,"")))))</f>
        <v/>
      </c>
      <c r="P754" s="10">
        <f>IF(OR(L754="",M754="",M754="Pending"),"",O754-L754)</f>
        <v/>
      </c>
      <c r="Q754" s="21" t="n"/>
      <c r="R754" s="11">
        <f>IF(OR(G754="",Q754=""),"",G754/Q754-1)</f>
        <v/>
      </c>
      <c r="S754" s="10">
        <f>IF(OR(L754="",J754=""),"",L754*J754)</f>
        <v/>
      </c>
      <c r="T754" s="10">
        <f>IF(P754="","",StartBank+SUM(P$2:P754))</f>
        <v/>
      </c>
    </row>
    <row r="755">
      <c r="A755" s="22" t="n"/>
      <c r="G755" s="21" t="n"/>
      <c r="H755" s="11" t="n"/>
      <c r="I755" s="21">
        <f>IF(OR(H755="",H755=0),"",1/H755)</f>
        <v/>
      </c>
      <c r="J755" s="11">
        <f>IF(OR(G755="",H755=""),"",H755*G755-1)</f>
        <v/>
      </c>
      <c r="K755" s="10">
        <f>IF(OR(G755="",H755="",G755&lt;=1),"",IF(J755&lt;IF(D755="Builder",MinEdgeBuilder,IF(D755="Player",MinEdgePlayer,MinEdgeSingle)),0,ROUND(MIN(IF(D755="Single",KellySingle,KellyBuilder)*(StartBank+SUM(P$1:P754))*J755/(G755-1),IF(D755="Builder",CapBuilder,CapSingle)*Unit),2)))</f>
        <v/>
      </c>
      <c r="L755" s="10" t="n"/>
      <c r="N755" s="10" t="n"/>
      <c r="O755" s="10">
        <f>IF(L755="","",IF(M755="Won",L755*G755,IF(M755="Void",L755,IF(M755="Cash out",N(N755),IF(M755="Lost",0,"")))))</f>
        <v/>
      </c>
      <c r="P755" s="10">
        <f>IF(OR(L755="",M755="",M755="Pending"),"",O755-L755)</f>
        <v/>
      </c>
      <c r="Q755" s="21" t="n"/>
      <c r="R755" s="11">
        <f>IF(OR(G755="",Q755=""),"",G755/Q755-1)</f>
        <v/>
      </c>
      <c r="S755" s="10">
        <f>IF(OR(L755="",J755=""),"",L755*J755)</f>
        <v/>
      </c>
      <c r="T755" s="10">
        <f>IF(P755="","",StartBank+SUM(P$2:P755))</f>
        <v/>
      </c>
    </row>
    <row r="756">
      <c r="A756" s="22" t="n"/>
      <c r="G756" s="21" t="n"/>
      <c r="H756" s="11" t="n"/>
      <c r="I756" s="21">
        <f>IF(OR(H756="",H756=0),"",1/H756)</f>
        <v/>
      </c>
      <c r="J756" s="11">
        <f>IF(OR(G756="",H756=""),"",H756*G756-1)</f>
        <v/>
      </c>
      <c r="K756" s="10">
        <f>IF(OR(G756="",H756="",G756&lt;=1),"",IF(J756&lt;IF(D756="Builder",MinEdgeBuilder,IF(D756="Player",MinEdgePlayer,MinEdgeSingle)),0,ROUND(MIN(IF(D756="Single",KellySingle,KellyBuilder)*(StartBank+SUM(P$1:P755))*J756/(G756-1),IF(D756="Builder",CapBuilder,CapSingle)*Unit),2)))</f>
        <v/>
      </c>
      <c r="L756" s="10" t="n"/>
      <c r="N756" s="10" t="n"/>
      <c r="O756" s="10">
        <f>IF(L756="","",IF(M756="Won",L756*G756,IF(M756="Void",L756,IF(M756="Cash out",N(N756),IF(M756="Lost",0,"")))))</f>
        <v/>
      </c>
      <c r="P756" s="10">
        <f>IF(OR(L756="",M756="",M756="Pending"),"",O756-L756)</f>
        <v/>
      </c>
      <c r="Q756" s="21" t="n"/>
      <c r="R756" s="11">
        <f>IF(OR(G756="",Q756=""),"",G756/Q756-1)</f>
        <v/>
      </c>
      <c r="S756" s="10">
        <f>IF(OR(L756="",J756=""),"",L756*J756)</f>
        <v/>
      </c>
      <c r="T756" s="10">
        <f>IF(P756="","",StartBank+SUM(P$2:P756))</f>
        <v/>
      </c>
    </row>
    <row r="757">
      <c r="A757" s="22" t="n"/>
      <c r="G757" s="21" t="n"/>
      <c r="H757" s="11" t="n"/>
      <c r="I757" s="21">
        <f>IF(OR(H757="",H757=0),"",1/H757)</f>
        <v/>
      </c>
      <c r="J757" s="11">
        <f>IF(OR(G757="",H757=""),"",H757*G757-1)</f>
        <v/>
      </c>
      <c r="K757" s="10">
        <f>IF(OR(G757="",H757="",G757&lt;=1),"",IF(J757&lt;IF(D757="Builder",MinEdgeBuilder,IF(D757="Player",MinEdgePlayer,MinEdgeSingle)),0,ROUND(MIN(IF(D757="Single",KellySingle,KellyBuilder)*(StartBank+SUM(P$1:P756))*J757/(G757-1),IF(D757="Builder",CapBuilder,CapSingle)*Unit),2)))</f>
        <v/>
      </c>
      <c r="L757" s="10" t="n"/>
      <c r="N757" s="10" t="n"/>
      <c r="O757" s="10">
        <f>IF(L757="","",IF(M757="Won",L757*G757,IF(M757="Void",L757,IF(M757="Cash out",N(N757),IF(M757="Lost",0,"")))))</f>
        <v/>
      </c>
      <c r="P757" s="10">
        <f>IF(OR(L757="",M757="",M757="Pending"),"",O757-L757)</f>
        <v/>
      </c>
      <c r="Q757" s="21" t="n"/>
      <c r="R757" s="11">
        <f>IF(OR(G757="",Q757=""),"",G757/Q757-1)</f>
        <v/>
      </c>
      <c r="S757" s="10">
        <f>IF(OR(L757="",J757=""),"",L757*J757)</f>
        <v/>
      </c>
      <c r="T757" s="10">
        <f>IF(P757="","",StartBank+SUM(P$2:P757))</f>
        <v/>
      </c>
    </row>
    <row r="758">
      <c r="A758" s="22" t="n"/>
      <c r="G758" s="21" t="n"/>
      <c r="H758" s="11" t="n"/>
      <c r="I758" s="21">
        <f>IF(OR(H758="",H758=0),"",1/H758)</f>
        <v/>
      </c>
      <c r="J758" s="11">
        <f>IF(OR(G758="",H758=""),"",H758*G758-1)</f>
        <v/>
      </c>
      <c r="K758" s="10">
        <f>IF(OR(G758="",H758="",G758&lt;=1),"",IF(J758&lt;IF(D758="Builder",MinEdgeBuilder,IF(D758="Player",MinEdgePlayer,MinEdgeSingle)),0,ROUND(MIN(IF(D758="Single",KellySingle,KellyBuilder)*(StartBank+SUM(P$1:P757))*J758/(G758-1),IF(D758="Builder",CapBuilder,CapSingle)*Unit),2)))</f>
        <v/>
      </c>
      <c r="L758" s="10" t="n"/>
      <c r="N758" s="10" t="n"/>
      <c r="O758" s="10">
        <f>IF(L758="","",IF(M758="Won",L758*G758,IF(M758="Void",L758,IF(M758="Cash out",N(N758),IF(M758="Lost",0,"")))))</f>
        <v/>
      </c>
      <c r="P758" s="10">
        <f>IF(OR(L758="",M758="",M758="Pending"),"",O758-L758)</f>
        <v/>
      </c>
      <c r="Q758" s="21" t="n"/>
      <c r="R758" s="11">
        <f>IF(OR(G758="",Q758=""),"",G758/Q758-1)</f>
        <v/>
      </c>
      <c r="S758" s="10">
        <f>IF(OR(L758="",J758=""),"",L758*J758)</f>
        <v/>
      </c>
      <c r="T758" s="10">
        <f>IF(P758="","",StartBank+SUM(P$2:P758))</f>
        <v/>
      </c>
    </row>
    <row r="759">
      <c r="A759" s="22" t="n"/>
      <c r="G759" s="21" t="n"/>
      <c r="H759" s="11" t="n"/>
      <c r="I759" s="21">
        <f>IF(OR(H759="",H759=0),"",1/H759)</f>
        <v/>
      </c>
      <c r="J759" s="11">
        <f>IF(OR(G759="",H759=""),"",H759*G759-1)</f>
        <v/>
      </c>
      <c r="K759" s="10">
        <f>IF(OR(G759="",H759="",G759&lt;=1),"",IF(J759&lt;IF(D759="Builder",MinEdgeBuilder,IF(D759="Player",MinEdgePlayer,MinEdgeSingle)),0,ROUND(MIN(IF(D759="Single",KellySingle,KellyBuilder)*(StartBank+SUM(P$1:P758))*J759/(G759-1),IF(D759="Builder",CapBuilder,CapSingle)*Unit),2)))</f>
        <v/>
      </c>
      <c r="L759" s="10" t="n"/>
      <c r="N759" s="10" t="n"/>
      <c r="O759" s="10">
        <f>IF(L759="","",IF(M759="Won",L759*G759,IF(M759="Void",L759,IF(M759="Cash out",N(N759),IF(M759="Lost",0,"")))))</f>
        <v/>
      </c>
      <c r="P759" s="10">
        <f>IF(OR(L759="",M759="",M759="Pending"),"",O759-L759)</f>
        <v/>
      </c>
      <c r="Q759" s="21" t="n"/>
      <c r="R759" s="11">
        <f>IF(OR(G759="",Q759=""),"",G759/Q759-1)</f>
        <v/>
      </c>
      <c r="S759" s="10">
        <f>IF(OR(L759="",J759=""),"",L759*J759)</f>
        <v/>
      </c>
      <c r="T759" s="10">
        <f>IF(P759="","",StartBank+SUM(P$2:P759))</f>
        <v/>
      </c>
    </row>
    <row r="760">
      <c r="A760" s="22" t="n"/>
      <c r="G760" s="21" t="n"/>
      <c r="H760" s="11" t="n"/>
      <c r="I760" s="21">
        <f>IF(OR(H760="",H760=0),"",1/H760)</f>
        <v/>
      </c>
      <c r="J760" s="11">
        <f>IF(OR(G760="",H760=""),"",H760*G760-1)</f>
        <v/>
      </c>
      <c r="K760" s="10">
        <f>IF(OR(G760="",H760="",G760&lt;=1),"",IF(J760&lt;IF(D760="Builder",MinEdgeBuilder,IF(D760="Player",MinEdgePlayer,MinEdgeSingle)),0,ROUND(MIN(IF(D760="Single",KellySingle,KellyBuilder)*(StartBank+SUM(P$1:P759))*J760/(G760-1),IF(D760="Builder",CapBuilder,CapSingle)*Unit),2)))</f>
        <v/>
      </c>
      <c r="L760" s="10" t="n"/>
      <c r="N760" s="10" t="n"/>
      <c r="O760" s="10">
        <f>IF(L760="","",IF(M760="Won",L760*G760,IF(M760="Void",L760,IF(M760="Cash out",N(N760),IF(M760="Lost",0,"")))))</f>
        <v/>
      </c>
      <c r="P760" s="10">
        <f>IF(OR(L760="",M760="",M760="Pending"),"",O760-L760)</f>
        <v/>
      </c>
      <c r="Q760" s="21" t="n"/>
      <c r="R760" s="11">
        <f>IF(OR(G760="",Q760=""),"",G760/Q760-1)</f>
        <v/>
      </c>
      <c r="S760" s="10">
        <f>IF(OR(L760="",J760=""),"",L760*J760)</f>
        <v/>
      </c>
      <c r="T760" s="10">
        <f>IF(P760="","",StartBank+SUM(P$2:P760))</f>
        <v/>
      </c>
    </row>
    <row r="761">
      <c r="A761" s="22" t="n"/>
      <c r="G761" s="21" t="n"/>
      <c r="H761" s="11" t="n"/>
      <c r="I761" s="21">
        <f>IF(OR(H761="",H761=0),"",1/H761)</f>
        <v/>
      </c>
      <c r="J761" s="11">
        <f>IF(OR(G761="",H761=""),"",H761*G761-1)</f>
        <v/>
      </c>
      <c r="K761" s="10">
        <f>IF(OR(G761="",H761="",G761&lt;=1),"",IF(J761&lt;IF(D761="Builder",MinEdgeBuilder,IF(D761="Player",MinEdgePlayer,MinEdgeSingle)),0,ROUND(MIN(IF(D761="Single",KellySingle,KellyBuilder)*(StartBank+SUM(P$1:P760))*J761/(G761-1),IF(D761="Builder",CapBuilder,CapSingle)*Unit),2)))</f>
        <v/>
      </c>
      <c r="L761" s="10" t="n"/>
      <c r="N761" s="10" t="n"/>
      <c r="O761" s="10">
        <f>IF(L761="","",IF(M761="Won",L761*G761,IF(M761="Void",L761,IF(M761="Cash out",N(N761),IF(M761="Lost",0,"")))))</f>
        <v/>
      </c>
      <c r="P761" s="10">
        <f>IF(OR(L761="",M761="",M761="Pending"),"",O761-L761)</f>
        <v/>
      </c>
      <c r="Q761" s="21" t="n"/>
      <c r="R761" s="11">
        <f>IF(OR(G761="",Q761=""),"",G761/Q761-1)</f>
        <v/>
      </c>
      <c r="S761" s="10">
        <f>IF(OR(L761="",J761=""),"",L761*J761)</f>
        <v/>
      </c>
      <c r="T761" s="10">
        <f>IF(P761="","",StartBank+SUM(P$2:P761))</f>
        <v/>
      </c>
    </row>
    <row r="762">
      <c r="A762" s="22" t="n"/>
      <c r="G762" s="21" t="n"/>
      <c r="H762" s="11" t="n"/>
      <c r="I762" s="21">
        <f>IF(OR(H762="",H762=0),"",1/H762)</f>
        <v/>
      </c>
      <c r="J762" s="11">
        <f>IF(OR(G762="",H762=""),"",H762*G762-1)</f>
        <v/>
      </c>
      <c r="K762" s="10">
        <f>IF(OR(G762="",H762="",G762&lt;=1),"",IF(J762&lt;IF(D762="Builder",MinEdgeBuilder,IF(D762="Player",MinEdgePlayer,MinEdgeSingle)),0,ROUND(MIN(IF(D762="Single",KellySingle,KellyBuilder)*(StartBank+SUM(P$1:P761))*J762/(G762-1),IF(D762="Builder",CapBuilder,CapSingle)*Unit),2)))</f>
        <v/>
      </c>
      <c r="L762" s="10" t="n"/>
      <c r="N762" s="10" t="n"/>
      <c r="O762" s="10">
        <f>IF(L762="","",IF(M762="Won",L762*G762,IF(M762="Void",L762,IF(M762="Cash out",N(N762),IF(M762="Lost",0,"")))))</f>
        <v/>
      </c>
      <c r="P762" s="10">
        <f>IF(OR(L762="",M762="",M762="Pending"),"",O762-L762)</f>
        <v/>
      </c>
      <c r="Q762" s="21" t="n"/>
      <c r="R762" s="11">
        <f>IF(OR(G762="",Q762=""),"",G762/Q762-1)</f>
        <v/>
      </c>
      <c r="S762" s="10">
        <f>IF(OR(L762="",J762=""),"",L762*J762)</f>
        <v/>
      </c>
      <c r="T762" s="10">
        <f>IF(P762="","",StartBank+SUM(P$2:P762))</f>
        <v/>
      </c>
    </row>
    <row r="763">
      <c r="A763" s="22" t="n"/>
      <c r="G763" s="21" t="n"/>
      <c r="H763" s="11" t="n"/>
      <c r="I763" s="21">
        <f>IF(OR(H763="",H763=0),"",1/H763)</f>
        <v/>
      </c>
      <c r="J763" s="11">
        <f>IF(OR(G763="",H763=""),"",H763*G763-1)</f>
        <v/>
      </c>
      <c r="K763" s="10">
        <f>IF(OR(G763="",H763="",G763&lt;=1),"",IF(J763&lt;IF(D763="Builder",MinEdgeBuilder,IF(D763="Player",MinEdgePlayer,MinEdgeSingle)),0,ROUND(MIN(IF(D763="Single",KellySingle,KellyBuilder)*(StartBank+SUM(P$1:P762))*J763/(G763-1),IF(D763="Builder",CapBuilder,CapSingle)*Unit),2)))</f>
        <v/>
      </c>
      <c r="L763" s="10" t="n"/>
      <c r="N763" s="10" t="n"/>
      <c r="O763" s="10">
        <f>IF(L763="","",IF(M763="Won",L763*G763,IF(M763="Void",L763,IF(M763="Cash out",N(N763),IF(M763="Lost",0,"")))))</f>
        <v/>
      </c>
      <c r="P763" s="10">
        <f>IF(OR(L763="",M763="",M763="Pending"),"",O763-L763)</f>
        <v/>
      </c>
      <c r="Q763" s="21" t="n"/>
      <c r="R763" s="11">
        <f>IF(OR(G763="",Q763=""),"",G763/Q763-1)</f>
        <v/>
      </c>
      <c r="S763" s="10">
        <f>IF(OR(L763="",J763=""),"",L763*J763)</f>
        <v/>
      </c>
      <c r="T763" s="10">
        <f>IF(P763="","",StartBank+SUM(P$2:P763))</f>
        <v/>
      </c>
    </row>
    <row r="764">
      <c r="A764" s="22" t="n"/>
      <c r="G764" s="21" t="n"/>
      <c r="H764" s="11" t="n"/>
      <c r="I764" s="21">
        <f>IF(OR(H764="",H764=0),"",1/H764)</f>
        <v/>
      </c>
      <c r="J764" s="11">
        <f>IF(OR(G764="",H764=""),"",H764*G764-1)</f>
        <v/>
      </c>
      <c r="K764" s="10">
        <f>IF(OR(G764="",H764="",G764&lt;=1),"",IF(J764&lt;IF(D764="Builder",MinEdgeBuilder,IF(D764="Player",MinEdgePlayer,MinEdgeSingle)),0,ROUND(MIN(IF(D764="Single",KellySingle,KellyBuilder)*(StartBank+SUM(P$1:P763))*J764/(G764-1),IF(D764="Builder",CapBuilder,CapSingle)*Unit),2)))</f>
        <v/>
      </c>
      <c r="L764" s="10" t="n"/>
      <c r="N764" s="10" t="n"/>
      <c r="O764" s="10">
        <f>IF(L764="","",IF(M764="Won",L764*G764,IF(M764="Void",L764,IF(M764="Cash out",N(N764),IF(M764="Lost",0,"")))))</f>
        <v/>
      </c>
      <c r="P764" s="10">
        <f>IF(OR(L764="",M764="",M764="Pending"),"",O764-L764)</f>
        <v/>
      </c>
      <c r="Q764" s="21" t="n"/>
      <c r="R764" s="11">
        <f>IF(OR(G764="",Q764=""),"",G764/Q764-1)</f>
        <v/>
      </c>
      <c r="S764" s="10">
        <f>IF(OR(L764="",J764=""),"",L764*J764)</f>
        <v/>
      </c>
      <c r="T764" s="10">
        <f>IF(P764="","",StartBank+SUM(P$2:P764))</f>
        <v/>
      </c>
    </row>
    <row r="765">
      <c r="A765" s="22" t="n"/>
      <c r="G765" s="21" t="n"/>
      <c r="H765" s="11" t="n"/>
      <c r="I765" s="21">
        <f>IF(OR(H765="",H765=0),"",1/H765)</f>
        <v/>
      </c>
      <c r="J765" s="11">
        <f>IF(OR(G765="",H765=""),"",H765*G765-1)</f>
        <v/>
      </c>
      <c r="K765" s="10">
        <f>IF(OR(G765="",H765="",G765&lt;=1),"",IF(J765&lt;IF(D765="Builder",MinEdgeBuilder,IF(D765="Player",MinEdgePlayer,MinEdgeSingle)),0,ROUND(MIN(IF(D765="Single",KellySingle,KellyBuilder)*(StartBank+SUM(P$1:P764))*J765/(G765-1),IF(D765="Builder",CapBuilder,CapSingle)*Unit),2)))</f>
        <v/>
      </c>
      <c r="L765" s="10" t="n"/>
      <c r="N765" s="10" t="n"/>
      <c r="O765" s="10">
        <f>IF(L765="","",IF(M765="Won",L765*G765,IF(M765="Void",L765,IF(M765="Cash out",N(N765),IF(M765="Lost",0,"")))))</f>
        <v/>
      </c>
      <c r="P765" s="10">
        <f>IF(OR(L765="",M765="",M765="Pending"),"",O765-L765)</f>
        <v/>
      </c>
      <c r="Q765" s="21" t="n"/>
      <c r="R765" s="11">
        <f>IF(OR(G765="",Q765=""),"",G765/Q765-1)</f>
        <v/>
      </c>
      <c r="S765" s="10">
        <f>IF(OR(L765="",J765=""),"",L765*J765)</f>
        <v/>
      </c>
      <c r="T765" s="10">
        <f>IF(P765="","",StartBank+SUM(P$2:P765))</f>
        <v/>
      </c>
    </row>
    <row r="766">
      <c r="A766" s="22" t="n"/>
      <c r="G766" s="21" t="n"/>
      <c r="H766" s="11" t="n"/>
      <c r="I766" s="21">
        <f>IF(OR(H766="",H766=0),"",1/H766)</f>
        <v/>
      </c>
      <c r="J766" s="11">
        <f>IF(OR(G766="",H766=""),"",H766*G766-1)</f>
        <v/>
      </c>
      <c r="K766" s="10">
        <f>IF(OR(G766="",H766="",G766&lt;=1),"",IF(J766&lt;IF(D766="Builder",MinEdgeBuilder,IF(D766="Player",MinEdgePlayer,MinEdgeSingle)),0,ROUND(MIN(IF(D766="Single",KellySingle,KellyBuilder)*(StartBank+SUM(P$1:P765))*J766/(G766-1),IF(D766="Builder",CapBuilder,CapSingle)*Unit),2)))</f>
        <v/>
      </c>
      <c r="L766" s="10" t="n"/>
      <c r="N766" s="10" t="n"/>
      <c r="O766" s="10">
        <f>IF(L766="","",IF(M766="Won",L766*G766,IF(M766="Void",L766,IF(M766="Cash out",N(N766),IF(M766="Lost",0,"")))))</f>
        <v/>
      </c>
      <c r="P766" s="10">
        <f>IF(OR(L766="",M766="",M766="Pending"),"",O766-L766)</f>
        <v/>
      </c>
      <c r="Q766" s="21" t="n"/>
      <c r="R766" s="11">
        <f>IF(OR(G766="",Q766=""),"",G766/Q766-1)</f>
        <v/>
      </c>
      <c r="S766" s="10">
        <f>IF(OR(L766="",J766=""),"",L766*J766)</f>
        <v/>
      </c>
      <c r="T766" s="10">
        <f>IF(P766="","",StartBank+SUM(P$2:P766))</f>
        <v/>
      </c>
    </row>
    <row r="767">
      <c r="A767" s="22" t="n"/>
      <c r="G767" s="21" t="n"/>
      <c r="H767" s="11" t="n"/>
      <c r="I767" s="21">
        <f>IF(OR(H767="",H767=0),"",1/H767)</f>
        <v/>
      </c>
      <c r="J767" s="11">
        <f>IF(OR(G767="",H767=""),"",H767*G767-1)</f>
        <v/>
      </c>
      <c r="K767" s="10">
        <f>IF(OR(G767="",H767="",G767&lt;=1),"",IF(J767&lt;IF(D767="Builder",MinEdgeBuilder,IF(D767="Player",MinEdgePlayer,MinEdgeSingle)),0,ROUND(MIN(IF(D767="Single",KellySingle,KellyBuilder)*(StartBank+SUM(P$1:P766))*J767/(G767-1),IF(D767="Builder",CapBuilder,CapSingle)*Unit),2)))</f>
        <v/>
      </c>
      <c r="L767" s="10" t="n"/>
      <c r="N767" s="10" t="n"/>
      <c r="O767" s="10">
        <f>IF(L767="","",IF(M767="Won",L767*G767,IF(M767="Void",L767,IF(M767="Cash out",N(N767),IF(M767="Lost",0,"")))))</f>
        <v/>
      </c>
      <c r="P767" s="10">
        <f>IF(OR(L767="",M767="",M767="Pending"),"",O767-L767)</f>
        <v/>
      </c>
      <c r="Q767" s="21" t="n"/>
      <c r="R767" s="11">
        <f>IF(OR(G767="",Q767=""),"",G767/Q767-1)</f>
        <v/>
      </c>
      <c r="S767" s="10">
        <f>IF(OR(L767="",J767=""),"",L767*J767)</f>
        <v/>
      </c>
      <c r="T767" s="10">
        <f>IF(P767="","",StartBank+SUM(P$2:P767))</f>
        <v/>
      </c>
    </row>
    <row r="768">
      <c r="A768" s="22" t="n"/>
      <c r="G768" s="21" t="n"/>
      <c r="H768" s="11" t="n"/>
      <c r="I768" s="21">
        <f>IF(OR(H768="",H768=0),"",1/H768)</f>
        <v/>
      </c>
      <c r="J768" s="11">
        <f>IF(OR(G768="",H768=""),"",H768*G768-1)</f>
        <v/>
      </c>
      <c r="K768" s="10">
        <f>IF(OR(G768="",H768="",G768&lt;=1),"",IF(J768&lt;IF(D768="Builder",MinEdgeBuilder,IF(D768="Player",MinEdgePlayer,MinEdgeSingle)),0,ROUND(MIN(IF(D768="Single",KellySingle,KellyBuilder)*(StartBank+SUM(P$1:P767))*J768/(G768-1),IF(D768="Builder",CapBuilder,CapSingle)*Unit),2)))</f>
        <v/>
      </c>
      <c r="L768" s="10" t="n"/>
      <c r="N768" s="10" t="n"/>
      <c r="O768" s="10">
        <f>IF(L768="","",IF(M768="Won",L768*G768,IF(M768="Void",L768,IF(M768="Cash out",N(N768),IF(M768="Lost",0,"")))))</f>
        <v/>
      </c>
      <c r="P768" s="10">
        <f>IF(OR(L768="",M768="",M768="Pending"),"",O768-L768)</f>
        <v/>
      </c>
      <c r="Q768" s="21" t="n"/>
      <c r="R768" s="11">
        <f>IF(OR(G768="",Q768=""),"",G768/Q768-1)</f>
        <v/>
      </c>
      <c r="S768" s="10">
        <f>IF(OR(L768="",J768=""),"",L768*J768)</f>
        <v/>
      </c>
      <c r="T768" s="10">
        <f>IF(P768="","",StartBank+SUM(P$2:P768))</f>
        <v/>
      </c>
    </row>
    <row r="769">
      <c r="A769" s="22" t="n"/>
      <c r="G769" s="21" t="n"/>
      <c r="H769" s="11" t="n"/>
      <c r="I769" s="21">
        <f>IF(OR(H769="",H769=0),"",1/H769)</f>
        <v/>
      </c>
      <c r="J769" s="11">
        <f>IF(OR(G769="",H769=""),"",H769*G769-1)</f>
        <v/>
      </c>
      <c r="K769" s="10">
        <f>IF(OR(G769="",H769="",G769&lt;=1),"",IF(J769&lt;IF(D769="Builder",MinEdgeBuilder,IF(D769="Player",MinEdgePlayer,MinEdgeSingle)),0,ROUND(MIN(IF(D769="Single",KellySingle,KellyBuilder)*(StartBank+SUM(P$1:P768))*J769/(G769-1),IF(D769="Builder",CapBuilder,CapSingle)*Unit),2)))</f>
        <v/>
      </c>
      <c r="L769" s="10" t="n"/>
      <c r="N769" s="10" t="n"/>
      <c r="O769" s="10">
        <f>IF(L769="","",IF(M769="Won",L769*G769,IF(M769="Void",L769,IF(M769="Cash out",N(N769),IF(M769="Lost",0,"")))))</f>
        <v/>
      </c>
      <c r="P769" s="10">
        <f>IF(OR(L769="",M769="",M769="Pending"),"",O769-L769)</f>
        <v/>
      </c>
      <c r="Q769" s="21" t="n"/>
      <c r="R769" s="11">
        <f>IF(OR(G769="",Q769=""),"",G769/Q769-1)</f>
        <v/>
      </c>
      <c r="S769" s="10">
        <f>IF(OR(L769="",J769=""),"",L769*J769)</f>
        <v/>
      </c>
      <c r="T769" s="10">
        <f>IF(P769="","",StartBank+SUM(P$2:P769))</f>
        <v/>
      </c>
    </row>
    <row r="770">
      <c r="A770" s="22" t="n"/>
      <c r="G770" s="21" t="n"/>
      <c r="H770" s="11" t="n"/>
      <c r="I770" s="21">
        <f>IF(OR(H770="",H770=0),"",1/H770)</f>
        <v/>
      </c>
      <c r="J770" s="11">
        <f>IF(OR(G770="",H770=""),"",H770*G770-1)</f>
        <v/>
      </c>
      <c r="K770" s="10">
        <f>IF(OR(G770="",H770="",G770&lt;=1),"",IF(J770&lt;IF(D770="Builder",MinEdgeBuilder,IF(D770="Player",MinEdgePlayer,MinEdgeSingle)),0,ROUND(MIN(IF(D770="Single",KellySingle,KellyBuilder)*(StartBank+SUM(P$1:P769))*J770/(G770-1),IF(D770="Builder",CapBuilder,CapSingle)*Unit),2)))</f>
        <v/>
      </c>
      <c r="L770" s="10" t="n"/>
      <c r="N770" s="10" t="n"/>
      <c r="O770" s="10">
        <f>IF(L770="","",IF(M770="Won",L770*G770,IF(M770="Void",L770,IF(M770="Cash out",N(N770),IF(M770="Lost",0,"")))))</f>
        <v/>
      </c>
      <c r="P770" s="10">
        <f>IF(OR(L770="",M770="",M770="Pending"),"",O770-L770)</f>
        <v/>
      </c>
      <c r="Q770" s="21" t="n"/>
      <c r="R770" s="11">
        <f>IF(OR(G770="",Q770=""),"",G770/Q770-1)</f>
        <v/>
      </c>
      <c r="S770" s="10">
        <f>IF(OR(L770="",J770=""),"",L770*J770)</f>
        <v/>
      </c>
      <c r="T770" s="10">
        <f>IF(P770="","",StartBank+SUM(P$2:P770))</f>
        <v/>
      </c>
    </row>
    <row r="771">
      <c r="A771" s="22" t="n"/>
      <c r="G771" s="21" t="n"/>
      <c r="H771" s="11" t="n"/>
      <c r="I771" s="21">
        <f>IF(OR(H771="",H771=0),"",1/H771)</f>
        <v/>
      </c>
      <c r="J771" s="11">
        <f>IF(OR(G771="",H771=""),"",H771*G771-1)</f>
        <v/>
      </c>
      <c r="K771" s="10">
        <f>IF(OR(G771="",H771="",G771&lt;=1),"",IF(J771&lt;IF(D771="Builder",MinEdgeBuilder,IF(D771="Player",MinEdgePlayer,MinEdgeSingle)),0,ROUND(MIN(IF(D771="Single",KellySingle,KellyBuilder)*(StartBank+SUM(P$1:P770))*J771/(G771-1),IF(D771="Builder",CapBuilder,CapSingle)*Unit),2)))</f>
        <v/>
      </c>
      <c r="L771" s="10" t="n"/>
      <c r="N771" s="10" t="n"/>
      <c r="O771" s="10">
        <f>IF(L771="","",IF(M771="Won",L771*G771,IF(M771="Void",L771,IF(M771="Cash out",N(N771),IF(M771="Lost",0,"")))))</f>
        <v/>
      </c>
      <c r="P771" s="10">
        <f>IF(OR(L771="",M771="",M771="Pending"),"",O771-L771)</f>
        <v/>
      </c>
      <c r="Q771" s="21" t="n"/>
      <c r="R771" s="11">
        <f>IF(OR(G771="",Q771=""),"",G771/Q771-1)</f>
        <v/>
      </c>
      <c r="S771" s="10">
        <f>IF(OR(L771="",J771=""),"",L771*J771)</f>
        <v/>
      </c>
      <c r="T771" s="10">
        <f>IF(P771="","",StartBank+SUM(P$2:P771))</f>
        <v/>
      </c>
    </row>
    <row r="772">
      <c r="A772" s="22" t="n"/>
      <c r="G772" s="21" t="n"/>
      <c r="H772" s="11" t="n"/>
      <c r="I772" s="21">
        <f>IF(OR(H772="",H772=0),"",1/H772)</f>
        <v/>
      </c>
      <c r="J772" s="11">
        <f>IF(OR(G772="",H772=""),"",H772*G772-1)</f>
        <v/>
      </c>
      <c r="K772" s="10">
        <f>IF(OR(G772="",H772="",G772&lt;=1),"",IF(J772&lt;IF(D772="Builder",MinEdgeBuilder,IF(D772="Player",MinEdgePlayer,MinEdgeSingle)),0,ROUND(MIN(IF(D772="Single",KellySingle,KellyBuilder)*(StartBank+SUM(P$1:P771))*J772/(G772-1),IF(D772="Builder",CapBuilder,CapSingle)*Unit),2)))</f>
        <v/>
      </c>
      <c r="L772" s="10" t="n"/>
      <c r="N772" s="10" t="n"/>
      <c r="O772" s="10">
        <f>IF(L772="","",IF(M772="Won",L772*G772,IF(M772="Void",L772,IF(M772="Cash out",N(N772),IF(M772="Lost",0,"")))))</f>
        <v/>
      </c>
      <c r="P772" s="10">
        <f>IF(OR(L772="",M772="",M772="Pending"),"",O772-L772)</f>
        <v/>
      </c>
      <c r="Q772" s="21" t="n"/>
      <c r="R772" s="11">
        <f>IF(OR(G772="",Q772=""),"",G772/Q772-1)</f>
        <v/>
      </c>
      <c r="S772" s="10">
        <f>IF(OR(L772="",J772=""),"",L772*J772)</f>
        <v/>
      </c>
      <c r="T772" s="10">
        <f>IF(P772="","",StartBank+SUM(P$2:P772))</f>
        <v/>
      </c>
    </row>
    <row r="773">
      <c r="A773" s="22" t="n"/>
      <c r="G773" s="21" t="n"/>
      <c r="H773" s="11" t="n"/>
      <c r="I773" s="21">
        <f>IF(OR(H773="",H773=0),"",1/H773)</f>
        <v/>
      </c>
      <c r="J773" s="11">
        <f>IF(OR(G773="",H773=""),"",H773*G773-1)</f>
        <v/>
      </c>
      <c r="K773" s="10">
        <f>IF(OR(G773="",H773="",G773&lt;=1),"",IF(J773&lt;IF(D773="Builder",MinEdgeBuilder,IF(D773="Player",MinEdgePlayer,MinEdgeSingle)),0,ROUND(MIN(IF(D773="Single",KellySingle,KellyBuilder)*(StartBank+SUM(P$1:P772))*J773/(G773-1),IF(D773="Builder",CapBuilder,CapSingle)*Unit),2)))</f>
        <v/>
      </c>
      <c r="L773" s="10" t="n"/>
      <c r="N773" s="10" t="n"/>
      <c r="O773" s="10">
        <f>IF(L773="","",IF(M773="Won",L773*G773,IF(M773="Void",L773,IF(M773="Cash out",N(N773),IF(M773="Lost",0,"")))))</f>
        <v/>
      </c>
      <c r="P773" s="10">
        <f>IF(OR(L773="",M773="",M773="Pending"),"",O773-L773)</f>
        <v/>
      </c>
      <c r="Q773" s="21" t="n"/>
      <c r="R773" s="11">
        <f>IF(OR(G773="",Q773=""),"",G773/Q773-1)</f>
        <v/>
      </c>
      <c r="S773" s="10">
        <f>IF(OR(L773="",J773=""),"",L773*J773)</f>
        <v/>
      </c>
      <c r="T773" s="10">
        <f>IF(P773="","",StartBank+SUM(P$2:P773))</f>
        <v/>
      </c>
    </row>
    <row r="774">
      <c r="A774" s="22" t="n"/>
      <c r="G774" s="21" t="n"/>
      <c r="H774" s="11" t="n"/>
      <c r="I774" s="21">
        <f>IF(OR(H774="",H774=0),"",1/H774)</f>
        <v/>
      </c>
      <c r="J774" s="11">
        <f>IF(OR(G774="",H774=""),"",H774*G774-1)</f>
        <v/>
      </c>
      <c r="K774" s="10">
        <f>IF(OR(G774="",H774="",G774&lt;=1),"",IF(J774&lt;IF(D774="Builder",MinEdgeBuilder,IF(D774="Player",MinEdgePlayer,MinEdgeSingle)),0,ROUND(MIN(IF(D774="Single",KellySingle,KellyBuilder)*(StartBank+SUM(P$1:P773))*J774/(G774-1),IF(D774="Builder",CapBuilder,CapSingle)*Unit),2)))</f>
        <v/>
      </c>
      <c r="L774" s="10" t="n"/>
      <c r="N774" s="10" t="n"/>
      <c r="O774" s="10">
        <f>IF(L774="","",IF(M774="Won",L774*G774,IF(M774="Void",L774,IF(M774="Cash out",N(N774),IF(M774="Lost",0,"")))))</f>
        <v/>
      </c>
      <c r="P774" s="10">
        <f>IF(OR(L774="",M774="",M774="Pending"),"",O774-L774)</f>
        <v/>
      </c>
      <c r="Q774" s="21" t="n"/>
      <c r="R774" s="11">
        <f>IF(OR(G774="",Q774=""),"",G774/Q774-1)</f>
        <v/>
      </c>
      <c r="S774" s="10">
        <f>IF(OR(L774="",J774=""),"",L774*J774)</f>
        <v/>
      </c>
      <c r="T774" s="10">
        <f>IF(P774="","",StartBank+SUM(P$2:P774))</f>
        <v/>
      </c>
    </row>
    <row r="775">
      <c r="A775" s="22" t="n"/>
      <c r="G775" s="21" t="n"/>
      <c r="H775" s="11" t="n"/>
      <c r="I775" s="21">
        <f>IF(OR(H775="",H775=0),"",1/H775)</f>
        <v/>
      </c>
      <c r="J775" s="11">
        <f>IF(OR(G775="",H775=""),"",H775*G775-1)</f>
        <v/>
      </c>
      <c r="K775" s="10">
        <f>IF(OR(G775="",H775="",G775&lt;=1),"",IF(J775&lt;IF(D775="Builder",MinEdgeBuilder,IF(D775="Player",MinEdgePlayer,MinEdgeSingle)),0,ROUND(MIN(IF(D775="Single",KellySingle,KellyBuilder)*(StartBank+SUM(P$1:P774))*J775/(G775-1),IF(D775="Builder",CapBuilder,CapSingle)*Unit),2)))</f>
        <v/>
      </c>
      <c r="L775" s="10" t="n"/>
      <c r="N775" s="10" t="n"/>
      <c r="O775" s="10">
        <f>IF(L775="","",IF(M775="Won",L775*G775,IF(M775="Void",L775,IF(M775="Cash out",N(N775),IF(M775="Lost",0,"")))))</f>
        <v/>
      </c>
      <c r="P775" s="10">
        <f>IF(OR(L775="",M775="",M775="Pending"),"",O775-L775)</f>
        <v/>
      </c>
      <c r="Q775" s="21" t="n"/>
      <c r="R775" s="11">
        <f>IF(OR(G775="",Q775=""),"",G775/Q775-1)</f>
        <v/>
      </c>
      <c r="S775" s="10">
        <f>IF(OR(L775="",J775=""),"",L775*J775)</f>
        <v/>
      </c>
      <c r="T775" s="10">
        <f>IF(P775="","",StartBank+SUM(P$2:P775))</f>
        <v/>
      </c>
    </row>
    <row r="776">
      <c r="A776" s="22" t="n"/>
      <c r="G776" s="21" t="n"/>
      <c r="H776" s="11" t="n"/>
      <c r="I776" s="21">
        <f>IF(OR(H776="",H776=0),"",1/H776)</f>
        <v/>
      </c>
      <c r="J776" s="11">
        <f>IF(OR(G776="",H776=""),"",H776*G776-1)</f>
        <v/>
      </c>
      <c r="K776" s="10">
        <f>IF(OR(G776="",H776="",G776&lt;=1),"",IF(J776&lt;IF(D776="Builder",MinEdgeBuilder,IF(D776="Player",MinEdgePlayer,MinEdgeSingle)),0,ROUND(MIN(IF(D776="Single",KellySingle,KellyBuilder)*(StartBank+SUM(P$1:P775))*J776/(G776-1),IF(D776="Builder",CapBuilder,CapSingle)*Unit),2)))</f>
        <v/>
      </c>
      <c r="L776" s="10" t="n"/>
      <c r="N776" s="10" t="n"/>
      <c r="O776" s="10">
        <f>IF(L776="","",IF(M776="Won",L776*G776,IF(M776="Void",L776,IF(M776="Cash out",N(N776),IF(M776="Lost",0,"")))))</f>
        <v/>
      </c>
      <c r="P776" s="10">
        <f>IF(OR(L776="",M776="",M776="Pending"),"",O776-L776)</f>
        <v/>
      </c>
      <c r="Q776" s="21" t="n"/>
      <c r="R776" s="11">
        <f>IF(OR(G776="",Q776=""),"",G776/Q776-1)</f>
        <v/>
      </c>
      <c r="S776" s="10">
        <f>IF(OR(L776="",J776=""),"",L776*J776)</f>
        <v/>
      </c>
      <c r="T776" s="10">
        <f>IF(P776="","",StartBank+SUM(P$2:P776))</f>
        <v/>
      </c>
    </row>
    <row r="777">
      <c r="A777" s="22" t="n"/>
      <c r="G777" s="21" t="n"/>
      <c r="H777" s="11" t="n"/>
      <c r="I777" s="21">
        <f>IF(OR(H777="",H777=0),"",1/H777)</f>
        <v/>
      </c>
      <c r="J777" s="11">
        <f>IF(OR(G777="",H777=""),"",H777*G777-1)</f>
        <v/>
      </c>
      <c r="K777" s="10">
        <f>IF(OR(G777="",H777="",G777&lt;=1),"",IF(J777&lt;IF(D777="Builder",MinEdgeBuilder,IF(D777="Player",MinEdgePlayer,MinEdgeSingle)),0,ROUND(MIN(IF(D777="Single",KellySingle,KellyBuilder)*(StartBank+SUM(P$1:P776))*J777/(G777-1),IF(D777="Builder",CapBuilder,CapSingle)*Unit),2)))</f>
        <v/>
      </c>
      <c r="L777" s="10" t="n"/>
      <c r="N777" s="10" t="n"/>
      <c r="O777" s="10">
        <f>IF(L777="","",IF(M777="Won",L777*G777,IF(M777="Void",L777,IF(M777="Cash out",N(N777),IF(M777="Lost",0,"")))))</f>
        <v/>
      </c>
      <c r="P777" s="10">
        <f>IF(OR(L777="",M777="",M777="Pending"),"",O777-L777)</f>
        <v/>
      </c>
      <c r="Q777" s="21" t="n"/>
      <c r="R777" s="11">
        <f>IF(OR(G777="",Q777=""),"",G777/Q777-1)</f>
        <v/>
      </c>
      <c r="S777" s="10">
        <f>IF(OR(L777="",J777=""),"",L777*J777)</f>
        <v/>
      </c>
      <c r="T777" s="10">
        <f>IF(P777="","",StartBank+SUM(P$2:P777))</f>
        <v/>
      </c>
    </row>
    <row r="778">
      <c r="A778" s="22" t="n"/>
      <c r="G778" s="21" t="n"/>
      <c r="H778" s="11" t="n"/>
      <c r="I778" s="21">
        <f>IF(OR(H778="",H778=0),"",1/H778)</f>
        <v/>
      </c>
      <c r="J778" s="11">
        <f>IF(OR(G778="",H778=""),"",H778*G778-1)</f>
        <v/>
      </c>
      <c r="K778" s="10">
        <f>IF(OR(G778="",H778="",G778&lt;=1),"",IF(J778&lt;IF(D778="Builder",MinEdgeBuilder,IF(D778="Player",MinEdgePlayer,MinEdgeSingle)),0,ROUND(MIN(IF(D778="Single",KellySingle,KellyBuilder)*(StartBank+SUM(P$1:P777))*J778/(G778-1),IF(D778="Builder",CapBuilder,CapSingle)*Unit),2)))</f>
        <v/>
      </c>
      <c r="L778" s="10" t="n"/>
      <c r="N778" s="10" t="n"/>
      <c r="O778" s="10">
        <f>IF(L778="","",IF(M778="Won",L778*G778,IF(M778="Void",L778,IF(M778="Cash out",N(N778),IF(M778="Lost",0,"")))))</f>
        <v/>
      </c>
      <c r="P778" s="10">
        <f>IF(OR(L778="",M778="",M778="Pending"),"",O778-L778)</f>
        <v/>
      </c>
      <c r="Q778" s="21" t="n"/>
      <c r="R778" s="11">
        <f>IF(OR(G778="",Q778=""),"",G778/Q778-1)</f>
        <v/>
      </c>
      <c r="S778" s="10">
        <f>IF(OR(L778="",J778=""),"",L778*J778)</f>
        <v/>
      </c>
      <c r="T778" s="10">
        <f>IF(P778="","",StartBank+SUM(P$2:P778))</f>
        <v/>
      </c>
    </row>
    <row r="779">
      <c r="A779" s="22" t="n"/>
      <c r="G779" s="21" t="n"/>
      <c r="H779" s="11" t="n"/>
      <c r="I779" s="21">
        <f>IF(OR(H779="",H779=0),"",1/H779)</f>
        <v/>
      </c>
      <c r="J779" s="11">
        <f>IF(OR(G779="",H779=""),"",H779*G779-1)</f>
        <v/>
      </c>
      <c r="K779" s="10">
        <f>IF(OR(G779="",H779="",G779&lt;=1),"",IF(J779&lt;IF(D779="Builder",MinEdgeBuilder,IF(D779="Player",MinEdgePlayer,MinEdgeSingle)),0,ROUND(MIN(IF(D779="Single",KellySingle,KellyBuilder)*(StartBank+SUM(P$1:P778))*J779/(G779-1),IF(D779="Builder",CapBuilder,CapSingle)*Unit),2)))</f>
        <v/>
      </c>
      <c r="L779" s="10" t="n"/>
      <c r="N779" s="10" t="n"/>
      <c r="O779" s="10">
        <f>IF(L779="","",IF(M779="Won",L779*G779,IF(M779="Void",L779,IF(M779="Cash out",N(N779),IF(M779="Lost",0,"")))))</f>
        <v/>
      </c>
      <c r="P779" s="10">
        <f>IF(OR(L779="",M779="",M779="Pending"),"",O779-L779)</f>
        <v/>
      </c>
      <c r="Q779" s="21" t="n"/>
      <c r="R779" s="11">
        <f>IF(OR(G779="",Q779=""),"",G779/Q779-1)</f>
        <v/>
      </c>
      <c r="S779" s="10">
        <f>IF(OR(L779="",J779=""),"",L779*J779)</f>
        <v/>
      </c>
      <c r="T779" s="10">
        <f>IF(P779="","",StartBank+SUM(P$2:P779))</f>
        <v/>
      </c>
    </row>
    <row r="780">
      <c r="A780" s="22" t="n"/>
      <c r="G780" s="21" t="n"/>
      <c r="H780" s="11" t="n"/>
      <c r="I780" s="21">
        <f>IF(OR(H780="",H780=0),"",1/H780)</f>
        <v/>
      </c>
      <c r="J780" s="11">
        <f>IF(OR(G780="",H780=""),"",H780*G780-1)</f>
        <v/>
      </c>
      <c r="K780" s="10">
        <f>IF(OR(G780="",H780="",G780&lt;=1),"",IF(J780&lt;IF(D780="Builder",MinEdgeBuilder,IF(D780="Player",MinEdgePlayer,MinEdgeSingle)),0,ROUND(MIN(IF(D780="Single",KellySingle,KellyBuilder)*(StartBank+SUM(P$1:P779))*J780/(G780-1),IF(D780="Builder",CapBuilder,CapSingle)*Unit),2)))</f>
        <v/>
      </c>
      <c r="L780" s="10" t="n"/>
      <c r="N780" s="10" t="n"/>
      <c r="O780" s="10">
        <f>IF(L780="","",IF(M780="Won",L780*G780,IF(M780="Void",L780,IF(M780="Cash out",N(N780),IF(M780="Lost",0,"")))))</f>
        <v/>
      </c>
      <c r="P780" s="10">
        <f>IF(OR(L780="",M780="",M780="Pending"),"",O780-L780)</f>
        <v/>
      </c>
      <c r="Q780" s="21" t="n"/>
      <c r="R780" s="11">
        <f>IF(OR(G780="",Q780=""),"",G780/Q780-1)</f>
        <v/>
      </c>
      <c r="S780" s="10">
        <f>IF(OR(L780="",J780=""),"",L780*J780)</f>
        <v/>
      </c>
      <c r="T780" s="10">
        <f>IF(P780="","",StartBank+SUM(P$2:P780))</f>
        <v/>
      </c>
    </row>
    <row r="781">
      <c r="A781" s="22" t="n"/>
      <c r="G781" s="21" t="n"/>
      <c r="H781" s="11" t="n"/>
      <c r="I781" s="21">
        <f>IF(OR(H781="",H781=0),"",1/H781)</f>
        <v/>
      </c>
      <c r="J781" s="11">
        <f>IF(OR(G781="",H781=""),"",H781*G781-1)</f>
        <v/>
      </c>
      <c r="K781" s="10">
        <f>IF(OR(G781="",H781="",G781&lt;=1),"",IF(J781&lt;IF(D781="Builder",MinEdgeBuilder,IF(D781="Player",MinEdgePlayer,MinEdgeSingle)),0,ROUND(MIN(IF(D781="Single",KellySingle,KellyBuilder)*(StartBank+SUM(P$1:P780))*J781/(G781-1),IF(D781="Builder",CapBuilder,CapSingle)*Unit),2)))</f>
        <v/>
      </c>
      <c r="L781" s="10" t="n"/>
      <c r="N781" s="10" t="n"/>
      <c r="O781" s="10">
        <f>IF(L781="","",IF(M781="Won",L781*G781,IF(M781="Void",L781,IF(M781="Cash out",N(N781),IF(M781="Lost",0,"")))))</f>
        <v/>
      </c>
      <c r="P781" s="10">
        <f>IF(OR(L781="",M781="",M781="Pending"),"",O781-L781)</f>
        <v/>
      </c>
      <c r="Q781" s="21" t="n"/>
      <c r="R781" s="11">
        <f>IF(OR(G781="",Q781=""),"",G781/Q781-1)</f>
        <v/>
      </c>
      <c r="S781" s="10">
        <f>IF(OR(L781="",J781=""),"",L781*J781)</f>
        <v/>
      </c>
      <c r="T781" s="10">
        <f>IF(P781="","",StartBank+SUM(P$2:P781))</f>
        <v/>
      </c>
    </row>
    <row r="782">
      <c r="A782" s="22" t="n"/>
      <c r="G782" s="21" t="n"/>
      <c r="H782" s="11" t="n"/>
      <c r="I782" s="21">
        <f>IF(OR(H782="",H782=0),"",1/H782)</f>
        <v/>
      </c>
      <c r="J782" s="11">
        <f>IF(OR(G782="",H782=""),"",H782*G782-1)</f>
        <v/>
      </c>
      <c r="K782" s="10">
        <f>IF(OR(G782="",H782="",G782&lt;=1),"",IF(J782&lt;IF(D782="Builder",MinEdgeBuilder,IF(D782="Player",MinEdgePlayer,MinEdgeSingle)),0,ROUND(MIN(IF(D782="Single",KellySingle,KellyBuilder)*(StartBank+SUM(P$1:P781))*J782/(G782-1),IF(D782="Builder",CapBuilder,CapSingle)*Unit),2)))</f>
        <v/>
      </c>
      <c r="L782" s="10" t="n"/>
      <c r="N782" s="10" t="n"/>
      <c r="O782" s="10">
        <f>IF(L782="","",IF(M782="Won",L782*G782,IF(M782="Void",L782,IF(M782="Cash out",N(N782),IF(M782="Lost",0,"")))))</f>
        <v/>
      </c>
      <c r="P782" s="10">
        <f>IF(OR(L782="",M782="",M782="Pending"),"",O782-L782)</f>
        <v/>
      </c>
      <c r="Q782" s="21" t="n"/>
      <c r="R782" s="11">
        <f>IF(OR(G782="",Q782=""),"",G782/Q782-1)</f>
        <v/>
      </c>
      <c r="S782" s="10">
        <f>IF(OR(L782="",J782=""),"",L782*J782)</f>
        <v/>
      </c>
      <c r="T782" s="10">
        <f>IF(P782="","",StartBank+SUM(P$2:P782))</f>
        <v/>
      </c>
    </row>
    <row r="783">
      <c r="A783" s="22" t="n"/>
      <c r="G783" s="21" t="n"/>
      <c r="H783" s="11" t="n"/>
      <c r="I783" s="21">
        <f>IF(OR(H783="",H783=0),"",1/H783)</f>
        <v/>
      </c>
      <c r="J783" s="11">
        <f>IF(OR(G783="",H783=""),"",H783*G783-1)</f>
        <v/>
      </c>
      <c r="K783" s="10">
        <f>IF(OR(G783="",H783="",G783&lt;=1),"",IF(J783&lt;IF(D783="Builder",MinEdgeBuilder,IF(D783="Player",MinEdgePlayer,MinEdgeSingle)),0,ROUND(MIN(IF(D783="Single",KellySingle,KellyBuilder)*(StartBank+SUM(P$1:P782))*J783/(G783-1),IF(D783="Builder",CapBuilder,CapSingle)*Unit),2)))</f>
        <v/>
      </c>
      <c r="L783" s="10" t="n"/>
      <c r="N783" s="10" t="n"/>
      <c r="O783" s="10">
        <f>IF(L783="","",IF(M783="Won",L783*G783,IF(M783="Void",L783,IF(M783="Cash out",N(N783),IF(M783="Lost",0,"")))))</f>
        <v/>
      </c>
      <c r="P783" s="10">
        <f>IF(OR(L783="",M783="",M783="Pending"),"",O783-L783)</f>
        <v/>
      </c>
      <c r="Q783" s="21" t="n"/>
      <c r="R783" s="11">
        <f>IF(OR(G783="",Q783=""),"",G783/Q783-1)</f>
        <v/>
      </c>
      <c r="S783" s="10">
        <f>IF(OR(L783="",J783=""),"",L783*J783)</f>
        <v/>
      </c>
      <c r="T783" s="10">
        <f>IF(P783="","",StartBank+SUM(P$2:P783))</f>
        <v/>
      </c>
    </row>
    <row r="784">
      <c r="A784" s="22" t="n"/>
      <c r="G784" s="21" t="n"/>
      <c r="H784" s="11" t="n"/>
      <c r="I784" s="21">
        <f>IF(OR(H784="",H784=0),"",1/H784)</f>
        <v/>
      </c>
      <c r="J784" s="11">
        <f>IF(OR(G784="",H784=""),"",H784*G784-1)</f>
        <v/>
      </c>
      <c r="K784" s="10">
        <f>IF(OR(G784="",H784="",G784&lt;=1),"",IF(J784&lt;IF(D784="Builder",MinEdgeBuilder,IF(D784="Player",MinEdgePlayer,MinEdgeSingle)),0,ROUND(MIN(IF(D784="Single",KellySingle,KellyBuilder)*(StartBank+SUM(P$1:P783))*J784/(G784-1),IF(D784="Builder",CapBuilder,CapSingle)*Unit),2)))</f>
        <v/>
      </c>
      <c r="L784" s="10" t="n"/>
      <c r="N784" s="10" t="n"/>
      <c r="O784" s="10">
        <f>IF(L784="","",IF(M784="Won",L784*G784,IF(M784="Void",L784,IF(M784="Cash out",N(N784),IF(M784="Lost",0,"")))))</f>
        <v/>
      </c>
      <c r="P784" s="10">
        <f>IF(OR(L784="",M784="",M784="Pending"),"",O784-L784)</f>
        <v/>
      </c>
      <c r="Q784" s="21" t="n"/>
      <c r="R784" s="11">
        <f>IF(OR(G784="",Q784=""),"",G784/Q784-1)</f>
        <v/>
      </c>
      <c r="S784" s="10">
        <f>IF(OR(L784="",J784=""),"",L784*J784)</f>
        <v/>
      </c>
      <c r="T784" s="10">
        <f>IF(P784="","",StartBank+SUM(P$2:P784))</f>
        <v/>
      </c>
    </row>
    <row r="785">
      <c r="A785" s="22" t="n"/>
      <c r="G785" s="21" t="n"/>
      <c r="H785" s="11" t="n"/>
      <c r="I785" s="21">
        <f>IF(OR(H785="",H785=0),"",1/H785)</f>
        <v/>
      </c>
      <c r="J785" s="11">
        <f>IF(OR(G785="",H785=""),"",H785*G785-1)</f>
        <v/>
      </c>
      <c r="K785" s="10">
        <f>IF(OR(G785="",H785="",G785&lt;=1),"",IF(J785&lt;IF(D785="Builder",MinEdgeBuilder,IF(D785="Player",MinEdgePlayer,MinEdgeSingle)),0,ROUND(MIN(IF(D785="Single",KellySingle,KellyBuilder)*(StartBank+SUM(P$1:P784))*J785/(G785-1),IF(D785="Builder",CapBuilder,CapSingle)*Unit),2)))</f>
        <v/>
      </c>
      <c r="L785" s="10" t="n"/>
      <c r="N785" s="10" t="n"/>
      <c r="O785" s="10">
        <f>IF(L785="","",IF(M785="Won",L785*G785,IF(M785="Void",L785,IF(M785="Cash out",N(N785),IF(M785="Lost",0,"")))))</f>
        <v/>
      </c>
      <c r="P785" s="10">
        <f>IF(OR(L785="",M785="",M785="Pending"),"",O785-L785)</f>
        <v/>
      </c>
      <c r="Q785" s="21" t="n"/>
      <c r="R785" s="11">
        <f>IF(OR(G785="",Q785=""),"",G785/Q785-1)</f>
        <v/>
      </c>
      <c r="S785" s="10">
        <f>IF(OR(L785="",J785=""),"",L785*J785)</f>
        <v/>
      </c>
      <c r="T785" s="10">
        <f>IF(P785="","",StartBank+SUM(P$2:P785))</f>
        <v/>
      </c>
    </row>
    <row r="786">
      <c r="A786" s="22" t="n"/>
      <c r="G786" s="21" t="n"/>
      <c r="H786" s="11" t="n"/>
      <c r="I786" s="21">
        <f>IF(OR(H786="",H786=0),"",1/H786)</f>
        <v/>
      </c>
      <c r="J786" s="11">
        <f>IF(OR(G786="",H786=""),"",H786*G786-1)</f>
        <v/>
      </c>
      <c r="K786" s="10">
        <f>IF(OR(G786="",H786="",G786&lt;=1),"",IF(J786&lt;IF(D786="Builder",MinEdgeBuilder,IF(D786="Player",MinEdgePlayer,MinEdgeSingle)),0,ROUND(MIN(IF(D786="Single",KellySingle,KellyBuilder)*(StartBank+SUM(P$1:P785))*J786/(G786-1),IF(D786="Builder",CapBuilder,CapSingle)*Unit),2)))</f>
        <v/>
      </c>
      <c r="L786" s="10" t="n"/>
      <c r="N786" s="10" t="n"/>
      <c r="O786" s="10">
        <f>IF(L786="","",IF(M786="Won",L786*G786,IF(M786="Void",L786,IF(M786="Cash out",N(N786),IF(M786="Lost",0,"")))))</f>
        <v/>
      </c>
      <c r="P786" s="10">
        <f>IF(OR(L786="",M786="",M786="Pending"),"",O786-L786)</f>
        <v/>
      </c>
      <c r="Q786" s="21" t="n"/>
      <c r="R786" s="11">
        <f>IF(OR(G786="",Q786=""),"",G786/Q786-1)</f>
        <v/>
      </c>
      <c r="S786" s="10">
        <f>IF(OR(L786="",J786=""),"",L786*J786)</f>
        <v/>
      </c>
      <c r="T786" s="10">
        <f>IF(P786="","",StartBank+SUM(P$2:P786))</f>
        <v/>
      </c>
    </row>
    <row r="787">
      <c r="A787" s="22" t="n"/>
      <c r="G787" s="21" t="n"/>
      <c r="H787" s="11" t="n"/>
      <c r="I787" s="21">
        <f>IF(OR(H787="",H787=0),"",1/H787)</f>
        <v/>
      </c>
      <c r="J787" s="11">
        <f>IF(OR(G787="",H787=""),"",H787*G787-1)</f>
        <v/>
      </c>
      <c r="K787" s="10">
        <f>IF(OR(G787="",H787="",G787&lt;=1),"",IF(J787&lt;IF(D787="Builder",MinEdgeBuilder,IF(D787="Player",MinEdgePlayer,MinEdgeSingle)),0,ROUND(MIN(IF(D787="Single",KellySingle,KellyBuilder)*(StartBank+SUM(P$1:P786))*J787/(G787-1),IF(D787="Builder",CapBuilder,CapSingle)*Unit),2)))</f>
        <v/>
      </c>
      <c r="L787" s="10" t="n"/>
      <c r="N787" s="10" t="n"/>
      <c r="O787" s="10">
        <f>IF(L787="","",IF(M787="Won",L787*G787,IF(M787="Void",L787,IF(M787="Cash out",N(N787),IF(M787="Lost",0,"")))))</f>
        <v/>
      </c>
      <c r="P787" s="10">
        <f>IF(OR(L787="",M787="",M787="Pending"),"",O787-L787)</f>
        <v/>
      </c>
      <c r="Q787" s="21" t="n"/>
      <c r="R787" s="11">
        <f>IF(OR(G787="",Q787=""),"",G787/Q787-1)</f>
        <v/>
      </c>
      <c r="S787" s="10">
        <f>IF(OR(L787="",J787=""),"",L787*J787)</f>
        <v/>
      </c>
      <c r="T787" s="10">
        <f>IF(P787="","",StartBank+SUM(P$2:P787))</f>
        <v/>
      </c>
    </row>
    <row r="788">
      <c r="A788" s="22" t="n"/>
      <c r="G788" s="21" t="n"/>
      <c r="H788" s="11" t="n"/>
      <c r="I788" s="21">
        <f>IF(OR(H788="",H788=0),"",1/H788)</f>
        <v/>
      </c>
      <c r="J788" s="11">
        <f>IF(OR(G788="",H788=""),"",H788*G788-1)</f>
        <v/>
      </c>
      <c r="K788" s="10">
        <f>IF(OR(G788="",H788="",G788&lt;=1),"",IF(J788&lt;IF(D788="Builder",MinEdgeBuilder,IF(D788="Player",MinEdgePlayer,MinEdgeSingle)),0,ROUND(MIN(IF(D788="Single",KellySingle,KellyBuilder)*(StartBank+SUM(P$1:P787))*J788/(G788-1),IF(D788="Builder",CapBuilder,CapSingle)*Unit),2)))</f>
        <v/>
      </c>
      <c r="L788" s="10" t="n"/>
      <c r="N788" s="10" t="n"/>
      <c r="O788" s="10">
        <f>IF(L788="","",IF(M788="Won",L788*G788,IF(M788="Void",L788,IF(M788="Cash out",N(N788),IF(M788="Lost",0,"")))))</f>
        <v/>
      </c>
      <c r="P788" s="10">
        <f>IF(OR(L788="",M788="",M788="Pending"),"",O788-L788)</f>
        <v/>
      </c>
      <c r="Q788" s="21" t="n"/>
      <c r="R788" s="11">
        <f>IF(OR(G788="",Q788=""),"",G788/Q788-1)</f>
        <v/>
      </c>
      <c r="S788" s="10">
        <f>IF(OR(L788="",J788=""),"",L788*J788)</f>
        <v/>
      </c>
      <c r="T788" s="10">
        <f>IF(P788="","",StartBank+SUM(P$2:P788))</f>
        <v/>
      </c>
    </row>
    <row r="789">
      <c r="A789" s="22" t="n"/>
      <c r="G789" s="21" t="n"/>
      <c r="H789" s="11" t="n"/>
      <c r="I789" s="21">
        <f>IF(OR(H789="",H789=0),"",1/H789)</f>
        <v/>
      </c>
      <c r="J789" s="11">
        <f>IF(OR(G789="",H789=""),"",H789*G789-1)</f>
        <v/>
      </c>
      <c r="K789" s="10">
        <f>IF(OR(G789="",H789="",G789&lt;=1),"",IF(J789&lt;IF(D789="Builder",MinEdgeBuilder,IF(D789="Player",MinEdgePlayer,MinEdgeSingle)),0,ROUND(MIN(IF(D789="Single",KellySingle,KellyBuilder)*(StartBank+SUM(P$1:P788))*J789/(G789-1),IF(D789="Builder",CapBuilder,CapSingle)*Unit),2)))</f>
        <v/>
      </c>
      <c r="L789" s="10" t="n"/>
      <c r="N789" s="10" t="n"/>
      <c r="O789" s="10">
        <f>IF(L789="","",IF(M789="Won",L789*G789,IF(M789="Void",L789,IF(M789="Cash out",N(N789),IF(M789="Lost",0,"")))))</f>
        <v/>
      </c>
      <c r="P789" s="10">
        <f>IF(OR(L789="",M789="",M789="Pending"),"",O789-L789)</f>
        <v/>
      </c>
      <c r="Q789" s="21" t="n"/>
      <c r="R789" s="11">
        <f>IF(OR(G789="",Q789=""),"",G789/Q789-1)</f>
        <v/>
      </c>
      <c r="S789" s="10">
        <f>IF(OR(L789="",J789=""),"",L789*J789)</f>
        <v/>
      </c>
      <c r="T789" s="10">
        <f>IF(P789="","",StartBank+SUM(P$2:P789))</f>
        <v/>
      </c>
    </row>
    <row r="790">
      <c r="A790" s="22" t="n"/>
      <c r="G790" s="21" t="n"/>
      <c r="H790" s="11" t="n"/>
      <c r="I790" s="21">
        <f>IF(OR(H790="",H790=0),"",1/H790)</f>
        <v/>
      </c>
      <c r="J790" s="11">
        <f>IF(OR(G790="",H790=""),"",H790*G790-1)</f>
        <v/>
      </c>
      <c r="K790" s="10">
        <f>IF(OR(G790="",H790="",G790&lt;=1),"",IF(J790&lt;IF(D790="Builder",MinEdgeBuilder,IF(D790="Player",MinEdgePlayer,MinEdgeSingle)),0,ROUND(MIN(IF(D790="Single",KellySingle,KellyBuilder)*(StartBank+SUM(P$1:P789))*J790/(G790-1),IF(D790="Builder",CapBuilder,CapSingle)*Unit),2)))</f>
        <v/>
      </c>
      <c r="L790" s="10" t="n"/>
      <c r="N790" s="10" t="n"/>
      <c r="O790" s="10">
        <f>IF(L790="","",IF(M790="Won",L790*G790,IF(M790="Void",L790,IF(M790="Cash out",N(N790),IF(M790="Lost",0,"")))))</f>
        <v/>
      </c>
      <c r="P790" s="10">
        <f>IF(OR(L790="",M790="",M790="Pending"),"",O790-L790)</f>
        <v/>
      </c>
      <c r="Q790" s="21" t="n"/>
      <c r="R790" s="11">
        <f>IF(OR(G790="",Q790=""),"",G790/Q790-1)</f>
        <v/>
      </c>
      <c r="S790" s="10">
        <f>IF(OR(L790="",J790=""),"",L790*J790)</f>
        <v/>
      </c>
      <c r="T790" s="10">
        <f>IF(P790="","",StartBank+SUM(P$2:P790))</f>
        <v/>
      </c>
    </row>
    <row r="791">
      <c r="A791" s="22" t="n"/>
      <c r="G791" s="21" t="n"/>
      <c r="H791" s="11" t="n"/>
      <c r="I791" s="21">
        <f>IF(OR(H791="",H791=0),"",1/H791)</f>
        <v/>
      </c>
      <c r="J791" s="11">
        <f>IF(OR(G791="",H791=""),"",H791*G791-1)</f>
        <v/>
      </c>
      <c r="K791" s="10">
        <f>IF(OR(G791="",H791="",G791&lt;=1),"",IF(J791&lt;IF(D791="Builder",MinEdgeBuilder,IF(D791="Player",MinEdgePlayer,MinEdgeSingle)),0,ROUND(MIN(IF(D791="Single",KellySingle,KellyBuilder)*(StartBank+SUM(P$1:P790))*J791/(G791-1),IF(D791="Builder",CapBuilder,CapSingle)*Unit),2)))</f>
        <v/>
      </c>
      <c r="L791" s="10" t="n"/>
      <c r="N791" s="10" t="n"/>
      <c r="O791" s="10">
        <f>IF(L791="","",IF(M791="Won",L791*G791,IF(M791="Void",L791,IF(M791="Cash out",N(N791),IF(M791="Lost",0,"")))))</f>
        <v/>
      </c>
      <c r="P791" s="10">
        <f>IF(OR(L791="",M791="",M791="Pending"),"",O791-L791)</f>
        <v/>
      </c>
      <c r="Q791" s="21" t="n"/>
      <c r="R791" s="11">
        <f>IF(OR(G791="",Q791=""),"",G791/Q791-1)</f>
        <v/>
      </c>
      <c r="S791" s="10">
        <f>IF(OR(L791="",J791=""),"",L791*J791)</f>
        <v/>
      </c>
      <c r="T791" s="10">
        <f>IF(P791="","",StartBank+SUM(P$2:P791))</f>
        <v/>
      </c>
    </row>
    <row r="792">
      <c r="A792" s="22" t="n"/>
      <c r="G792" s="21" t="n"/>
      <c r="H792" s="11" t="n"/>
      <c r="I792" s="21">
        <f>IF(OR(H792="",H792=0),"",1/H792)</f>
        <v/>
      </c>
      <c r="J792" s="11">
        <f>IF(OR(G792="",H792=""),"",H792*G792-1)</f>
        <v/>
      </c>
      <c r="K792" s="10">
        <f>IF(OR(G792="",H792="",G792&lt;=1),"",IF(J792&lt;IF(D792="Builder",MinEdgeBuilder,IF(D792="Player",MinEdgePlayer,MinEdgeSingle)),0,ROUND(MIN(IF(D792="Single",KellySingle,KellyBuilder)*(StartBank+SUM(P$1:P791))*J792/(G792-1),IF(D792="Builder",CapBuilder,CapSingle)*Unit),2)))</f>
        <v/>
      </c>
      <c r="L792" s="10" t="n"/>
      <c r="N792" s="10" t="n"/>
      <c r="O792" s="10">
        <f>IF(L792="","",IF(M792="Won",L792*G792,IF(M792="Void",L792,IF(M792="Cash out",N(N792),IF(M792="Lost",0,"")))))</f>
        <v/>
      </c>
      <c r="P792" s="10">
        <f>IF(OR(L792="",M792="",M792="Pending"),"",O792-L792)</f>
        <v/>
      </c>
      <c r="Q792" s="21" t="n"/>
      <c r="R792" s="11">
        <f>IF(OR(G792="",Q792=""),"",G792/Q792-1)</f>
        <v/>
      </c>
      <c r="S792" s="10">
        <f>IF(OR(L792="",J792=""),"",L792*J792)</f>
        <v/>
      </c>
      <c r="T792" s="10">
        <f>IF(P792="","",StartBank+SUM(P$2:P792))</f>
        <v/>
      </c>
    </row>
    <row r="793">
      <c r="A793" s="22" t="n"/>
      <c r="G793" s="21" t="n"/>
      <c r="H793" s="11" t="n"/>
      <c r="I793" s="21">
        <f>IF(OR(H793="",H793=0),"",1/H793)</f>
        <v/>
      </c>
      <c r="J793" s="11">
        <f>IF(OR(G793="",H793=""),"",H793*G793-1)</f>
        <v/>
      </c>
      <c r="K793" s="10">
        <f>IF(OR(G793="",H793="",G793&lt;=1),"",IF(J793&lt;IF(D793="Builder",MinEdgeBuilder,IF(D793="Player",MinEdgePlayer,MinEdgeSingle)),0,ROUND(MIN(IF(D793="Single",KellySingle,KellyBuilder)*(StartBank+SUM(P$1:P792))*J793/(G793-1),IF(D793="Builder",CapBuilder,CapSingle)*Unit),2)))</f>
        <v/>
      </c>
      <c r="L793" s="10" t="n"/>
      <c r="N793" s="10" t="n"/>
      <c r="O793" s="10">
        <f>IF(L793="","",IF(M793="Won",L793*G793,IF(M793="Void",L793,IF(M793="Cash out",N(N793),IF(M793="Lost",0,"")))))</f>
        <v/>
      </c>
      <c r="P793" s="10">
        <f>IF(OR(L793="",M793="",M793="Pending"),"",O793-L793)</f>
        <v/>
      </c>
      <c r="Q793" s="21" t="n"/>
      <c r="R793" s="11">
        <f>IF(OR(G793="",Q793=""),"",G793/Q793-1)</f>
        <v/>
      </c>
      <c r="S793" s="10">
        <f>IF(OR(L793="",J793=""),"",L793*J793)</f>
        <v/>
      </c>
      <c r="T793" s="10">
        <f>IF(P793="","",StartBank+SUM(P$2:P793))</f>
        <v/>
      </c>
    </row>
    <row r="794">
      <c r="A794" s="22" t="n"/>
      <c r="G794" s="21" t="n"/>
      <c r="H794" s="11" t="n"/>
      <c r="I794" s="21">
        <f>IF(OR(H794="",H794=0),"",1/H794)</f>
        <v/>
      </c>
      <c r="J794" s="11">
        <f>IF(OR(G794="",H794=""),"",H794*G794-1)</f>
        <v/>
      </c>
      <c r="K794" s="10">
        <f>IF(OR(G794="",H794="",G794&lt;=1),"",IF(J794&lt;IF(D794="Builder",MinEdgeBuilder,IF(D794="Player",MinEdgePlayer,MinEdgeSingle)),0,ROUND(MIN(IF(D794="Single",KellySingle,KellyBuilder)*(StartBank+SUM(P$1:P793))*J794/(G794-1),IF(D794="Builder",CapBuilder,CapSingle)*Unit),2)))</f>
        <v/>
      </c>
      <c r="L794" s="10" t="n"/>
      <c r="N794" s="10" t="n"/>
      <c r="O794" s="10">
        <f>IF(L794="","",IF(M794="Won",L794*G794,IF(M794="Void",L794,IF(M794="Cash out",N(N794),IF(M794="Lost",0,"")))))</f>
        <v/>
      </c>
      <c r="P794" s="10">
        <f>IF(OR(L794="",M794="",M794="Pending"),"",O794-L794)</f>
        <v/>
      </c>
      <c r="Q794" s="21" t="n"/>
      <c r="R794" s="11">
        <f>IF(OR(G794="",Q794=""),"",G794/Q794-1)</f>
        <v/>
      </c>
      <c r="S794" s="10">
        <f>IF(OR(L794="",J794=""),"",L794*J794)</f>
        <v/>
      </c>
      <c r="T794" s="10">
        <f>IF(P794="","",StartBank+SUM(P$2:P794))</f>
        <v/>
      </c>
    </row>
    <row r="795">
      <c r="A795" s="22" t="n"/>
      <c r="G795" s="21" t="n"/>
      <c r="H795" s="11" t="n"/>
      <c r="I795" s="21">
        <f>IF(OR(H795="",H795=0),"",1/H795)</f>
        <v/>
      </c>
      <c r="J795" s="11">
        <f>IF(OR(G795="",H795=""),"",H795*G795-1)</f>
        <v/>
      </c>
      <c r="K795" s="10">
        <f>IF(OR(G795="",H795="",G795&lt;=1),"",IF(J795&lt;IF(D795="Builder",MinEdgeBuilder,IF(D795="Player",MinEdgePlayer,MinEdgeSingle)),0,ROUND(MIN(IF(D795="Single",KellySingle,KellyBuilder)*(StartBank+SUM(P$1:P794))*J795/(G795-1),IF(D795="Builder",CapBuilder,CapSingle)*Unit),2)))</f>
        <v/>
      </c>
      <c r="L795" s="10" t="n"/>
      <c r="N795" s="10" t="n"/>
      <c r="O795" s="10">
        <f>IF(L795="","",IF(M795="Won",L795*G795,IF(M795="Void",L795,IF(M795="Cash out",N(N795),IF(M795="Lost",0,"")))))</f>
        <v/>
      </c>
      <c r="P795" s="10">
        <f>IF(OR(L795="",M795="",M795="Pending"),"",O795-L795)</f>
        <v/>
      </c>
      <c r="Q795" s="21" t="n"/>
      <c r="R795" s="11">
        <f>IF(OR(G795="",Q795=""),"",G795/Q795-1)</f>
        <v/>
      </c>
      <c r="S795" s="10">
        <f>IF(OR(L795="",J795=""),"",L795*J795)</f>
        <v/>
      </c>
      <c r="T795" s="10">
        <f>IF(P795="","",StartBank+SUM(P$2:P795))</f>
        <v/>
      </c>
    </row>
    <row r="796">
      <c r="A796" s="22" t="n"/>
      <c r="G796" s="21" t="n"/>
      <c r="H796" s="11" t="n"/>
      <c r="I796" s="21">
        <f>IF(OR(H796="",H796=0),"",1/H796)</f>
        <v/>
      </c>
      <c r="J796" s="11">
        <f>IF(OR(G796="",H796=""),"",H796*G796-1)</f>
        <v/>
      </c>
      <c r="K796" s="10">
        <f>IF(OR(G796="",H796="",G796&lt;=1),"",IF(J796&lt;IF(D796="Builder",MinEdgeBuilder,IF(D796="Player",MinEdgePlayer,MinEdgeSingle)),0,ROUND(MIN(IF(D796="Single",KellySingle,KellyBuilder)*(StartBank+SUM(P$1:P795))*J796/(G796-1),IF(D796="Builder",CapBuilder,CapSingle)*Unit),2)))</f>
        <v/>
      </c>
      <c r="L796" s="10" t="n"/>
      <c r="N796" s="10" t="n"/>
      <c r="O796" s="10">
        <f>IF(L796="","",IF(M796="Won",L796*G796,IF(M796="Void",L796,IF(M796="Cash out",N(N796),IF(M796="Lost",0,"")))))</f>
        <v/>
      </c>
      <c r="P796" s="10">
        <f>IF(OR(L796="",M796="",M796="Pending"),"",O796-L796)</f>
        <v/>
      </c>
      <c r="Q796" s="21" t="n"/>
      <c r="R796" s="11">
        <f>IF(OR(G796="",Q796=""),"",G796/Q796-1)</f>
        <v/>
      </c>
      <c r="S796" s="10">
        <f>IF(OR(L796="",J796=""),"",L796*J796)</f>
        <v/>
      </c>
      <c r="T796" s="10">
        <f>IF(P796="","",StartBank+SUM(P$2:P796))</f>
        <v/>
      </c>
    </row>
    <row r="797">
      <c r="A797" s="22" t="n"/>
      <c r="G797" s="21" t="n"/>
      <c r="H797" s="11" t="n"/>
      <c r="I797" s="21">
        <f>IF(OR(H797="",H797=0),"",1/H797)</f>
        <v/>
      </c>
      <c r="J797" s="11">
        <f>IF(OR(G797="",H797=""),"",H797*G797-1)</f>
        <v/>
      </c>
      <c r="K797" s="10">
        <f>IF(OR(G797="",H797="",G797&lt;=1),"",IF(J797&lt;IF(D797="Builder",MinEdgeBuilder,IF(D797="Player",MinEdgePlayer,MinEdgeSingle)),0,ROUND(MIN(IF(D797="Single",KellySingle,KellyBuilder)*(StartBank+SUM(P$1:P796))*J797/(G797-1),IF(D797="Builder",CapBuilder,CapSingle)*Unit),2)))</f>
        <v/>
      </c>
      <c r="L797" s="10" t="n"/>
      <c r="N797" s="10" t="n"/>
      <c r="O797" s="10">
        <f>IF(L797="","",IF(M797="Won",L797*G797,IF(M797="Void",L797,IF(M797="Cash out",N(N797),IF(M797="Lost",0,"")))))</f>
        <v/>
      </c>
      <c r="P797" s="10">
        <f>IF(OR(L797="",M797="",M797="Pending"),"",O797-L797)</f>
        <v/>
      </c>
      <c r="Q797" s="21" t="n"/>
      <c r="R797" s="11">
        <f>IF(OR(G797="",Q797=""),"",G797/Q797-1)</f>
        <v/>
      </c>
      <c r="S797" s="10">
        <f>IF(OR(L797="",J797=""),"",L797*J797)</f>
        <v/>
      </c>
      <c r="T797" s="10">
        <f>IF(P797="","",StartBank+SUM(P$2:P797))</f>
        <v/>
      </c>
    </row>
    <row r="798">
      <c r="A798" s="22" t="n"/>
      <c r="G798" s="21" t="n"/>
      <c r="H798" s="11" t="n"/>
      <c r="I798" s="21">
        <f>IF(OR(H798="",H798=0),"",1/H798)</f>
        <v/>
      </c>
      <c r="J798" s="11">
        <f>IF(OR(G798="",H798=""),"",H798*G798-1)</f>
        <v/>
      </c>
      <c r="K798" s="10">
        <f>IF(OR(G798="",H798="",G798&lt;=1),"",IF(J798&lt;IF(D798="Builder",MinEdgeBuilder,IF(D798="Player",MinEdgePlayer,MinEdgeSingle)),0,ROUND(MIN(IF(D798="Single",KellySingle,KellyBuilder)*(StartBank+SUM(P$1:P797))*J798/(G798-1),IF(D798="Builder",CapBuilder,CapSingle)*Unit),2)))</f>
        <v/>
      </c>
      <c r="L798" s="10" t="n"/>
      <c r="N798" s="10" t="n"/>
      <c r="O798" s="10">
        <f>IF(L798="","",IF(M798="Won",L798*G798,IF(M798="Void",L798,IF(M798="Cash out",N(N798),IF(M798="Lost",0,"")))))</f>
        <v/>
      </c>
      <c r="P798" s="10">
        <f>IF(OR(L798="",M798="",M798="Pending"),"",O798-L798)</f>
        <v/>
      </c>
      <c r="Q798" s="21" t="n"/>
      <c r="R798" s="11">
        <f>IF(OR(G798="",Q798=""),"",G798/Q798-1)</f>
        <v/>
      </c>
      <c r="S798" s="10">
        <f>IF(OR(L798="",J798=""),"",L798*J798)</f>
        <v/>
      </c>
      <c r="T798" s="10">
        <f>IF(P798="","",StartBank+SUM(P$2:P798))</f>
        <v/>
      </c>
    </row>
    <row r="799">
      <c r="A799" s="22" t="n"/>
      <c r="G799" s="21" t="n"/>
      <c r="H799" s="11" t="n"/>
      <c r="I799" s="21">
        <f>IF(OR(H799="",H799=0),"",1/H799)</f>
        <v/>
      </c>
      <c r="J799" s="11">
        <f>IF(OR(G799="",H799=""),"",H799*G799-1)</f>
        <v/>
      </c>
      <c r="K799" s="10">
        <f>IF(OR(G799="",H799="",G799&lt;=1),"",IF(J799&lt;IF(D799="Builder",MinEdgeBuilder,IF(D799="Player",MinEdgePlayer,MinEdgeSingle)),0,ROUND(MIN(IF(D799="Single",KellySingle,KellyBuilder)*(StartBank+SUM(P$1:P798))*J799/(G799-1),IF(D799="Builder",CapBuilder,CapSingle)*Unit),2)))</f>
        <v/>
      </c>
      <c r="L799" s="10" t="n"/>
      <c r="N799" s="10" t="n"/>
      <c r="O799" s="10">
        <f>IF(L799="","",IF(M799="Won",L799*G799,IF(M799="Void",L799,IF(M799="Cash out",N(N799),IF(M799="Lost",0,"")))))</f>
        <v/>
      </c>
      <c r="P799" s="10">
        <f>IF(OR(L799="",M799="",M799="Pending"),"",O799-L799)</f>
        <v/>
      </c>
      <c r="Q799" s="21" t="n"/>
      <c r="R799" s="11">
        <f>IF(OR(G799="",Q799=""),"",G799/Q799-1)</f>
        <v/>
      </c>
      <c r="S799" s="10">
        <f>IF(OR(L799="",J799=""),"",L799*J799)</f>
        <v/>
      </c>
      <c r="T799" s="10">
        <f>IF(P799="","",StartBank+SUM(P$2:P799))</f>
        <v/>
      </c>
    </row>
    <row r="800">
      <c r="A800" s="22" t="n"/>
      <c r="G800" s="21" t="n"/>
      <c r="H800" s="11" t="n"/>
      <c r="I800" s="21">
        <f>IF(OR(H800="",H800=0),"",1/H800)</f>
        <v/>
      </c>
      <c r="J800" s="11">
        <f>IF(OR(G800="",H800=""),"",H800*G800-1)</f>
        <v/>
      </c>
      <c r="K800" s="10">
        <f>IF(OR(G800="",H800="",G800&lt;=1),"",IF(J800&lt;IF(D800="Builder",MinEdgeBuilder,IF(D800="Player",MinEdgePlayer,MinEdgeSingle)),0,ROUND(MIN(IF(D800="Single",KellySingle,KellyBuilder)*(StartBank+SUM(P$1:P799))*J800/(G800-1),IF(D800="Builder",CapBuilder,CapSingle)*Unit),2)))</f>
        <v/>
      </c>
      <c r="L800" s="10" t="n"/>
      <c r="N800" s="10" t="n"/>
      <c r="O800" s="10">
        <f>IF(L800="","",IF(M800="Won",L800*G800,IF(M800="Void",L800,IF(M800="Cash out",N(N800),IF(M800="Lost",0,"")))))</f>
        <v/>
      </c>
      <c r="P800" s="10">
        <f>IF(OR(L800="",M800="",M800="Pending"),"",O800-L800)</f>
        <v/>
      </c>
      <c r="Q800" s="21" t="n"/>
      <c r="R800" s="11">
        <f>IF(OR(G800="",Q800=""),"",G800/Q800-1)</f>
        <v/>
      </c>
      <c r="S800" s="10">
        <f>IF(OR(L800="",J800=""),"",L800*J800)</f>
        <v/>
      </c>
      <c r="T800" s="10">
        <f>IF(P800="","",StartBank+SUM(P$2:P800))</f>
        <v/>
      </c>
    </row>
    <row r="801">
      <c r="A801" s="22" t="n"/>
      <c r="G801" s="21" t="n"/>
      <c r="H801" s="11" t="n"/>
      <c r="I801" s="21">
        <f>IF(OR(H801="",H801=0),"",1/H801)</f>
        <v/>
      </c>
      <c r="J801" s="11">
        <f>IF(OR(G801="",H801=""),"",H801*G801-1)</f>
        <v/>
      </c>
      <c r="K801" s="10">
        <f>IF(OR(G801="",H801="",G801&lt;=1),"",IF(J801&lt;IF(D801="Builder",MinEdgeBuilder,IF(D801="Player",MinEdgePlayer,MinEdgeSingle)),0,ROUND(MIN(IF(D801="Single",KellySingle,KellyBuilder)*(StartBank+SUM(P$1:P800))*J801/(G801-1),IF(D801="Builder",CapBuilder,CapSingle)*Unit),2)))</f>
        <v/>
      </c>
      <c r="L801" s="10" t="n"/>
      <c r="N801" s="10" t="n"/>
      <c r="O801" s="10">
        <f>IF(L801="","",IF(M801="Won",L801*G801,IF(M801="Void",L801,IF(M801="Cash out",N(N801),IF(M801="Lost",0,"")))))</f>
        <v/>
      </c>
      <c r="P801" s="10">
        <f>IF(OR(L801="",M801="",M801="Pending"),"",O801-L801)</f>
        <v/>
      </c>
      <c r="Q801" s="21" t="n"/>
      <c r="R801" s="11">
        <f>IF(OR(G801="",Q801=""),"",G801/Q801-1)</f>
        <v/>
      </c>
      <c r="S801" s="10">
        <f>IF(OR(L801="",J801=""),"",L801*J801)</f>
        <v/>
      </c>
      <c r="T801" s="10">
        <f>IF(P801="","",StartBank+SUM(P$2:P801))</f>
        <v/>
      </c>
    </row>
    <row r="802">
      <c r="A802" s="22" t="n"/>
      <c r="G802" s="21" t="n"/>
      <c r="H802" s="11" t="n"/>
      <c r="I802" s="21">
        <f>IF(OR(H802="",H802=0),"",1/H802)</f>
        <v/>
      </c>
      <c r="J802" s="11">
        <f>IF(OR(G802="",H802=""),"",H802*G802-1)</f>
        <v/>
      </c>
      <c r="K802" s="10">
        <f>IF(OR(G802="",H802="",G802&lt;=1),"",IF(J802&lt;IF(D802="Builder",MinEdgeBuilder,IF(D802="Player",MinEdgePlayer,MinEdgeSingle)),0,ROUND(MIN(IF(D802="Single",KellySingle,KellyBuilder)*(StartBank+SUM(P$1:P801))*J802/(G802-1),IF(D802="Builder",CapBuilder,CapSingle)*Unit),2)))</f>
        <v/>
      </c>
      <c r="L802" s="10" t="n"/>
      <c r="N802" s="10" t="n"/>
      <c r="O802" s="10">
        <f>IF(L802="","",IF(M802="Won",L802*G802,IF(M802="Void",L802,IF(M802="Cash out",N(N802),IF(M802="Lost",0,"")))))</f>
        <v/>
      </c>
      <c r="P802" s="10">
        <f>IF(OR(L802="",M802="",M802="Pending"),"",O802-L802)</f>
        <v/>
      </c>
      <c r="Q802" s="21" t="n"/>
      <c r="R802" s="11">
        <f>IF(OR(G802="",Q802=""),"",G802/Q802-1)</f>
        <v/>
      </c>
      <c r="S802" s="10">
        <f>IF(OR(L802="",J802=""),"",L802*J802)</f>
        <v/>
      </c>
      <c r="T802" s="10">
        <f>IF(P802="","",StartBank+SUM(P$2:P802))</f>
        <v/>
      </c>
    </row>
    <row r="803">
      <c r="A803" s="22" t="n"/>
      <c r="G803" s="21" t="n"/>
      <c r="H803" s="11" t="n"/>
      <c r="I803" s="21">
        <f>IF(OR(H803="",H803=0),"",1/H803)</f>
        <v/>
      </c>
      <c r="J803" s="11">
        <f>IF(OR(G803="",H803=""),"",H803*G803-1)</f>
        <v/>
      </c>
      <c r="K803" s="10">
        <f>IF(OR(G803="",H803="",G803&lt;=1),"",IF(J803&lt;IF(D803="Builder",MinEdgeBuilder,IF(D803="Player",MinEdgePlayer,MinEdgeSingle)),0,ROUND(MIN(IF(D803="Single",KellySingle,KellyBuilder)*(StartBank+SUM(P$1:P802))*J803/(G803-1),IF(D803="Builder",CapBuilder,CapSingle)*Unit),2)))</f>
        <v/>
      </c>
      <c r="L803" s="10" t="n"/>
      <c r="N803" s="10" t="n"/>
      <c r="O803" s="10">
        <f>IF(L803="","",IF(M803="Won",L803*G803,IF(M803="Void",L803,IF(M803="Cash out",N(N803),IF(M803="Lost",0,"")))))</f>
        <v/>
      </c>
      <c r="P803" s="10">
        <f>IF(OR(L803="",M803="",M803="Pending"),"",O803-L803)</f>
        <v/>
      </c>
      <c r="Q803" s="21" t="n"/>
      <c r="R803" s="11">
        <f>IF(OR(G803="",Q803=""),"",G803/Q803-1)</f>
        <v/>
      </c>
      <c r="S803" s="10">
        <f>IF(OR(L803="",J803=""),"",L803*J803)</f>
        <v/>
      </c>
      <c r="T803" s="10">
        <f>IF(P803="","",StartBank+SUM(P$2:P803))</f>
        <v/>
      </c>
    </row>
    <row r="804">
      <c r="A804" s="22" t="n"/>
      <c r="G804" s="21" t="n"/>
      <c r="H804" s="11" t="n"/>
      <c r="I804" s="21">
        <f>IF(OR(H804="",H804=0),"",1/H804)</f>
        <v/>
      </c>
      <c r="J804" s="11">
        <f>IF(OR(G804="",H804=""),"",H804*G804-1)</f>
        <v/>
      </c>
      <c r="K804" s="10">
        <f>IF(OR(G804="",H804="",G804&lt;=1),"",IF(J804&lt;IF(D804="Builder",MinEdgeBuilder,IF(D804="Player",MinEdgePlayer,MinEdgeSingle)),0,ROUND(MIN(IF(D804="Single",KellySingle,KellyBuilder)*(StartBank+SUM(P$1:P803))*J804/(G804-1),IF(D804="Builder",CapBuilder,CapSingle)*Unit),2)))</f>
        <v/>
      </c>
      <c r="L804" s="10" t="n"/>
      <c r="N804" s="10" t="n"/>
      <c r="O804" s="10">
        <f>IF(L804="","",IF(M804="Won",L804*G804,IF(M804="Void",L804,IF(M804="Cash out",N(N804),IF(M804="Lost",0,"")))))</f>
        <v/>
      </c>
      <c r="P804" s="10">
        <f>IF(OR(L804="",M804="",M804="Pending"),"",O804-L804)</f>
        <v/>
      </c>
      <c r="Q804" s="21" t="n"/>
      <c r="R804" s="11">
        <f>IF(OR(G804="",Q804=""),"",G804/Q804-1)</f>
        <v/>
      </c>
      <c r="S804" s="10">
        <f>IF(OR(L804="",J804=""),"",L804*J804)</f>
        <v/>
      </c>
      <c r="T804" s="10">
        <f>IF(P804="","",StartBank+SUM(P$2:P804))</f>
        <v/>
      </c>
    </row>
    <row r="805">
      <c r="A805" s="22" t="n"/>
      <c r="G805" s="21" t="n"/>
      <c r="H805" s="11" t="n"/>
      <c r="I805" s="21">
        <f>IF(OR(H805="",H805=0),"",1/H805)</f>
        <v/>
      </c>
      <c r="J805" s="11">
        <f>IF(OR(G805="",H805=""),"",H805*G805-1)</f>
        <v/>
      </c>
      <c r="K805" s="10">
        <f>IF(OR(G805="",H805="",G805&lt;=1),"",IF(J805&lt;IF(D805="Builder",MinEdgeBuilder,IF(D805="Player",MinEdgePlayer,MinEdgeSingle)),0,ROUND(MIN(IF(D805="Single",KellySingle,KellyBuilder)*(StartBank+SUM(P$1:P804))*J805/(G805-1),IF(D805="Builder",CapBuilder,CapSingle)*Unit),2)))</f>
        <v/>
      </c>
      <c r="L805" s="10" t="n"/>
      <c r="N805" s="10" t="n"/>
      <c r="O805" s="10">
        <f>IF(L805="","",IF(M805="Won",L805*G805,IF(M805="Void",L805,IF(M805="Cash out",N(N805),IF(M805="Lost",0,"")))))</f>
        <v/>
      </c>
      <c r="P805" s="10">
        <f>IF(OR(L805="",M805="",M805="Pending"),"",O805-L805)</f>
        <v/>
      </c>
      <c r="Q805" s="21" t="n"/>
      <c r="R805" s="11">
        <f>IF(OR(G805="",Q805=""),"",G805/Q805-1)</f>
        <v/>
      </c>
      <c r="S805" s="10">
        <f>IF(OR(L805="",J805=""),"",L805*J805)</f>
        <v/>
      </c>
      <c r="T805" s="10">
        <f>IF(P805="","",StartBank+SUM(P$2:P805))</f>
        <v/>
      </c>
    </row>
    <row r="806">
      <c r="A806" s="22" t="n"/>
      <c r="G806" s="21" t="n"/>
      <c r="H806" s="11" t="n"/>
      <c r="I806" s="21">
        <f>IF(OR(H806="",H806=0),"",1/H806)</f>
        <v/>
      </c>
      <c r="J806" s="11">
        <f>IF(OR(G806="",H806=""),"",H806*G806-1)</f>
        <v/>
      </c>
      <c r="K806" s="10">
        <f>IF(OR(G806="",H806="",G806&lt;=1),"",IF(J806&lt;IF(D806="Builder",MinEdgeBuilder,IF(D806="Player",MinEdgePlayer,MinEdgeSingle)),0,ROUND(MIN(IF(D806="Single",KellySingle,KellyBuilder)*(StartBank+SUM(P$1:P805))*J806/(G806-1),IF(D806="Builder",CapBuilder,CapSingle)*Unit),2)))</f>
        <v/>
      </c>
      <c r="L806" s="10" t="n"/>
      <c r="N806" s="10" t="n"/>
      <c r="O806" s="10">
        <f>IF(L806="","",IF(M806="Won",L806*G806,IF(M806="Void",L806,IF(M806="Cash out",N(N806),IF(M806="Lost",0,"")))))</f>
        <v/>
      </c>
      <c r="P806" s="10">
        <f>IF(OR(L806="",M806="",M806="Pending"),"",O806-L806)</f>
        <v/>
      </c>
      <c r="Q806" s="21" t="n"/>
      <c r="R806" s="11">
        <f>IF(OR(G806="",Q806=""),"",G806/Q806-1)</f>
        <v/>
      </c>
      <c r="S806" s="10">
        <f>IF(OR(L806="",J806=""),"",L806*J806)</f>
        <v/>
      </c>
      <c r="T806" s="10">
        <f>IF(P806="","",StartBank+SUM(P$2:P806))</f>
        <v/>
      </c>
    </row>
    <row r="807">
      <c r="A807" s="22" t="n"/>
      <c r="G807" s="21" t="n"/>
      <c r="H807" s="11" t="n"/>
      <c r="I807" s="21">
        <f>IF(OR(H807="",H807=0),"",1/H807)</f>
        <v/>
      </c>
      <c r="J807" s="11">
        <f>IF(OR(G807="",H807=""),"",H807*G807-1)</f>
        <v/>
      </c>
      <c r="K807" s="10">
        <f>IF(OR(G807="",H807="",G807&lt;=1),"",IF(J807&lt;IF(D807="Builder",MinEdgeBuilder,IF(D807="Player",MinEdgePlayer,MinEdgeSingle)),0,ROUND(MIN(IF(D807="Single",KellySingle,KellyBuilder)*(StartBank+SUM(P$1:P806))*J807/(G807-1),IF(D807="Builder",CapBuilder,CapSingle)*Unit),2)))</f>
        <v/>
      </c>
      <c r="L807" s="10" t="n"/>
      <c r="N807" s="10" t="n"/>
      <c r="O807" s="10">
        <f>IF(L807="","",IF(M807="Won",L807*G807,IF(M807="Void",L807,IF(M807="Cash out",N(N807),IF(M807="Lost",0,"")))))</f>
        <v/>
      </c>
      <c r="P807" s="10">
        <f>IF(OR(L807="",M807="",M807="Pending"),"",O807-L807)</f>
        <v/>
      </c>
      <c r="Q807" s="21" t="n"/>
      <c r="R807" s="11">
        <f>IF(OR(G807="",Q807=""),"",G807/Q807-1)</f>
        <v/>
      </c>
      <c r="S807" s="10">
        <f>IF(OR(L807="",J807=""),"",L807*J807)</f>
        <v/>
      </c>
      <c r="T807" s="10">
        <f>IF(P807="","",StartBank+SUM(P$2:P807))</f>
        <v/>
      </c>
    </row>
    <row r="808">
      <c r="A808" s="22" t="n"/>
      <c r="G808" s="21" t="n"/>
      <c r="H808" s="11" t="n"/>
      <c r="I808" s="21">
        <f>IF(OR(H808="",H808=0),"",1/H808)</f>
        <v/>
      </c>
      <c r="J808" s="11">
        <f>IF(OR(G808="",H808=""),"",H808*G808-1)</f>
        <v/>
      </c>
      <c r="K808" s="10">
        <f>IF(OR(G808="",H808="",G808&lt;=1),"",IF(J808&lt;IF(D808="Builder",MinEdgeBuilder,IF(D808="Player",MinEdgePlayer,MinEdgeSingle)),0,ROUND(MIN(IF(D808="Single",KellySingle,KellyBuilder)*(StartBank+SUM(P$1:P807))*J808/(G808-1),IF(D808="Builder",CapBuilder,CapSingle)*Unit),2)))</f>
        <v/>
      </c>
      <c r="L808" s="10" t="n"/>
      <c r="N808" s="10" t="n"/>
      <c r="O808" s="10">
        <f>IF(L808="","",IF(M808="Won",L808*G808,IF(M808="Void",L808,IF(M808="Cash out",N(N808),IF(M808="Lost",0,"")))))</f>
        <v/>
      </c>
      <c r="P808" s="10">
        <f>IF(OR(L808="",M808="",M808="Pending"),"",O808-L808)</f>
        <v/>
      </c>
      <c r="Q808" s="21" t="n"/>
      <c r="R808" s="11">
        <f>IF(OR(G808="",Q808=""),"",G808/Q808-1)</f>
        <v/>
      </c>
      <c r="S808" s="10">
        <f>IF(OR(L808="",J808=""),"",L808*J808)</f>
        <v/>
      </c>
      <c r="T808" s="10">
        <f>IF(P808="","",StartBank+SUM(P$2:P808))</f>
        <v/>
      </c>
    </row>
    <row r="809">
      <c r="A809" s="22" t="n"/>
      <c r="G809" s="21" t="n"/>
      <c r="H809" s="11" t="n"/>
      <c r="I809" s="21">
        <f>IF(OR(H809="",H809=0),"",1/H809)</f>
        <v/>
      </c>
      <c r="J809" s="11">
        <f>IF(OR(G809="",H809=""),"",H809*G809-1)</f>
        <v/>
      </c>
      <c r="K809" s="10">
        <f>IF(OR(G809="",H809="",G809&lt;=1),"",IF(J809&lt;IF(D809="Builder",MinEdgeBuilder,IF(D809="Player",MinEdgePlayer,MinEdgeSingle)),0,ROUND(MIN(IF(D809="Single",KellySingle,KellyBuilder)*(StartBank+SUM(P$1:P808))*J809/(G809-1),IF(D809="Builder",CapBuilder,CapSingle)*Unit),2)))</f>
        <v/>
      </c>
      <c r="L809" s="10" t="n"/>
      <c r="N809" s="10" t="n"/>
      <c r="O809" s="10">
        <f>IF(L809="","",IF(M809="Won",L809*G809,IF(M809="Void",L809,IF(M809="Cash out",N(N809),IF(M809="Lost",0,"")))))</f>
        <v/>
      </c>
      <c r="P809" s="10">
        <f>IF(OR(L809="",M809="",M809="Pending"),"",O809-L809)</f>
        <v/>
      </c>
      <c r="Q809" s="21" t="n"/>
      <c r="R809" s="11">
        <f>IF(OR(G809="",Q809=""),"",G809/Q809-1)</f>
        <v/>
      </c>
      <c r="S809" s="10">
        <f>IF(OR(L809="",J809=""),"",L809*J809)</f>
        <v/>
      </c>
      <c r="T809" s="10">
        <f>IF(P809="","",StartBank+SUM(P$2:P809))</f>
        <v/>
      </c>
    </row>
    <row r="810">
      <c r="A810" s="22" t="n"/>
      <c r="G810" s="21" t="n"/>
      <c r="H810" s="11" t="n"/>
      <c r="I810" s="21">
        <f>IF(OR(H810="",H810=0),"",1/H810)</f>
        <v/>
      </c>
      <c r="J810" s="11">
        <f>IF(OR(G810="",H810=""),"",H810*G810-1)</f>
        <v/>
      </c>
      <c r="K810" s="10">
        <f>IF(OR(G810="",H810="",G810&lt;=1),"",IF(J810&lt;IF(D810="Builder",MinEdgeBuilder,IF(D810="Player",MinEdgePlayer,MinEdgeSingle)),0,ROUND(MIN(IF(D810="Single",KellySingle,KellyBuilder)*(StartBank+SUM(P$1:P809))*J810/(G810-1),IF(D810="Builder",CapBuilder,CapSingle)*Unit),2)))</f>
        <v/>
      </c>
      <c r="L810" s="10" t="n"/>
      <c r="N810" s="10" t="n"/>
      <c r="O810" s="10">
        <f>IF(L810="","",IF(M810="Won",L810*G810,IF(M810="Void",L810,IF(M810="Cash out",N(N810),IF(M810="Lost",0,"")))))</f>
        <v/>
      </c>
      <c r="P810" s="10">
        <f>IF(OR(L810="",M810="",M810="Pending"),"",O810-L810)</f>
        <v/>
      </c>
      <c r="Q810" s="21" t="n"/>
      <c r="R810" s="11">
        <f>IF(OR(G810="",Q810=""),"",G810/Q810-1)</f>
        <v/>
      </c>
      <c r="S810" s="10">
        <f>IF(OR(L810="",J810=""),"",L810*J810)</f>
        <v/>
      </c>
      <c r="T810" s="10">
        <f>IF(P810="","",StartBank+SUM(P$2:P810))</f>
        <v/>
      </c>
    </row>
    <row r="811">
      <c r="A811" s="22" t="n"/>
      <c r="G811" s="21" t="n"/>
      <c r="H811" s="11" t="n"/>
      <c r="I811" s="21">
        <f>IF(OR(H811="",H811=0),"",1/H811)</f>
        <v/>
      </c>
      <c r="J811" s="11">
        <f>IF(OR(G811="",H811=""),"",H811*G811-1)</f>
        <v/>
      </c>
      <c r="K811" s="10">
        <f>IF(OR(G811="",H811="",G811&lt;=1),"",IF(J811&lt;IF(D811="Builder",MinEdgeBuilder,IF(D811="Player",MinEdgePlayer,MinEdgeSingle)),0,ROUND(MIN(IF(D811="Single",KellySingle,KellyBuilder)*(StartBank+SUM(P$1:P810))*J811/(G811-1),IF(D811="Builder",CapBuilder,CapSingle)*Unit),2)))</f>
        <v/>
      </c>
      <c r="L811" s="10" t="n"/>
      <c r="N811" s="10" t="n"/>
      <c r="O811" s="10">
        <f>IF(L811="","",IF(M811="Won",L811*G811,IF(M811="Void",L811,IF(M811="Cash out",N(N811),IF(M811="Lost",0,"")))))</f>
        <v/>
      </c>
      <c r="P811" s="10">
        <f>IF(OR(L811="",M811="",M811="Pending"),"",O811-L811)</f>
        <v/>
      </c>
      <c r="Q811" s="21" t="n"/>
      <c r="R811" s="11">
        <f>IF(OR(G811="",Q811=""),"",G811/Q811-1)</f>
        <v/>
      </c>
      <c r="S811" s="10">
        <f>IF(OR(L811="",J811=""),"",L811*J811)</f>
        <v/>
      </c>
      <c r="T811" s="10">
        <f>IF(P811="","",StartBank+SUM(P$2:P811))</f>
        <v/>
      </c>
    </row>
    <row r="812">
      <c r="A812" s="22" t="n"/>
      <c r="G812" s="21" t="n"/>
      <c r="H812" s="11" t="n"/>
      <c r="I812" s="21">
        <f>IF(OR(H812="",H812=0),"",1/H812)</f>
        <v/>
      </c>
      <c r="J812" s="11">
        <f>IF(OR(G812="",H812=""),"",H812*G812-1)</f>
        <v/>
      </c>
      <c r="K812" s="10">
        <f>IF(OR(G812="",H812="",G812&lt;=1),"",IF(J812&lt;IF(D812="Builder",MinEdgeBuilder,IF(D812="Player",MinEdgePlayer,MinEdgeSingle)),0,ROUND(MIN(IF(D812="Single",KellySingle,KellyBuilder)*(StartBank+SUM(P$1:P811))*J812/(G812-1),IF(D812="Builder",CapBuilder,CapSingle)*Unit),2)))</f>
        <v/>
      </c>
      <c r="L812" s="10" t="n"/>
      <c r="N812" s="10" t="n"/>
      <c r="O812" s="10">
        <f>IF(L812="","",IF(M812="Won",L812*G812,IF(M812="Void",L812,IF(M812="Cash out",N(N812),IF(M812="Lost",0,"")))))</f>
        <v/>
      </c>
      <c r="P812" s="10">
        <f>IF(OR(L812="",M812="",M812="Pending"),"",O812-L812)</f>
        <v/>
      </c>
      <c r="Q812" s="21" t="n"/>
      <c r="R812" s="11">
        <f>IF(OR(G812="",Q812=""),"",G812/Q812-1)</f>
        <v/>
      </c>
      <c r="S812" s="10">
        <f>IF(OR(L812="",J812=""),"",L812*J812)</f>
        <v/>
      </c>
      <c r="T812" s="10">
        <f>IF(P812="","",StartBank+SUM(P$2:P812))</f>
        <v/>
      </c>
    </row>
    <row r="813">
      <c r="A813" s="22" t="n"/>
      <c r="G813" s="21" t="n"/>
      <c r="H813" s="11" t="n"/>
      <c r="I813" s="21">
        <f>IF(OR(H813="",H813=0),"",1/H813)</f>
        <v/>
      </c>
      <c r="J813" s="11">
        <f>IF(OR(G813="",H813=""),"",H813*G813-1)</f>
        <v/>
      </c>
      <c r="K813" s="10">
        <f>IF(OR(G813="",H813="",G813&lt;=1),"",IF(J813&lt;IF(D813="Builder",MinEdgeBuilder,IF(D813="Player",MinEdgePlayer,MinEdgeSingle)),0,ROUND(MIN(IF(D813="Single",KellySingle,KellyBuilder)*(StartBank+SUM(P$1:P812))*J813/(G813-1),IF(D813="Builder",CapBuilder,CapSingle)*Unit),2)))</f>
        <v/>
      </c>
      <c r="L813" s="10" t="n"/>
      <c r="N813" s="10" t="n"/>
      <c r="O813" s="10">
        <f>IF(L813="","",IF(M813="Won",L813*G813,IF(M813="Void",L813,IF(M813="Cash out",N(N813),IF(M813="Lost",0,"")))))</f>
        <v/>
      </c>
      <c r="P813" s="10">
        <f>IF(OR(L813="",M813="",M813="Pending"),"",O813-L813)</f>
        <v/>
      </c>
      <c r="Q813" s="21" t="n"/>
      <c r="R813" s="11">
        <f>IF(OR(G813="",Q813=""),"",G813/Q813-1)</f>
        <v/>
      </c>
      <c r="S813" s="10">
        <f>IF(OR(L813="",J813=""),"",L813*J813)</f>
        <v/>
      </c>
      <c r="T813" s="10">
        <f>IF(P813="","",StartBank+SUM(P$2:P813))</f>
        <v/>
      </c>
    </row>
    <row r="814">
      <c r="A814" s="22" t="n"/>
      <c r="G814" s="21" t="n"/>
      <c r="H814" s="11" t="n"/>
      <c r="I814" s="21">
        <f>IF(OR(H814="",H814=0),"",1/H814)</f>
        <v/>
      </c>
      <c r="J814" s="11">
        <f>IF(OR(G814="",H814=""),"",H814*G814-1)</f>
        <v/>
      </c>
      <c r="K814" s="10">
        <f>IF(OR(G814="",H814="",G814&lt;=1),"",IF(J814&lt;IF(D814="Builder",MinEdgeBuilder,IF(D814="Player",MinEdgePlayer,MinEdgeSingle)),0,ROUND(MIN(IF(D814="Single",KellySingle,KellyBuilder)*(StartBank+SUM(P$1:P813))*J814/(G814-1),IF(D814="Builder",CapBuilder,CapSingle)*Unit),2)))</f>
        <v/>
      </c>
      <c r="L814" s="10" t="n"/>
      <c r="N814" s="10" t="n"/>
      <c r="O814" s="10">
        <f>IF(L814="","",IF(M814="Won",L814*G814,IF(M814="Void",L814,IF(M814="Cash out",N(N814),IF(M814="Lost",0,"")))))</f>
        <v/>
      </c>
      <c r="P814" s="10">
        <f>IF(OR(L814="",M814="",M814="Pending"),"",O814-L814)</f>
        <v/>
      </c>
      <c r="Q814" s="21" t="n"/>
      <c r="R814" s="11">
        <f>IF(OR(G814="",Q814=""),"",G814/Q814-1)</f>
        <v/>
      </c>
      <c r="S814" s="10">
        <f>IF(OR(L814="",J814=""),"",L814*J814)</f>
        <v/>
      </c>
      <c r="T814" s="10">
        <f>IF(P814="","",StartBank+SUM(P$2:P814))</f>
        <v/>
      </c>
    </row>
    <row r="815">
      <c r="A815" s="22" t="n"/>
      <c r="G815" s="21" t="n"/>
      <c r="H815" s="11" t="n"/>
      <c r="I815" s="21">
        <f>IF(OR(H815="",H815=0),"",1/H815)</f>
        <v/>
      </c>
      <c r="J815" s="11">
        <f>IF(OR(G815="",H815=""),"",H815*G815-1)</f>
        <v/>
      </c>
      <c r="K815" s="10">
        <f>IF(OR(G815="",H815="",G815&lt;=1),"",IF(J815&lt;IF(D815="Builder",MinEdgeBuilder,IF(D815="Player",MinEdgePlayer,MinEdgeSingle)),0,ROUND(MIN(IF(D815="Single",KellySingle,KellyBuilder)*(StartBank+SUM(P$1:P814))*J815/(G815-1),IF(D815="Builder",CapBuilder,CapSingle)*Unit),2)))</f>
        <v/>
      </c>
      <c r="L815" s="10" t="n"/>
      <c r="N815" s="10" t="n"/>
      <c r="O815" s="10">
        <f>IF(L815="","",IF(M815="Won",L815*G815,IF(M815="Void",L815,IF(M815="Cash out",N(N815),IF(M815="Lost",0,"")))))</f>
        <v/>
      </c>
      <c r="P815" s="10">
        <f>IF(OR(L815="",M815="",M815="Pending"),"",O815-L815)</f>
        <v/>
      </c>
      <c r="Q815" s="21" t="n"/>
      <c r="R815" s="11">
        <f>IF(OR(G815="",Q815=""),"",G815/Q815-1)</f>
        <v/>
      </c>
      <c r="S815" s="10">
        <f>IF(OR(L815="",J815=""),"",L815*J815)</f>
        <v/>
      </c>
      <c r="T815" s="10">
        <f>IF(P815="","",StartBank+SUM(P$2:P815))</f>
        <v/>
      </c>
    </row>
    <row r="816">
      <c r="A816" s="22" t="n"/>
      <c r="G816" s="21" t="n"/>
      <c r="H816" s="11" t="n"/>
      <c r="I816" s="21">
        <f>IF(OR(H816="",H816=0),"",1/H816)</f>
        <v/>
      </c>
      <c r="J816" s="11">
        <f>IF(OR(G816="",H816=""),"",H816*G816-1)</f>
        <v/>
      </c>
      <c r="K816" s="10">
        <f>IF(OR(G816="",H816="",G816&lt;=1),"",IF(J816&lt;IF(D816="Builder",MinEdgeBuilder,IF(D816="Player",MinEdgePlayer,MinEdgeSingle)),0,ROUND(MIN(IF(D816="Single",KellySingle,KellyBuilder)*(StartBank+SUM(P$1:P815))*J816/(G816-1),IF(D816="Builder",CapBuilder,CapSingle)*Unit),2)))</f>
        <v/>
      </c>
      <c r="L816" s="10" t="n"/>
      <c r="N816" s="10" t="n"/>
      <c r="O816" s="10">
        <f>IF(L816="","",IF(M816="Won",L816*G816,IF(M816="Void",L816,IF(M816="Cash out",N(N816),IF(M816="Lost",0,"")))))</f>
        <v/>
      </c>
      <c r="P816" s="10">
        <f>IF(OR(L816="",M816="",M816="Pending"),"",O816-L816)</f>
        <v/>
      </c>
      <c r="Q816" s="21" t="n"/>
      <c r="R816" s="11">
        <f>IF(OR(G816="",Q816=""),"",G816/Q816-1)</f>
        <v/>
      </c>
      <c r="S816" s="10">
        <f>IF(OR(L816="",J816=""),"",L816*J816)</f>
        <v/>
      </c>
      <c r="T816" s="10">
        <f>IF(P816="","",StartBank+SUM(P$2:P816))</f>
        <v/>
      </c>
    </row>
    <row r="817">
      <c r="A817" s="22" t="n"/>
      <c r="G817" s="21" t="n"/>
      <c r="H817" s="11" t="n"/>
      <c r="I817" s="21">
        <f>IF(OR(H817="",H817=0),"",1/H817)</f>
        <v/>
      </c>
      <c r="J817" s="11">
        <f>IF(OR(G817="",H817=""),"",H817*G817-1)</f>
        <v/>
      </c>
      <c r="K817" s="10">
        <f>IF(OR(G817="",H817="",G817&lt;=1),"",IF(J817&lt;IF(D817="Builder",MinEdgeBuilder,IF(D817="Player",MinEdgePlayer,MinEdgeSingle)),0,ROUND(MIN(IF(D817="Single",KellySingle,KellyBuilder)*(StartBank+SUM(P$1:P816))*J817/(G817-1),IF(D817="Builder",CapBuilder,CapSingle)*Unit),2)))</f>
        <v/>
      </c>
      <c r="L817" s="10" t="n"/>
      <c r="N817" s="10" t="n"/>
      <c r="O817" s="10">
        <f>IF(L817="","",IF(M817="Won",L817*G817,IF(M817="Void",L817,IF(M817="Cash out",N(N817),IF(M817="Lost",0,"")))))</f>
        <v/>
      </c>
      <c r="P817" s="10">
        <f>IF(OR(L817="",M817="",M817="Pending"),"",O817-L817)</f>
        <v/>
      </c>
      <c r="Q817" s="21" t="n"/>
      <c r="R817" s="11">
        <f>IF(OR(G817="",Q817=""),"",G817/Q817-1)</f>
        <v/>
      </c>
      <c r="S817" s="10">
        <f>IF(OR(L817="",J817=""),"",L817*J817)</f>
        <v/>
      </c>
      <c r="T817" s="10">
        <f>IF(P817="","",StartBank+SUM(P$2:P817))</f>
        <v/>
      </c>
    </row>
    <row r="818">
      <c r="A818" s="22" t="n"/>
      <c r="G818" s="21" t="n"/>
      <c r="H818" s="11" t="n"/>
      <c r="I818" s="21">
        <f>IF(OR(H818="",H818=0),"",1/H818)</f>
        <v/>
      </c>
      <c r="J818" s="11">
        <f>IF(OR(G818="",H818=""),"",H818*G818-1)</f>
        <v/>
      </c>
      <c r="K818" s="10">
        <f>IF(OR(G818="",H818="",G818&lt;=1),"",IF(J818&lt;IF(D818="Builder",MinEdgeBuilder,IF(D818="Player",MinEdgePlayer,MinEdgeSingle)),0,ROUND(MIN(IF(D818="Single",KellySingle,KellyBuilder)*(StartBank+SUM(P$1:P817))*J818/(G818-1),IF(D818="Builder",CapBuilder,CapSingle)*Unit),2)))</f>
        <v/>
      </c>
      <c r="L818" s="10" t="n"/>
      <c r="N818" s="10" t="n"/>
      <c r="O818" s="10">
        <f>IF(L818="","",IF(M818="Won",L818*G818,IF(M818="Void",L818,IF(M818="Cash out",N(N818),IF(M818="Lost",0,"")))))</f>
        <v/>
      </c>
      <c r="P818" s="10">
        <f>IF(OR(L818="",M818="",M818="Pending"),"",O818-L818)</f>
        <v/>
      </c>
      <c r="Q818" s="21" t="n"/>
      <c r="R818" s="11">
        <f>IF(OR(G818="",Q818=""),"",G818/Q818-1)</f>
        <v/>
      </c>
      <c r="S818" s="10">
        <f>IF(OR(L818="",J818=""),"",L818*J818)</f>
        <v/>
      </c>
      <c r="T818" s="10">
        <f>IF(P818="","",StartBank+SUM(P$2:P818))</f>
        <v/>
      </c>
    </row>
    <row r="819">
      <c r="A819" s="22" t="n"/>
      <c r="G819" s="21" t="n"/>
      <c r="H819" s="11" t="n"/>
      <c r="I819" s="21">
        <f>IF(OR(H819="",H819=0),"",1/H819)</f>
        <v/>
      </c>
      <c r="J819" s="11">
        <f>IF(OR(G819="",H819=""),"",H819*G819-1)</f>
        <v/>
      </c>
      <c r="K819" s="10">
        <f>IF(OR(G819="",H819="",G819&lt;=1),"",IF(J819&lt;IF(D819="Builder",MinEdgeBuilder,IF(D819="Player",MinEdgePlayer,MinEdgeSingle)),0,ROUND(MIN(IF(D819="Single",KellySingle,KellyBuilder)*(StartBank+SUM(P$1:P818))*J819/(G819-1),IF(D819="Builder",CapBuilder,CapSingle)*Unit),2)))</f>
        <v/>
      </c>
      <c r="L819" s="10" t="n"/>
      <c r="N819" s="10" t="n"/>
      <c r="O819" s="10">
        <f>IF(L819="","",IF(M819="Won",L819*G819,IF(M819="Void",L819,IF(M819="Cash out",N(N819),IF(M819="Lost",0,"")))))</f>
        <v/>
      </c>
      <c r="P819" s="10">
        <f>IF(OR(L819="",M819="",M819="Pending"),"",O819-L819)</f>
        <v/>
      </c>
      <c r="Q819" s="21" t="n"/>
      <c r="R819" s="11">
        <f>IF(OR(G819="",Q819=""),"",G819/Q819-1)</f>
        <v/>
      </c>
      <c r="S819" s="10">
        <f>IF(OR(L819="",J819=""),"",L819*J819)</f>
        <v/>
      </c>
      <c r="T819" s="10">
        <f>IF(P819="","",StartBank+SUM(P$2:P819))</f>
        <v/>
      </c>
    </row>
    <row r="820">
      <c r="A820" s="22" t="n"/>
      <c r="G820" s="21" t="n"/>
      <c r="H820" s="11" t="n"/>
      <c r="I820" s="21">
        <f>IF(OR(H820="",H820=0),"",1/H820)</f>
        <v/>
      </c>
      <c r="J820" s="11">
        <f>IF(OR(G820="",H820=""),"",H820*G820-1)</f>
        <v/>
      </c>
      <c r="K820" s="10">
        <f>IF(OR(G820="",H820="",G820&lt;=1),"",IF(J820&lt;IF(D820="Builder",MinEdgeBuilder,IF(D820="Player",MinEdgePlayer,MinEdgeSingle)),0,ROUND(MIN(IF(D820="Single",KellySingle,KellyBuilder)*(StartBank+SUM(P$1:P819))*J820/(G820-1),IF(D820="Builder",CapBuilder,CapSingle)*Unit),2)))</f>
        <v/>
      </c>
      <c r="L820" s="10" t="n"/>
      <c r="N820" s="10" t="n"/>
      <c r="O820" s="10">
        <f>IF(L820="","",IF(M820="Won",L820*G820,IF(M820="Void",L820,IF(M820="Cash out",N(N820),IF(M820="Lost",0,"")))))</f>
        <v/>
      </c>
      <c r="P820" s="10">
        <f>IF(OR(L820="",M820="",M820="Pending"),"",O820-L820)</f>
        <v/>
      </c>
      <c r="Q820" s="21" t="n"/>
      <c r="R820" s="11">
        <f>IF(OR(G820="",Q820=""),"",G820/Q820-1)</f>
        <v/>
      </c>
      <c r="S820" s="10">
        <f>IF(OR(L820="",J820=""),"",L820*J820)</f>
        <v/>
      </c>
      <c r="T820" s="10">
        <f>IF(P820="","",StartBank+SUM(P$2:P820))</f>
        <v/>
      </c>
    </row>
    <row r="821">
      <c r="A821" s="22" t="n"/>
      <c r="G821" s="21" t="n"/>
      <c r="H821" s="11" t="n"/>
      <c r="I821" s="21">
        <f>IF(OR(H821="",H821=0),"",1/H821)</f>
        <v/>
      </c>
      <c r="J821" s="11">
        <f>IF(OR(G821="",H821=""),"",H821*G821-1)</f>
        <v/>
      </c>
      <c r="K821" s="10">
        <f>IF(OR(G821="",H821="",G821&lt;=1),"",IF(J821&lt;IF(D821="Builder",MinEdgeBuilder,IF(D821="Player",MinEdgePlayer,MinEdgeSingle)),0,ROUND(MIN(IF(D821="Single",KellySingle,KellyBuilder)*(StartBank+SUM(P$1:P820))*J821/(G821-1),IF(D821="Builder",CapBuilder,CapSingle)*Unit),2)))</f>
        <v/>
      </c>
      <c r="L821" s="10" t="n"/>
      <c r="N821" s="10" t="n"/>
      <c r="O821" s="10">
        <f>IF(L821="","",IF(M821="Won",L821*G821,IF(M821="Void",L821,IF(M821="Cash out",N(N821),IF(M821="Lost",0,"")))))</f>
        <v/>
      </c>
      <c r="P821" s="10">
        <f>IF(OR(L821="",M821="",M821="Pending"),"",O821-L821)</f>
        <v/>
      </c>
      <c r="Q821" s="21" t="n"/>
      <c r="R821" s="11">
        <f>IF(OR(G821="",Q821=""),"",G821/Q821-1)</f>
        <v/>
      </c>
      <c r="S821" s="10">
        <f>IF(OR(L821="",J821=""),"",L821*J821)</f>
        <v/>
      </c>
      <c r="T821" s="10">
        <f>IF(P821="","",StartBank+SUM(P$2:P821))</f>
        <v/>
      </c>
    </row>
    <row r="822">
      <c r="A822" s="22" t="n"/>
      <c r="G822" s="21" t="n"/>
      <c r="H822" s="11" t="n"/>
      <c r="I822" s="21">
        <f>IF(OR(H822="",H822=0),"",1/H822)</f>
        <v/>
      </c>
      <c r="J822" s="11">
        <f>IF(OR(G822="",H822=""),"",H822*G822-1)</f>
        <v/>
      </c>
      <c r="K822" s="10">
        <f>IF(OR(G822="",H822="",G822&lt;=1),"",IF(J822&lt;IF(D822="Builder",MinEdgeBuilder,IF(D822="Player",MinEdgePlayer,MinEdgeSingle)),0,ROUND(MIN(IF(D822="Single",KellySingle,KellyBuilder)*(StartBank+SUM(P$1:P821))*J822/(G822-1),IF(D822="Builder",CapBuilder,CapSingle)*Unit),2)))</f>
        <v/>
      </c>
      <c r="L822" s="10" t="n"/>
      <c r="N822" s="10" t="n"/>
      <c r="O822" s="10">
        <f>IF(L822="","",IF(M822="Won",L822*G822,IF(M822="Void",L822,IF(M822="Cash out",N(N822),IF(M822="Lost",0,"")))))</f>
        <v/>
      </c>
      <c r="P822" s="10">
        <f>IF(OR(L822="",M822="",M822="Pending"),"",O822-L822)</f>
        <v/>
      </c>
      <c r="Q822" s="21" t="n"/>
      <c r="R822" s="11">
        <f>IF(OR(G822="",Q822=""),"",G822/Q822-1)</f>
        <v/>
      </c>
      <c r="S822" s="10">
        <f>IF(OR(L822="",J822=""),"",L822*J822)</f>
        <v/>
      </c>
      <c r="T822" s="10">
        <f>IF(P822="","",StartBank+SUM(P$2:P822))</f>
        <v/>
      </c>
    </row>
    <row r="823">
      <c r="A823" s="22" t="n"/>
      <c r="G823" s="21" t="n"/>
      <c r="H823" s="11" t="n"/>
      <c r="I823" s="21">
        <f>IF(OR(H823="",H823=0),"",1/H823)</f>
        <v/>
      </c>
      <c r="J823" s="11">
        <f>IF(OR(G823="",H823=""),"",H823*G823-1)</f>
        <v/>
      </c>
      <c r="K823" s="10">
        <f>IF(OR(G823="",H823="",G823&lt;=1),"",IF(J823&lt;IF(D823="Builder",MinEdgeBuilder,IF(D823="Player",MinEdgePlayer,MinEdgeSingle)),0,ROUND(MIN(IF(D823="Single",KellySingle,KellyBuilder)*(StartBank+SUM(P$1:P822))*J823/(G823-1),IF(D823="Builder",CapBuilder,CapSingle)*Unit),2)))</f>
        <v/>
      </c>
      <c r="L823" s="10" t="n"/>
      <c r="N823" s="10" t="n"/>
      <c r="O823" s="10">
        <f>IF(L823="","",IF(M823="Won",L823*G823,IF(M823="Void",L823,IF(M823="Cash out",N(N823),IF(M823="Lost",0,"")))))</f>
        <v/>
      </c>
      <c r="P823" s="10">
        <f>IF(OR(L823="",M823="",M823="Pending"),"",O823-L823)</f>
        <v/>
      </c>
      <c r="Q823" s="21" t="n"/>
      <c r="R823" s="11">
        <f>IF(OR(G823="",Q823=""),"",G823/Q823-1)</f>
        <v/>
      </c>
      <c r="S823" s="10">
        <f>IF(OR(L823="",J823=""),"",L823*J823)</f>
        <v/>
      </c>
      <c r="T823" s="10">
        <f>IF(P823="","",StartBank+SUM(P$2:P823))</f>
        <v/>
      </c>
    </row>
    <row r="824">
      <c r="A824" s="22" t="n"/>
      <c r="G824" s="21" t="n"/>
      <c r="H824" s="11" t="n"/>
      <c r="I824" s="21">
        <f>IF(OR(H824="",H824=0),"",1/H824)</f>
        <v/>
      </c>
      <c r="J824" s="11">
        <f>IF(OR(G824="",H824=""),"",H824*G824-1)</f>
        <v/>
      </c>
      <c r="K824" s="10">
        <f>IF(OR(G824="",H824="",G824&lt;=1),"",IF(J824&lt;IF(D824="Builder",MinEdgeBuilder,IF(D824="Player",MinEdgePlayer,MinEdgeSingle)),0,ROUND(MIN(IF(D824="Single",KellySingle,KellyBuilder)*(StartBank+SUM(P$1:P823))*J824/(G824-1),IF(D824="Builder",CapBuilder,CapSingle)*Unit),2)))</f>
        <v/>
      </c>
      <c r="L824" s="10" t="n"/>
      <c r="N824" s="10" t="n"/>
      <c r="O824" s="10">
        <f>IF(L824="","",IF(M824="Won",L824*G824,IF(M824="Void",L824,IF(M824="Cash out",N(N824),IF(M824="Lost",0,"")))))</f>
        <v/>
      </c>
      <c r="P824" s="10">
        <f>IF(OR(L824="",M824="",M824="Pending"),"",O824-L824)</f>
        <v/>
      </c>
      <c r="Q824" s="21" t="n"/>
      <c r="R824" s="11">
        <f>IF(OR(G824="",Q824=""),"",G824/Q824-1)</f>
        <v/>
      </c>
      <c r="S824" s="10">
        <f>IF(OR(L824="",J824=""),"",L824*J824)</f>
        <v/>
      </c>
      <c r="T824" s="10">
        <f>IF(P824="","",StartBank+SUM(P$2:P824))</f>
        <v/>
      </c>
    </row>
    <row r="825">
      <c r="A825" s="22" t="n"/>
      <c r="G825" s="21" t="n"/>
      <c r="H825" s="11" t="n"/>
      <c r="I825" s="21">
        <f>IF(OR(H825="",H825=0),"",1/H825)</f>
        <v/>
      </c>
      <c r="J825" s="11">
        <f>IF(OR(G825="",H825=""),"",H825*G825-1)</f>
        <v/>
      </c>
      <c r="K825" s="10">
        <f>IF(OR(G825="",H825="",G825&lt;=1),"",IF(J825&lt;IF(D825="Builder",MinEdgeBuilder,IF(D825="Player",MinEdgePlayer,MinEdgeSingle)),0,ROUND(MIN(IF(D825="Single",KellySingle,KellyBuilder)*(StartBank+SUM(P$1:P824))*J825/(G825-1),IF(D825="Builder",CapBuilder,CapSingle)*Unit),2)))</f>
        <v/>
      </c>
      <c r="L825" s="10" t="n"/>
      <c r="N825" s="10" t="n"/>
      <c r="O825" s="10">
        <f>IF(L825="","",IF(M825="Won",L825*G825,IF(M825="Void",L825,IF(M825="Cash out",N(N825),IF(M825="Lost",0,"")))))</f>
        <v/>
      </c>
      <c r="P825" s="10">
        <f>IF(OR(L825="",M825="",M825="Pending"),"",O825-L825)</f>
        <v/>
      </c>
      <c r="Q825" s="21" t="n"/>
      <c r="R825" s="11">
        <f>IF(OR(G825="",Q825=""),"",G825/Q825-1)</f>
        <v/>
      </c>
      <c r="S825" s="10">
        <f>IF(OR(L825="",J825=""),"",L825*J825)</f>
        <v/>
      </c>
      <c r="T825" s="10">
        <f>IF(P825="","",StartBank+SUM(P$2:P825))</f>
        <v/>
      </c>
    </row>
    <row r="826">
      <c r="A826" s="22" t="n"/>
      <c r="G826" s="21" t="n"/>
      <c r="H826" s="11" t="n"/>
      <c r="I826" s="21">
        <f>IF(OR(H826="",H826=0),"",1/H826)</f>
        <v/>
      </c>
      <c r="J826" s="11">
        <f>IF(OR(G826="",H826=""),"",H826*G826-1)</f>
        <v/>
      </c>
      <c r="K826" s="10">
        <f>IF(OR(G826="",H826="",G826&lt;=1),"",IF(J826&lt;IF(D826="Builder",MinEdgeBuilder,IF(D826="Player",MinEdgePlayer,MinEdgeSingle)),0,ROUND(MIN(IF(D826="Single",KellySingle,KellyBuilder)*(StartBank+SUM(P$1:P825))*J826/(G826-1),IF(D826="Builder",CapBuilder,CapSingle)*Unit),2)))</f>
        <v/>
      </c>
      <c r="L826" s="10" t="n"/>
      <c r="N826" s="10" t="n"/>
      <c r="O826" s="10">
        <f>IF(L826="","",IF(M826="Won",L826*G826,IF(M826="Void",L826,IF(M826="Cash out",N(N826),IF(M826="Lost",0,"")))))</f>
        <v/>
      </c>
      <c r="P826" s="10">
        <f>IF(OR(L826="",M826="",M826="Pending"),"",O826-L826)</f>
        <v/>
      </c>
      <c r="Q826" s="21" t="n"/>
      <c r="R826" s="11">
        <f>IF(OR(G826="",Q826=""),"",G826/Q826-1)</f>
        <v/>
      </c>
      <c r="S826" s="10">
        <f>IF(OR(L826="",J826=""),"",L826*J826)</f>
        <v/>
      </c>
      <c r="T826" s="10">
        <f>IF(P826="","",StartBank+SUM(P$2:P826))</f>
        <v/>
      </c>
    </row>
    <row r="827">
      <c r="A827" s="22" t="n"/>
      <c r="G827" s="21" t="n"/>
      <c r="H827" s="11" t="n"/>
      <c r="I827" s="21">
        <f>IF(OR(H827="",H827=0),"",1/H827)</f>
        <v/>
      </c>
      <c r="J827" s="11">
        <f>IF(OR(G827="",H827=""),"",H827*G827-1)</f>
        <v/>
      </c>
      <c r="K827" s="10">
        <f>IF(OR(G827="",H827="",G827&lt;=1),"",IF(J827&lt;IF(D827="Builder",MinEdgeBuilder,IF(D827="Player",MinEdgePlayer,MinEdgeSingle)),0,ROUND(MIN(IF(D827="Single",KellySingle,KellyBuilder)*(StartBank+SUM(P$1:P826))*J827/(G827-1),IF(D827="Builder",CapBuilder,CapSingle)*Unit),2)))</f>
        <v/>
      </c>
      <c r="L827" s="10" t="n"/>
      <c r="N827" s="10" t="n"/>
      <c r="O827" s="10">
        <f>IF(L827="","",IF(M827="Won",L827*G827,IF(M827="Void",L827,IF(M827="Cash out",N(N827),IF(M827="Lost",0,"")))))</f>
        <v/>
      </c>
      <c r="P827" s="10">
        <f>IF(OR(L827="",M827="",M827="Pending"),"",O827-L827)</f>
        <v/>
      </c>
      <c r="Q827" s="21" t="n"/>
      <c r="R827" s="11">
        <f>IF(OR(G827="",Q827=""),"",G827/Q827-1)</f>
        <v/>
      </c>
      <c r="S827" s="10">
        <f>IF(OR(L827="",J827=""),"",L827*J827)</f>
        <v/>
      </c>
      <c r="T827" s="10">
        <f>IF(P827="","",StartBank+SUM(P$2:P827))</f>
        <v/>
      </c>
    </row>
    <row r="828">
      <c r="A828" s="22" t="n"/>
      <c r="G828" s="21" t="n"/>
      <c r="H828" s="11" t="n"/>
      <c r="I828" s="21">
        <f>IF(OR(H828="",H828=0),"",1/H828)</f>
        <v/>
      </c>
      <c r="J828" s="11">
        <f>IF(OR(G828="",H828=""),"",H828*G828-1)</f>
        <v/>
      </c>
      <c r="K828" s="10">
        <f>IF(OR(G828="",H828="",G828&lt;=1),"",IF(J828&lt;IF(D828="Builder",MinEdgeBuilder,IF(D828="Player",MinEdgePlayer,MinEdgeSingle)),0,ROUND(MIN(IF(D828="Single",KellySingle,KellyBuilder)*(StartBank+SUM(P$1:P827))*J828/(G828-1),IF(D828="Builder",CapBuilder,CapSingle)*Unit),2)))</f>
        <v/>
      </c>
      <c r="L828" s="10" t="n"/>
      <c r="N828" s="10" t="n"/>
      <c r="O828" s="10">
        <f>IF(L828="","",IF(M828="Won",L828*G828,IF(M828="Void",L828,IF(M828="Cash out",N(N828),IF(M828="Lost",0,"")))))</f>
        <v/>
      </c>
      <c r="P828" s="10">
        <f>IF(OR(L828="",M828="",M828="Pending"),"",O828-L828)</f>
        <v/>
      </c>
      <c r="Q828" s="21" t="n"/>
      <c r="R828" s="11">
        <f>IF(OR(G828="",Q828=""),"",G828/Q828-1)</f>
        <v/>
      </c>
      <c r="S828" s="10">
        <f>IF(OR(L828="",J828=""),"",L828*J828)</f>
        <v/>
      </c>
      <c r="T828" s="10">
        <f>IF(P828="","",StartBank+SUM(P$2:P828))</f>
        <v/>
      </c>
    </row>
    <row r="829">
      <c r="A829" s="22" t="n"/>
      <c r="G829" s="21" t="n"/>
      <c r="H829" s="11" t="n"/>
      <c r="I829" s="21">
        <f>IF(OR(H829="",H829=0),"",1/H829)</f>
        <v/>
      </c>
      <c r="J829" s="11">
        <f>IF(OR(G829="",H829=""),"",H829*G829-1)</f>
        <v/>
      </c>
      <c r="K829" s="10">
        <f>IF(OR(G829="",H829="",G829&lt;=1),"",IF(J829&lt;IF(D829="Builder",MinEdgeBuilder,IF(D829="Player",MinEdgePlayer,MinEdgeSingle)),0,ROUND(MIN(IF(D829="Single",KellySingle,KellyBuilder)*(StartBank+SUM(P$1:P828))*J829/(G829-1),IF(D829="Builder",CapBuilder,CapSingle)*Unit),2)))</f>
        <v/>
      </c>
      <c r="L829" s="10" t="n"/>
      <c r="N829" s="10" t="n"/>
      <c r="O829" s="10">
        <f>IF(L829="","",IF(M829="Won",L829*G829,IF(M829="Void",L829,IF(M829="Cash out",N(N829),IF(M829="Lost",0,"")))))</f>
        <v/>
      </c>
      <c r="P829" s="10">
        <f>IF(OR(L829="",M829="",M829="Pending"),"",O829-L829)</f>
        <v/>
      </c>
      <c r="Q829" s="21" t="n"/>
      <c r="R829" s="11">
        <f>IF(OR(G829="",Q829=""),"",G829/Q829-1)</f>
        <v/>
      </c>
      <c r="S829" s="10">
        <f>IF(OR(L829="",J829=""),"",L829*J829)</f>
        <v/>
      </c>
      <c r="T829" s="10">
        <f>IF(P829="","",StartBank+SUM(P$2:P829))</f>
        <v/>
      </c>
    </row>
    <row r="830">
      <c r="A830" s="22" t="n"/>
      <c r="G830" s="21" t="n"/>
      <c r="H830" s="11" t="n"/>
      <c r="I830" s="21">
        <f>IF(OR(H830="",H830=0),"",1/H830)</f>
        <v/>
      </c>
      <c r="J830" s="11">
        <f>IF(OR(G830="",H830=""),"",H830*G830-1)</f>
        <v/>
      </c>
      <c r="K830" s="10">
        <f>IF(OR(G830="",H830="",G830&lt;=1),"",IF(J830&lt;IF(D830="Builder",MinEdgeBuilder,IF(D830="Player",MinEdgePlayer,MinEdgeSingle)),0,ROUND(MIN(IF(D830="Single",KellySingle,KellyBuilder)*(StartBank+SUM(P$1:P829))*J830/(G830-1),IF(D830="Builder",CapBuilder,CapSingle)*Unit),2)))</f>
        <v/>
      </c>
      <c r="L830" s="10" t="n"/>
      <c r="N830" s="10" t="n"/>
      <c r="O830" s="10">
        <f>IF(L830="","",IF(M830="Won",L830*G830,IF(M830="Void",L830,IF(M830="Cash out",N(N830),IF(M830="Lost",0,"")))))</f>
        <v/>
      </c>
      <c r="P830" s="10">
        <f>IF(OR(L830="",M830="",M830="Pending"),"",O830-L830)</f>
        <v/>
      </c>
      <c r="Q830" s="21" t="n"/>
      <c r="R830" s="11">
        <f>IF(OR(G830="",Q830=""),"",G830/Q830-1)</f>
        <v/>
      </c>
      <c r="S830" s="10">
        <f>IF(OR(L830="",J830=""),"",L830*J830)</f>
        <v/>
      </c>
      <c r="T830" s="10">
        <f>IF(P830="","",StartBank+SUM(P$2:P830))</f>
        <v/>
      </c>
    </row>
    <row r="831">
      <c r="A831" s="22" t="n"/>
      <c r="G831" s="21" t="n"/>
      <c r="H831" s="11" t="n"/>
      <c r="I831" s="21">
        <f>IF(OR(H831="",H831=0),"",1/H831)</f>
        <v/>
      </c>
      <c r="J831" s="11">
        <f>IF(OR(G831="",H831=""),"",H831*G831-1)</f>
        <v/>
      </c>
      <c r="K831" s="10">
        <f>IF(OR(G831="",H831="",G831&lt;=1),"",IF(J831&lt;IF(D831="Builder",MinEdgeBuilder,IF(D831="Player",MinEdgePlayer,MinEdgeSingle)),0,ROUND(MIN(IF(D831="Single",KellySingle,KellyBuilder)*(StartBank+SUM(P$1:P830))*J831/(G831-1),IF(D831="Builder",CapBuilder,CapSingle)*Unit),2)))</f>
        <v/>
      </c>
      <c r="L831" s="10" t="n"/>
      <c r="N831" s="10" t="n"/>
      <c r="O831" s="10">
        <f>IF(L831="","",IF(M831="Won",L831*G831,IF(M831="Void",L831,IF(M831="Cash out",N(N831),IF(M831="Lost",0,"")))))</f>
        <v/>
      </c>
      <c r="P831" s="10">
        <f>IF(OR(L831="",M831="",M831="Pending"),"",O831-L831)</f>
        <v/>
      </c>
      <c r="Q831" s="21" t="n"/>
      <c r="R831" s="11">
        <f>IF(OR(G831="",Q831=""),"",G831/Q831-1)</f>
        <v/>
      </c>
      <c r="S831" s="10">
        <f>IF(OR(L831="",J831=""),"",L831*J831)</f>
        <v/>
      </c>
      <c r="T831" s="10">
        <f>IF(P831="","",StartBank+SUM(P$2:P831))</f>
        <v/>
      </c>
    </row>
    <row r="832">
      <c r="A832" s="22" t="n"/>
      <c r="G832" s="21" t="n"/>
      <c r="H832" s="11" t="n"/>
      <c r="I832" s="21">
        <f>IF(OR(H832="",H832=0),"",1/H832)</f>
        <v/>
      </c>
      <c r="J832" s="11">
        <f>IF(OR(G832="",H832=""),"",H832*G832-1)</f>
        <v/>
      </c>
      <c r="K832" s="10">
        <f>IF(OR(G832="",H832="",G832&lt;=1),"",IF(J832&lt;IF(D832="Builder",MinEdgeBuilder,IF(D832="Player",MinEdgePlayer,MinEdgeSingle)),0,ROUND(MIN(IF(D832="Single",KellySingle,KellyBuilder)*(StartBank+SUM(P$1:P831))*J832/(G832-1),IF(D832="Builder",CapBuilder,CapSingle)*Unit),2)))</f>
        <v/>
      </c>
      <c r="L832" s="10" t="n"/>
      <c r="N832" s="10" t="n"/>
      <c r="O832" s="10">
        <f>IF(L832="","",IF(M832="Won",L832*G832,IF(M832="Void",L832,IF(M832="Cash out",N(N832),IF(M832="Lost",0,"")))))</f>
        <v/>
      </c>
      <c r="P832" s="10">
        <f>IF(OR(L832="",M832="",M832="Pending"),"",O832-L832)</f>
        <v/>
      </c>
      <c r="Q832" s="21" t="n"/>
      <c r="R832" s="11">
        <f>IF(OR(G832="",Q832=""),"",G832/Q832-1)</f>
        <v/>
      </c>
      <c r="S832" s="10">
        <f>IF(OR(L832="",J832=""),"",L832*J832)</f>
        <v/>
      </c>
      <c r="T832" s="10">
        <f>IF(P832="","",StartBank+SUM(P$2:P832))</f>
        <v/>
      </c>
    </row>
    <row r="833">
      <c r="A833" s="22" t="n"/>
      <c r="G833" s="21" t="n"/>
      <c r="H833" s="11" t="n"/>
      <c r="I833" s="21">
        <f>IF(OR(H833="",H833=0),"",1/H833)</f>
        <v/>
      </c>
      <c r="J833" s="11">
        <f>IF(OR(G833="",H833=""),"",H833*G833-1)</f>
        <v/>
      </c>
      <c r="K833" s="10">
        <f>IF(OR(G833="",H833="",G833&lt;=1),"",IF(J833&lt;IF(D833="Builder",MinEdgeBuilder,IF(D833="Player",MinEdgePlayer,MinEdgeSingle)),0,ROUND(MIN(IF(D833="Single",KellySingle,KellyBuilder)*(StartBank+SUM(P$1:P832))*J833/(G833-1),IF(D833="Builder",CapBuilder,CapSingle)*Unit),2)))</f>
        <v/>
      </c>
      <c r="L833" s="10" t="n"/>
      <c r="N833" s="10" t="n"/>
      <c r="O833" s="10">
        <f>IF(L833="","",IF(M833="Won",L833*G833,IF(M833="Void",L833,IF(M833="Cash out",N(N833),IF(M833="Lost",0,"")))))</f>
        <v/>
      </c>
      <c r="P833" s="10">
        <f>IF(OR(L833="",M833="",M833="Pending"),"",O833-L833)</f>
        <v/>
      </c>
      <c r="Q833" s="21" t="n"/>
      <c r="R833" s="11">
        <f>IF(OR(G833="",Q833=""),"",G833/Q833-1)</f>
        <v/>
      </c>
      <c r="S833" s="10">
        <f>IF(OR(L833="",J833=""),"",L833*J833)</f>
        <v/>
      </c>
      <c r="T833" s="10">
        <f>IF(P833="","",StartBank+SUM(P$2:P833))</f>
        <v/>
      </c>
    </row>
    <row r="834">
      <c r="A834" s="22" t="n"/>
      <c r="G834" s="21" t="n"/>
      <c r="H834" s="11" t="n"/>
      <c r="I834" s="21">
        <f>IF(OR(H834="",H834=0),"",1/H834)</f>
        <v/>
      </c>
      <c r="J834" s="11">
        <f>IF(OR(G834="",H834=""),"",H834*G834-1)</f>
        <v/>
      </c>
      <c r="K834" s="10">
        <f>IF(OR(G834="",H834="",G834&lt;=1),"",IF(J834&lt;IF(D834="Builder",MinEdgeBuilder,IF(D834="Player",MinEdgePlayer,MinEdgeSingle)),0,ROUND(MIN(IF(D834="Single",KellySingle,KellyBuilder)*(StartBank+SUM(P$1:P833))*J834/(G834-1),IF(D834="Builder",CapBuilder,CapSingle)*Unit),2)))</f>
        <v/>
      </c>
      <c r="L834" s="10" t="n"/>
      <c r="N834" s="10" t="n"/>
      <c r="O834" s="10">
        <f>IF(L834="","",IF(M834="Won",L834*G834,IF(M834="Void",L834,IF(M834="Cash out",N(N834),IF(M834="Lost",0,"")))))</f>
        <v/>
      </c>
      <c r="P834" s="10">
        <f>IF(OR(L834="",M834="",M834="Pending"),"",O834-L834)</f>
        <v/>
      </c>
      <c r="Q834" s="21" t="n"/>
      <c r="R834" s="11">
        <f>IF(OR(G834="",Q834=""),"",G834/Q834-1)</f>
        <v/>
      </c>
      <c r="S834" s="10">
        <f>IF(OR(L834="",J834=""),"",L834*J834)</f>
        <v/>
      </c>
      <c r="T834" s="10">
        <f>IF(P834="","",StartBank+SUM(P$2:P834))</f>
        <v/>
      </c>
    </row>
    <row r="835">
      <c r="A835" s="22" t="n"/>
      <c r="G835" s="21" t="n"/>
      <c r="H835" s="11" t="n"/>
      <c r="I835" s="21">
        <f>IF(OR(H835="",H835=0),"",1/H835)</f>
        <v/>
      </c>
      <c r="J835" s="11">
        <f>IF(OR(G835="",H835=""),"",H835*G835-1)</f>
        <v/>
      </c>
      <c r="K835" s="10">
        <f>IF(OR(G835="",H835="",G835&lt;=1),"",IF(J835&lt;IF(D835="Builder",MinEdgeBuilder,IF(D835="Player",MinEdgePlayer,MinEdgeSingle)),0,ROUND(MIN(IF(D835="Single",KellySingle,KellyBuilder)*(StartBank+SUM(P$1:P834))*J835/(G835-1),IF(D835="Builder",CapBuilder,CapSingle)*Unit),2)))</f>
        <v/>
      </c>
      <c r="L835" s="10" t="n"/>
      <c r="N835" s="10" t="n"/>
      <c r="O835" s="10">
        <f>IF(L835="","",IF(M835="Won",L835*G835,IF(M835="Void",L835,IF(M835="Cash out",N(N835),IF(M835="Lost",0,"")))))</f>
        <v/>
      </c>
      <c r="P835" s="10">
        <f>IF(OR(L835="",M835="",M835="Pending"),"",O835-L835)</f>
        <v/>
      </c>
      <c r="Q835" s="21" t="n"/>
      <c r="R835" s="11">
        <f>IF(OR(G835="",Q835=""),"",G835/Q835-1)</f>
        <v/>
      </c>
      <c r="S835" s="10">
        <f>IF(OR(L835="",J835=""),"",L835*J835)</f>
        <v/>
      </c>
      <c r="T835" s="10">
        <f>IF(P835="","",StartBank+SUM(P$2:P835))</f>
        <v/>
      </c>
    </row>
    <row r="836">
      <c r="A836" s="22" t="n"/>
      <c r="G836" s="21" t="n"/>
      <c r="H836" s="11" t="n"/>
      <c r="I836" s="21">
        <f>IF(OR(H836="",H836=0),"",1/H836)</f>
        <v/>
      </c>
      <c r="J836" s="11">
        <f>IF(OR(G836="",H836=""),"",H836*G836-1)</f>
        <v/>
      </c>
      <c r="K836" s="10">
        <f>IF(OR(G836="",H836="",G836&lt;=1),"",IF(J836&lt;IF(D836="Builder",MinEdgeBuilder,IF(D836="Player",MinEdgePlayer,MinEdgeSingle)),0,ROUND(MIN(IF(D836="Single",KellySingle,KellyBuilder)*(StartBank+SUM(P$1:P835))*J836/(G836-1),IF(D836="Builder",CapBuilder,CapSingle)*Unit),2)))</f>
        <v/>
      </c>
      <c r="L836" s="10" t="n"/>
      <c r="N836" s="10" t="n"/>
      <c r="O836" s="10">
        <f>IF(L836="","",IF(M836="Won",L836*G836,IF(M836="Void",L836,IF(M836="Cash out",N(N836),IF(M836="Lost",0,"")))))</f>
        <v/>
      </c>
      <c r="P836" s="10">
        <f>IF(OR(L836="",M836="",M836="Pending"),"",O836-L836)</f>
        <v/>
      </c>
      <c r="Q836" s="21" t="n"/>
      <c r="R836" s="11">
        <f>IF(OR(G836="",Q836=""),"",G836/Q836-1)</f>
        <v/>
      </c>
      <c r="S836" s="10">
        <f>IF(OR(L836="",J836=""),"",L836*J836)</f>
        <v/>
      </c>
      <c r="T836" s="10">
        <f>IF(P836="","",StartBank+SUM(P$2:P836))</f>
        <v/>
      </c>
    </row>
    <row r="837">
      <c r="A837" s="22" t="n"/>
      <c r="G837" s="21" t="n"/>
      <c r="H837" s="11" t="n"/>
      <c r="I837" s="21">
        <f>IF(OR(H837="",H837=0),"",1/H837)</f>
        <v/>
      </c>
      <c r="J837" s="11">
        <f>IF(OR(G837="",H837=""),"",H837*G837-1)</f>
        <v/>
      </c>
      <c r="K837" s="10">
        <f>IF(OR(G837="",H837="",G837&lt;=1),"",IF(J837&lt;IF(D837="Builder",MinEdgeBuilder,IF(D837="Player",MinEdgePlayer,MinEdgeSingle)),0,ROUND(MIN(IF(D837="Single",KellySingle,KellyBuilder)*(StartBank+SUM(P$1:P836))*J837/(G837-1),IF(D837="Builder",CapBuilder,CapSingle)*Unit),2)))</f>
        <v/>
      </c>
      <c r="L837" s="10" t="n"/>
      <c r="N837" s="10" t="n"/>
      <c r="O837" s="10">
        <f>IF(L837="","",IF(M837="Won",L837*G837,IF(M837="Void",L837,IF(M837="Cash out",N(N837),IF(M837="Lost",0,"")))))</f>
        <v/>
      </c>
      <c r="P837" s="10">
        <f>IF(OR(L837="",M837="",M837="Pending"),"",O837-L837)</f>
        <v/>
      </c>
      <c r="Q837" s="21" t="n"/>
      <c r="R837" s="11">
        <f>IF(OR(G837="",Q837=""),"",G837/Q837-1)</f>
        <v/>
      </c>
      <c r="S837" s="10">
        <f>IF(OR(L837="",J837=""),"",L837*J837)</f>
        <v/>
      </c>
      <c r="T837" s="10">
        <f>IF(P837="","",StartBank+SUM(P$2:P837))</f>
        <v/>
      </c>
    </row>
    <row r="838">
      <c r="A838" s="22" t="n"/>
      <c r="G838" s="21" t="n"/>
      <c r="H838" s="11" t="n"/>
      <c r="I838" s="21">
        <f>IF(OR(H838="",H838=0),"",1/H838)</f>
        <v/>
      </c>
      <c r="J838" s="11">
        <f>IF(OR(G838="",H838=""),"",H838*G838-1)</f>
        <v/>
      </c>
      <c r="K838" s="10">
        <f>IF(OR(G838="",H838="",G838&lt;=1),"",IF(J838&lt;IF(D838="Builder",MinEdgeBuilder,IF(D838="Player",MinEdgePlayer,MinEdgeSingle)),0,ROUND(MIN(IF(D838="Single",KellySingle,KellyBuilder)*(StartBank+SUM(P$1:P837))*J838/(G838-1),IF(D838="Builder",CapBuilder,CapSingle)*Unit),2)))</f>
        <v/>
      </c>
      <c r="L838" s="10" t="n"/>
      <c r="N838" s="10" t="n"/>
      <c r="O838" s="10">
        <f>IF(L838="","",IF(M838="Won",L838*G838,IF(M838="Void",L838,IF(M838="Cash out",N(N838),IF(M838="Lost",0,"")))))</f>
        <v/>
      </c>
      <c r="P838" s="10">
        <f>IF(OR(L838="",M838="",M838="Pending"),"",O838-L838)</f>
        <v/>
      </c>
      <c r="Q838" s="21" t="n"/>
      <c r="R838" s="11">
        <f>IF(OR(G838="",Q838=""),"",G838/Q838-1)</f>
        <v/>
      </c>
      <c r="S838" s="10">
        <f>IF(OR(L838="",J838=""),"",L838*J838)</f>
        <v/>
      </c>
      <c r="T838" s="10">
        <f>IF(P838="","",StartBank+SUM(P$2:P838))</f>
        <v/>
      </c>
    </row>
    <row r="839">
      <c r="A839" s="22" t="n"/>
      <c r="G839" s="21" t="n"/>
      <c r="H839" s="11" t="n"/>
      <c r="I839" s="21">
        <f>IF(OR(H839="",H839=0),"",1/H839)</f>
        <v/>
      </c>
      <c r="J839" s="11">
        <f>IF(OR(G839="",H839=""),"",H839*G839-1)</f>
        <v/>
      </c>
      <c r="K839" s="10">
        <f>IF(OR(G839="",H839="",G839&lt;=1),"",IF(J839&lt;IF(D839="Builder",MinEdgeBuilder,IF(D839="Player",MinEdgePlayer,MinEdgeSingle)),0,ROUND(MIN(IF(D839="Single",KellySingle,KellyBuilder)*(StartBank+SUM(P$1:P838))*J839/(G839-1),IF(D839="Builder",CapBuilder,CapSingle)*Unit),2)))</f>
        <v/>
      </c>
      <c r="L839" s="10" t="n"/>
      <c r="N839" s="10" t="n"/>
      <c r="O839" s="10">
        <f>IF(L839="","",IF(M839="Won",L839*G839,IF(M839="Void",L839,IF(M839="Cash out",N(N839),IF(M839="Lost",0,"")))))</f>
        <v/>
      </c>
      <c r="P839" s="10">
        <f>IF(OR(L839="",M839="",M839="Pending"),"",O839-L839)</f>
        <v/>
      </c>
      <c r="Q839" s="21" t="n"/>
      <c r="R839" s="11">
        <f>IF(OR(G839="",Q839=""),"",G839/Q839-1)</f>
        <v/>
      </c>
      <c r="S839" s="10">
        <f>IF(OR(L839="",J839=""),"",L839*J839)</f>
        <v/>
      </c>
      <c r="T839" s="10">
        <f>IF(P839="","",StartBank+SUM(P$2:P839))</f>
        <v/>
      </c>
    </row>
    <row r="840">
      <c r="A840" s="22" t="n"/>
      <c r="G840" s="21" t="n"/>
      <c r="H840" s="11" t="n"/>
      <c r="I840" s="21">
        <f>IF(OR(H840="",H840=0),"",1/H840)</f>
        <v/>
      </c>
      <c r="J840" s="11">
        <f>IF(OR(G840="",H840=""),"",H840*G840-1)</f>
        <v/>
      </c>
      <c r="K840" s="10">
        <f>IF(OR(G840="",H840="",G840&lt;=1),"",IF(J840&lt;IF(D840="Builder",MinEdgeBuilder,IF(D840="Player",MinEdgePlayer,MinEdgeSingle)),0,ROUND(MIN(IF(D840="Single",KellySingle,KellyBuilder)*(StartBank+SUM(P$1:P839))*J840/(G840-1),IF(D840="Builder",CapBuilder,CapSingle)*Unit),2)))</f>
        <v/>
      </c>
      <c r="L840" s="10" t="n"/>
      <c r="N840" s="10" t="n"/>
      <c r="O840" s="10">
        <f>IF(L840="","",IF(M840="Won",L840*G840,IF(M840="Void",L840,IF(M840="Cash out",N(N840),IF(M840="Lost",0,"")))))</f>
        <v/>
      </c>
      <c r="P840" s="10">
        <f>IF(OR(L840="",M840="",M840="Pending"),"",O840-L840)</f>
        <v/>
      </c>
      <c r="Q840" s="21" t="n"/>
      <c r="R840" s="11">
        <f>IF(OR(G840="",Q840=""),"",G840/Q840-1)</f>
        <v/>
      </c>
      <c r="S840" s="10">
        <f>IF(OR(L840="",J840=""),"",L840*J840)</f>
        <v/>
      </c>
      <c r="T840" s="10">
        <f>IF(P840="","",StartBank+SUM(P$2:P840))</f>
        <v/>
      </c>
    </row>
    <row r="841">
      <c r="A841" s="22" t="n"/>
      <c r="G841" s="21" t="n"/>
      <c r="H841" s="11" t="n"/>
      <c r="I841" s="21">
        <f>IF(OR(H841="",H841=0),"",1/H841)</f>
        <v/>
      </c>
      <c r="J841" s="11">
        <f>IF(OR(G841="",H841=""),"",H841*G841-1)</f>
        <v/>
      </c>
      <c r="K841" s="10">
        <f>IF(OR(G841="",H841="",G841&lt;=1),"",IF(J841&lt;IF(D841="Builder",MinEdgeBuilder,IF(D841="Player",MinEdgePlayer,MinEdgeSingle)),0,ROUND(MIN(IF(D841="Single",KellySingle,KellyBuilder)*(StartBank+SUM(P$1:P840))*J841/(G841-1),IF(D841="Builder",CapBuilder,CapSingle)*Unit),2)))</f>
        <v/>
      </c>
      <c r="L841" s="10" t="n"/>
      <c r="N841" s="10" t="n"/>
      <c r="O841" s="10">
        <f>IF(L841="","",IF(M841="Won",L841*G841,IF(M841="Void",L841,IF(M841="Cash out",N(N841),IF(M841="Lost",0,"")))))</f>
        <v/>
      </c>
      <c r="P841" s="10">
        <f>IF(OR(L841="",M841="",M841="Pending"),"",O841-L841)</f>
        <v/>
      </c>
      <c r="Q841" s="21" t="n"/>
      <c r="R841" s="11">
        <f>IF(OR(G841="",Q841=""),"",G841/Q841-1)</f>
        <v/>
      </c>
      <c r="S841" s="10">
        <f>IF(OR(L841="",J841=""),"",L841*J841)</f>
        <v/>
      </c>
      <c r="T841" s="10">
        <f>IF(P841="","",StartBank+SUM(P$2:P841))</f>
        <v/>
      </c>
    </row>
    <row r="842">
      <c r="A842" s="22" t="n"/>
      <c r="G842" s="21" t="n"/>
      <c r="H842" s="11" t="n"/>
      <c r="I842" s="21">
        <f>IF(OR(H842="",H842=0),"",1/H842)</f>
        <v/>
      </c>
      <c r="J842" s="11">
        <f>IF(OR(G842="",H842=""),"",H842*G842-1)</f>
        <v/>
      </c>
      <c r="K842" s="10">
        <f>IF(OR(G842="",H842="",G842&lt;=1),"",IF(J842&lt;IF(D842="Builder",MinEdgeBuilder,IF(D842="Player",MinEdgePlayer,MinEdgeSingle)),0,ROUND(MIN(IF(D842="Single",KellySingle,KellyBuilder)*(StartBank+SUM(P$1:P841))*J842/(G842-1),IF(D842="Builder",CapBuilder,CapSingle)*Unit),2)))</f>
        <v/>
      </c>
      <c r="L842" s="10" t="n"/>
      <c r="N842" s="10" t="n"/>
      <c r="O842" s="10">
        <f>IF(L842="","",IF(M842="Won",L842*G842,IF(M842="Void",L842,IF(M842="Cash out",N(N842),IF(M842="Lost",0,"")))))</f>
        <v/>
      </c>
      <c r="P842" s="10">
        <f>IF(OR(L842="",M842="",M842="Pending"),"",O842-L842)</f>
        <v/>
      </c>
      <c r="Q842" s="21" t="n"/>
      <c r="R842" s="11">
        <f>IF(OR(G842="",Q842=""),"",G842/Q842-1)</f>
        <v/>
      </c>
      <c r="S842" s="10">
        <f>IF(OR(L842="",J842=""),"",L842*J842)</f>
        <v/>
      </c>
      <c r="T842" s="10">
        <f>IF(P842="","",StartBank+SUM(P$2:P842))</f>
        <v/>
      </c>
    </row>
    <row r="843">
      <c r="A843" s="22" t="n"/>
      <c r="G843" s="21" t="n"/>
      <c r="H843" s="11" t="n"/>
      <c r="I843" s="21">
        <f>IF(OR(H843="",H843=0),"",1/H843)</f>
        <v/>
      </c>
      <c r="J843" s="11">
        <f>IF(OR(G843="",H843=""),"",H843*G843-1)</f>
        <v/>
      </c>
      <c r="K843" s="10">
        <f>IF(OR(G843="",H843="",G843&lt;=1),"",IF(J843&lt;IF(D843="Builder",MinEdgeBuilder,IF(D843="Player",MinEdgePlayer,MinEdgeSingle)),0,ROUND(MIN(IF(D843="Single",KellySingle,KellyBuilder)*(StartBank+SUM(P$1:P842))*J843/(G843-1),IF(D843="Builder",CapBuilder,CapSingle)*Unit),2)))</f>
        <v/>
      </c>
      <c r="L843" s="10" t="n"/>
      <c r="N843" s="10" t="n"/>
      <c r="O843" s="10">
        <f>IF(L843="","",IF(M843="Won",L843*G843,IF(M843="Void",L843,IF(M843="Cash out",N(N843),IF(M843="Lost",0,"")))))</f>
        <v/>
      </c>
      <c r="P843" s="10">
        <f>IF(OR(L843="",M843="",M843="Pending"),"",O843-L843)</f>
        <v/>
      </c>
      <c r="Q843" s="21" t="n"/>
      <c r="R843" s="11">
        <f>IF(OR(G843="",Q843=""),"",G843/Q843-1)</f>
        <v/>
      </c>
      <c r="S843" s="10">
        <f>IF(OR(L843="",J843=""),"",L843*J843)</f>
        <v/>
      </c>
      <c r="T843" s="10">
        <f>IF(P843="","",StartBank+SUM(P$2:P843))</f>
        <v/>
      </c>
    </row>
    <row r="844">
      <c r="A844" s="22" t="n"/>
      <c r="G844" s="21" t="n"/>
      <c r="H844" s="11" t="n"/>
      <c r="I844" s="21">
        <f>IF(OR(H844="",H844=0),"",1/H844)</f>
        <v/>
      </c>
      <c r="J844" s="11">
        <f>IF(OR(G844="",H844=""),"",H844*G844-1)</f>
        <v/>
      </c>
      <c r="K844" s="10">
        <f>IF(OR(G844="",H844="",G844&lt;=1),"",IF(J844&lt;IF(D844="Builder",MinEdgeBuilder,IF(D844="Player",MinEdgePlayer,MinEdgeSingle)),0,ROUND(MIN(IF(D844="Single",KellySingle,KellyBuilder)*(StartBank+SUM(P$1:P843))*J844/(G844-1),IF(D844="Builder",CapBuilder,CapSingle)*Unit),2)))</f>
        <v/>
      </c>
      <c r="L844" s="10" t="n"/>
      <c r="N844" s="10" t="n"/>
      <c r="O844" s="10">
        <f>IF(L844="","",IF(M844="Won",L844*G844,IF(M844="Void",L844,IF(M844="Cash out",N(N844),IF(M844="Lost",0,"")))))</f>
        <v/>
      </c>
      <c r="P844" s="10">
        <f>IF(OR(L844="",M844="",M844="Pending"),"",O844-L844)</f>
        <v/>
      </c>
      <c r="Q844" s="21" t="n"/>
      <c r="R844" s="11">
        <f>IF(OR(G844="",Q844=""),"",G844/Q844-1)</f>
        <v/>
      </c>
      <c r="S844" s="10">
        <f>IF(OR(L844="",J844=""),"",L844*J844)</f>
        <v/>
      </c>
      <c r="T844" s="10">
        <f>IF(P844="","",StartBank+SUM(P$2:P844))</f>
        <v/>
      </c>
    </row>
    <row r="845">
      <c r="A845" s="22" t="n"/>
      <c r="G845" s="21" t="n"/>
      <c r="H845" s="11" t="n"/>
      <c r="I845" s="21">
        <f>IF(OR(H845="",H845=0),"",1/H845)</f>
        <v/>
      </c>
      <c r="J845" s="11">
        <f>IF(OR(G845="",H845=""),"",H845*G845-1)</f>
        <v/>
      </c>
      <c r="K845" s="10">
        <f>IF(OR(G845="",H845="",G845&lt;=1),"",IF(J845&lt;IF(D845="Builder",MinEdgeBuilder,IF(D845="Player",MinEdgePlayer,MinEdgeSingle)),0,ROUND(MIN(IF(D845="Single",KellySingle,KellyBuilder)*(StartBank+SUM(P$1:P844))*J845/(G845-1),IF(D845="Builder",CapBuilder,CapSingle)*Unit),2)))</f>
        <v/>
      </c>
      <c r="L845" s="10" t="n"/>
      <c r="N845" s="10" t="n"/>
      <c r="O845" s="10">
        <f>IF(L845="","",IF(M845="Won",L845*G845,IF(M845="Void",L845,IF(M845="Cash out",N(N845),IF(M845="Lost",0,"")))))</f>
        <v/>
      </c>
      <c r="P845" s="10">
        <f>IF(OR(L845="",M845="",M845="Pending"),"",O845-L845)</f>
        <v/>
      </c>
      <c r="Q845" s="21" t="n"/>
      <c r="R845" s="11">
        <f>IF(OR(G845="",Q845=""),"",G845/Q845-1)</f>
        <v/>
      </c>
      <c r="S845" s="10">
        <f>IF(OR(L845="",J845=""),"",L845*J845)</f>
        <v/>
      </c>
      <c r="T845" s="10">
        <f>IF(P845="","",StartBank+SUM(P$2:P845))</f>
        <v/>
      </c>
    </row>
    <row r="846">
      <c r="A846" s="22" t="n"/>
      <c r="G846" s="21" t="n"/>
      <c r="H846" s="11" t="n"/>
      <c r="I846" s="21">
        <f>IF(OR(H846="",H846=0),"",1/H846)</f>
        <v/>
      </c>
      <c r="J846" s="11">
        <f>IF(OR(G846="",H846=""),"",H846*G846-1)</f>
        <v/>
      </c>
      <c r="K846" s="10">
        <f>IF(OR(G846="",H846="",G846&lt;=1),"",IF(J846&lt;IF(D846="Builder",MinEdgeBuilder,IF(D846="Player",MinEdgePlayer,MinEdgeSingle)),0,ROUND(MIN(IF(D846="Single",KellySingle,KellyBuilder)*(StartBank+SUM(P$1:P845))*J846/(G846-1),IF(D846="Builder",CapBuilder,CapSingle)*Unit),2)))</f>
        <v/>
      </c>
      <c r="L846" s="10" t="n"/>
      <c r="N846" s="10" t="n"/>
      <c r="O846" s="10">
        <f>IF(L846="","",IF(M846="Won",L846*G846,IF(M846="Void",L846,IF(M846="Cash out",N(N846),IF(M846="Lost",0,"")))))</f>
        <v/>
      </c>
      <c r="P846" s="10">
        <f>IF(OR(L846="",M846="",M846="Pending"),"",O846-L846)</f>
        <v/>
      </c>
      <c r="Q846" s="21" t="n"/>
      <c r="R846" s="11">
        <f>IF(OR(G846="",Q846=""),"",G846/Q846-1)</f>
        <v/>
      </c>
      <c r="S846" s="10">
        <f>IF(OR(L846="",J846=""),"",L846*J846)</f>
        <v/>
      </c>
      <c r="T846" s="10">
        <f>IF(P846="","",StartBank+SUM(P$2:P846))</f>
        <v/>
      </c>
    </row>
    <row r="847">
      <c r="A847" s="22" t="n"/>
      <c r="G847" s="21" t="n"/>
      <c r="H847" s="11" t="n"/>
      <c r="I847" s="21">
        <f>IF(OR(H847="",H847=0),"",1/H847)</f>
        <v/>
      </c>
      <c r="J847" s="11">
        <f>IF(OR(G847="",H847=""),"",H847*G847-1)</f>
        <v/>
      </c>
      <c r="K847" s="10">
        <f>IF(OR(G847="",H847="",G847&lt;=1),"",IF(J847&lt;IF(D847="Builder",MinEdgeBuilder,IF(D847="Player",MinEdgePlayer,MinEdgeSingle)),0,ROUND(MIN(IF(D847="Single",KellySingle,KellyBuilder)*(StartBank+SUM(P$1:P846))*J847/(G847-1),IF(D847="Builder",CapBuilder,CapSingle)*Unit),2)))</f>
        <v/>
      </c>
      <c r="L847" s="10" t="n"/>
      <c r="N847" s="10" t="n"/>
      <c r="O847" s="10">
        <f>IF(L847="","",IF(M847="Won",L847*G847,IF(M847="Void",L847,IF(M847="Cash out",N(N847),IF(M847="Lost",0,"")))))</f>
        <v/>
      </c>
      <c r="P847" s="10">
        <f>IF(OR(L847="",M847="",M847="Pending"),"",O847-L847)</f>
        <v/>
      </c>
      <c r="Q847" s="21" t="n"/>
      <c r="R847" s="11">
        <f>IF(OR(G847="",Q847=""),"",G847/Q847-1)</f>
        <v/>
      </c>
      <c r="S847" s="10">
        <f>IF(OR(L847="",J847=""),"",L847*J847)</f>
        <v/>
      </c>
      <c r="T847" s="10">
        <f>IF(P847="","",StartBank+SUM(P$2:P847))</f>
        <v/>
      </c>
    </row>
    <row r="848">
      <c r="A848" s="22" t="n"/>
      <c r="G848" s="21" t="n"/>
      <c r="H848" s="11" t="n"/>
      <c r="I848" s="21">
        <f>IF(OR(H848="",H848=0),"",1/H848)</f>
        <v/>
      </c>
      <c r="J848" s="11">
        <f>IF(OR(G848="",H848=""),"",H848*G848-1)</f>
        <v/>
      </c>
      <c r="K848" s="10">
        <f>IF(OR(G848="",H848="",G848&lt;=1),"",IF(J848&lt;IF(D848="Builder",MinEdgeBuilder,IF(D848="Player",MinEdgePlayer,MinEdgeSingle)),0,ROUND(MIN(IF(D848="Single",KellySingle,KellyBuilder)*(StartBank+SUM(P$1:P847))*J848/(G848-1),IF(D848="Builder",CapBuilder,CapSingle)*Unit),2)))</f>
        <v/>
      </c>
      <c r="L848" s="10" t="n"/>
      <c r="N848" s="10" t="n"/>
      <c r="O848" s="10">
        <f>IF(L848="","",IF(M848="Won",L848*G848,IF(M848="Void",L848,IF(M848="Cash out",N(N848),IF(M848="Lost",0,"")))))</f>
        <v/>
      </c>
      <c r="P848" s="10">
        <f>IF(OR(L848="",M848="",M848="Pending"),"",O848-L848)</f>
        <v/>
      </c>
      <c r="Q848" s="21" t="n"/>
      <c r="R848" s="11">
        <f>IF(OR(G848="",Q848=""),"",G848/Q848-1)</f>
        <v/>
      </c>
      <c r="S848" s="10">
        <f>IF(OR(L848="",J848=""),"",L848*J848)</f>
        <v/>
      </c>
      <c r="T848" s="10">
        <f>IF(P848="","",StartBank+SUM(P$2:P848))</f>
        <v/>
      </c>
    </row>
    <row r="849">
      <c r="A849" s="22" t="n"/>
      <c r="G849" s="21" t="n"/>
      <c r="H849" s="11" t="n"/>
      <c r="I849" s="21">
        <f>IF(OR(H849="",H849=0),"",1/H849)</f>
        <v/>
      </c>
      <c r="J849" s="11">
        <f>IF(OR(G849="",H849=""),"",H849*G849-1)</f>
        <v/>
      </c>
      <c r="K849" s="10">
        <f>IF(OR(G849="",H849="",G849&lt;=1),"",IF(J849&lt;IF(D849="Builder",MinEdgeBuilder,IF(D849="Player",MinEdgePlayer,MinEdgeSingle)),0,ROUND(MIN(IF(D849="Single",KellySingle,KellyBuilder)*(StartBank+SUM(P$1:P848))*J849/(G849-1),IF(D849="Builder",CapBuilder,CapSingle)*Unit),2)))</f>
        <v/>
      </c>
      <c r="L849" s="10" t="n"/>
      <c r="N849" s="10" t="n"/>
      <c r="O849" s="10">
        <f>IF(L849="","",IF(M849="Won",L849*G849,IF(M849="Void",L849,IF(M849="Cash out",N(N849),IF(M849="Lost",0,"")))))</f>
        <v/>
      </c>
      <c r="P849" s="10">
        <f>IF(OR(L849="",M849="",M849="Pending"),"",O849-L849)</f>
        <v/>
      </c>
      <c r="Q849" s="21" t="n"/>
      <c r="R849" s="11">
        <f>IF(OR(G849="",Q849=""),"",G849/Q849-1)</f>
        <v/>
      </c>
      <c r="S849" s="10">
        <f>IF(OR(L849="",J849=""),"",L849*J849)</f>
        <v/>
      </c>
      <c r="T849" s="10">
        <f>IF(P849="","",StartBank+SUM(P$2:P849))</f>
        <v/>
      </c>
    </row>
    <row r="850">
      <c r="A850" s="22" t="n"/>
      <c r="G850" s="21" t="n"/>
      <c r="H850" s="11" t="n"/>
      <c r="I850" s="21">
        <f>IF(OR(H850="",H850=0),"",1/H850)</f>
        <v/>
      </c>
      <c r="J850" s="11">
        <f>IF(OR(G850="",H850=""),"",H850*G850-1)</f>
        <v/>
      </c>
      <c r="K850" s="10">
        <f>IF(OR(G850="",H850="",G850&lt;=1),"",IF(J850&lt;IF(D850="Builder",MinEdgeBuilder,IF(D850="Player",MinEdgePlayer,MinEdgeSingle)),0,ROUND(MIN(IF(D850="Single",KellySingle,KellyBuilder)*(StartBank+SUM(P$1:P849))*J850/(G850-1),IF(D850="Builder",CapBuilder,CapSingle)*Unit),2)))</f>
        <v/>
      </c>
      <c r="L850" s="10" t="n"/>
      <c r="N850" s="10" t="n"/>
      <c r="O850" s="10">
        <f>IF(L850="","",IF(M850="Won",L850*G850,IF(M850="Void",L850,IF(M850="Cash out",N(N850),IF(M850="Lost",0,"")))))</f>
        <v/>
      </c>
      <c r="P850" s="10">
        <f>IF(OR(L850="",M850="",M850="Pending"),"",O850-L850)</f>
        <v/>
      </c>
      <c r="Q850" s="21" t="n"/>
      <c r="R850" s="11">
        <f>IF(OR(G850="",Q850=""),"",G850/Q850-1)</f>
        <v/>
      </c>
      <c r="S850" s="10">
        <f>IF(OR(L850="",J850=""),"",L850*J850)</f>
        <v/>
      </c>
      <c r="T850" s="10">
        <f>IF(P850="","",StartBank+SUM(P$2:P850))</f>
        <v/>
      </c>
    </row>
    <row r="851">
      <c r="A851" s="22" t="n"/>
      <c r="G851" s="21" t="n"/>
      <c r="H851" s="11" t="n"/>
      <c r="I851" s="21">
        <f>IF(OR(H851="",H851=0),"",1/H851)</f>
        <v/>
      </c>
      <c r="J851" s="11">
        <f>IF(OR(G851="",H851=""),"",H851*G851-1)</f>
        <v/>
      </c>
      <c r="K851" s="10">
        <f>IF(OR(G851="",H851="",G851&lt;=1),"",IF(J851&lt;IF(D851="Builder",MinEdgeBuilder,IF(D851="Player",MinEdgePlayer,MinEdgeSingle)),0,ROUND(MIN(IF(D851="Single",KellySingle,KellyBuilder)*(StartBank+SUM(P$1:P850))*J851/(G851-1),IF(D851="Builder",CapBuilder,CapSingle)*Unit),2)))</f>
        <v/>
      </c>
      <c r="L851" s="10" t="n"/>
      <c r="N851" s="10" t="n"/>
      <c r="O851" s="10">
        <f>IF(L851="","",IF(M851="Won",L851*G851,IF(M851="Void",L851,IF(M851="Cash out",N(N851),IF(M851="Lost",0,"")))))</f>
        <v/>
      </c>
      <c r="P851" s="10">
        <f>IF(OR(L851="",M851="",M851="Pending"),"",O851-L851)</f>
        <v/>
      </c>
      <c r="Q851" s="21" t="n"/>
      <c r="R851" s="11">
        <f>IF(OR(G851="",Q851=""),"",G851/Q851-1)</f>
        <v/>
      </c>
      <c r="S851" s="10">
        <f>IF(OR(L851="",J851=""),"",L851*J851)</f>
        <v/>
      </c>
      <c r="T851" s="10">
        <f>IF(P851="","",StartBank+SUM(P$2:P851))</f>
        <v/>
      </c>
    </row>
    <row r="852">
      <c r="A852" s="22" t="n"/>
      <c r="G852" s="21" t="n"/>
      <c r="H852" s="11" t="n"/>
      <c r="I852" s="21">
        <f>IF(OR(H852="",H852=0),"",1/H852)</f>
        <v/>
      </c>
      <c r="J852" s="11">
        <f>IF(OR(G852="",H852=""),"",H852*G852-1)</f>
        <v/>
      </c>
      <c r="K852" s="10">
        <f>IF(OR(G852="",H852="",G852&lt;=1),"",IF(J852&lt;IF(D852="Builder",MinEdgeBuilder,IF(D852="Player",MinEdgePlayer,MinEdgeSingle)),0,ROUND(MIN(IF(D852="Single",KellySingle,KellyBuilder)*(StartBank+SUM(P$1:P851))*J852/(G852-1),IF(D852="Builder",CapBuilder,CapSingle)*Unit),2)))</f>
        <v/>
      </c>
      <c r="L852" s="10" t="n"/>
      <c r="N852" s="10" t="n"/>
      <c r="O852" s="10">
        <f>IF(L852="","",IF(M852="Won",L852*G852,IF(M852="Void",L852,IF(M852="Cash out",N(N852),IF(M852="Lost",0,"")))))</f>
        <v/>
      </c>
      <c r="P852" s="10">
        <f>IF(OR(L852="",M852="",M852="Pending"),"",O852-L852)</f>
        <v/>
      </c>
      <c r="Q852" s="21" t="n"/>
      <c r="R852" s="11">
        <f>IF(OR(G852="",Q852=""),"",G852/Q852-1)</f>
        <v/>
      </c>
      <c r="S852" s="10">
        <f>IF(OR(L852="",J852=""),"",L852*J852)</f>
        <v/>
      </c>
      <c r="T852" s="10">
        <f>IF(P852="","",StartBank+SUM(P$2:P852))</f>
        <v/>
      </c>
    </row>
    <row r="853">
      <c r="A853" s="22" t="n"/>
      <c r="G853" s="21" t="n"/>
      <c r="H853" s="11" t="n"/>
      <c r="I853" s="21">
        <f>IF(OR(H853="",H853=0),"",1/H853)</f>
        <v/>
      </c>
      <c r="J853" s="11">
        <f>IF(OR(G853="",H853=""),"",H853*G853-1)</f>
        <v/>
      </c>
      <c r="K853" s="10">
        <f>IF(OR(G853="",H853="",G853&lt;=1),"",IF(J853&lt;IF(D853="Builder",MinEdgeBuilder,IF(D853="Player",MinEdgePlayer,MinEdgeSingle)),0,ROUND(MIN(IF(D853="Single",KellySingle,KellyBuilder)*(StartBank+SUM(P$1:P852))*J853/(G853-1),IF(D853="Builder",CapBuilder,CapSingle)*Unit),2)))</f>
        <v/>
      </c>
      <c r="L853" s="10" t="n"/>
      <c r="N853" s="10" t="n"/>
      <c r="O853" s="10">
        <f>IF(L853="","",IF(M853="Won",L853*G853,IF(M853="Void",L853,IF(M853="Cash out",N(N853),IF(M853="Lost",0,"")))))</f>
        <v/>
      </c>
      <c r="P853" s="10">
        <f>IF(OR(L853="",M853="",M853="Pending"),"",O853-L853)</f>
        <v/>
      </c>
      <c r="Q853" s="21" t="n"/>
      <c r="R853" s="11">
        <f>IF(OR(G853="",Q853=""),"",G853/Q853-1)</f>
        <v/>
      </c>
      <c r="S853" s="10">
        <f>IF(OR(L853="",J853=""),"",L853*J853)</f>
        <v/>
      </c>
      <c r="T853" s="10">
        <f>IF(P853="","",StartBank+SUM(P$2:P853))</f>
        <v/>
      </c>
    </row>
    <row r="854">
      <c r="A854" s="22" t="n"/>
      <c r="G854" s="21" t="n"/>
      <c r="H854" s="11" t="n"/>
      <c r="I854" s="21">
        <f>IF(OR(H854="",H854=0),"",1/H854)</f>
        <v/>
      </c>
      <c r="J854" s="11">
        <f>IF(OR(G854="",H854=""),"",H854*G854-1)</f>
        <v/>
      </c>
      <c r="K854" s="10">
        <f>IF(OR(G854="",H854="",G854&lt;=1),"",IF(J854&lt;IF(D854="Builder",MinEdgeBuilder,IF(D854="Player",MinEdgePlayer,MinEdgeSingle)),0,ROUND(MIN(IF(D854="Single",KellySingle,KellyBuilder)*(StartBank+SUM(P$1:P853))*J854/(G854-1),IF(D854="Builder",CapBuilder,CapSingle)*Unit),2)))</f>
        <v/>
      </c>
      <c r="L854" s="10" t="n"/>
      <c r="N854" s="10" t="n"/>
      <c r="O854" s="10">
        <f>IF(L854="","",IF(M854="Won",L854*G854,IF(M854="Void",L854,IF(M854="Cash out",N(N854),IF(M854="Lost",0,"")))))</f>
        <v/>
      </c>
      <c r="P854" s="10">
        <f>IF(OR(L854="",M854="",M854="Pending"),"",O854-L854)</f>
        <v/>
      </c>
      <c r="Q854" s="21" t="n"/>
      <c r="R854" s="11">
        <f>IF(OR(G854="",Q854=""),"",G854/Q854-1)</f>
        <v/>
      </c>
      <c r="S854" s="10">
        <f>IF(OR(L854="",J854=""),"",L854*J854)</f>
        <v/>
      </c>
      <c r="T854" s="10">
        <f>IF(P854="","",StartBank+SUM(P$2:P854))</f>
        <v/>
      </c>
    </row>
    <row r="855">
      <c r="A855" s="22" t="n"/>
      <c r="G855" s="21" t="n"/>
      <c r="H855" s="11" t="n"/>
      <c r="I855" s="21">
        <f>IF(OR(H855="",H855=0),"",1/H855)</f>
        <v/>
      </c>
      <c r="J855" s="11">
        <f>IF(OR(G855="",H855=""),"",H855*G855-1)</f>
        <v/>
      </c>
      <c r="K855" s="10">
        <f>IF(OR(G855="",H855="",G855&lt;=1),"",IF(J855&lt;IF(D855="Builder",MinEdgeBuilder,IF(D855="Player",MinEdgePlayer,MinEdgeSingle)),0,ROUND(MIN(IF(D855="Single",KellySingle,KellyBuilder)*(StartBank+SUM(P$1:P854))*J855/(G855-1),IF(D855="Builder",CapBuilder,CapSingle)*Unit),2)))</f>
        <v/>
      </c>
      <c r="L855" s="10" t="n"/>
      <c r="N855" s="10" t="n"/>
      <c r="O855" s="10">
        <f>IF(L855="","",IF(M855="Won",L855*G855,IF(M855="Void",L855,IF(M855="Cash out",N(N855),IF(M855="Lost",0,"")))))</f>
        <v/>
      </c>
      <c r="P855" s="10">
        <f>IF(OR(L855="",M855="",M855="Pending"),"",O855-L855)</f>
        <v/>
      </c>
      <c r="Q855" s="21" t="n"/>
      <c r="R855" s="11">
        <f>IF(OR(G855="",Q855=""),"",G855/Q855-1)</f>
        <v/>
      </c>
      <c r="S855" s="10">
        <f>IF(OR(L855="",J855=""),"",L855*J855)</f>
        <v/>
      </c>
      <c r="T855" s="10">
        <f>IF(P855="","",StartBank+SUM(P$2:P855))</f>
        <v/>
      </c>
    </row>
    <row r="856">
      <c r="A856" s="22" t="n"/>
      <c r="G856" s="21" t="n"/>
      <c r="H856" s="11" t="n"/>
      <c r="I856" s="21">
        <f>IF(OR(H856="",H856=0),"",1/H856)</f>
        <v/>
      </c>
      <c r="J856" s="11">
        <f>IF(OR(G856="",H856=""),"",H856*G856-1)</f>
        <v/>
      </c>
      <c r="K856" s="10">
        <f>IF(OR(G856="",H856="",G856&lt;=1),"",IF(J856&lt;IF(D856="Builder",MinEdgeBuilder,IF(D856="Player",MinEdgePlayer,MinEdgeSingle)),0,ROUND(MIN(IF(D856="Single",KellySingle,KellyBuilder)*(StartBank+SUM(P$1:P855))*J856/(G856-1),IF(D856="Builder",CapBuilder,CapSingle)*Unit),2)))</f>
        <v/>
      </c>
      <c r="L856" s="10" t="n"/>
      <c r="N856" s="10" t="n"/>
      <c r="O856" s="10">
        <f>IF(L856="","",IF(M856="Won",L856*G856,IF(M856="Void",L856,IF(M856="Cash out",N(N856),IF(M856="Lost",0,"")))))</f>
        <v/>
      </c>
      <c r="P856" s="10">
        <f>IF(OR(L856="",M856="",M856="Pending"),"",O856-L856)</f>
        <v/>
      </c>
      <c r="Q856" s="21" t="n"/>
      <c r="R856" s="11">
        <f>IF(OR(G856="",Q856=""),"",G856/Q856-1)</f>
        <v/>
      </c>
      <c r="S856" s="10">
        <f>IF(OR(L856="",J856=""),"",L856*J856)</f>
        <v/>
      </c>
      <c r="T856" s="10">
        <f>IF(P856="","",StartBank+SUM(P$2:P856))</f>
        <v/>
      </c>
    </row>
    <row r="857">
      <c r="A857" s="22" t="n"/>
      <c r="G857" s="21" t="n"/>
      <c r="H857" s="11" t="n"/>
      <c r="I857" s="21">
        <f>IF(OR(H857="",H857=0),"",1/H857)</f>
        <v/>
      </c>
      <c r="J857" s="11">
        <f>IF(OR(G857="",H857=""),"",H857*G857-1)</f>
        <v/>
      </c>
      <c r="K857" s="10">
        <f>IF(OR(G857="",H857="",G857&lt;=1),"",IF(J857&lt;IF(D857="Builder",MinEdgeBuilder,IF(D857="Player",MinEdgePlayer,MinEdgeSingle)),0,ROUND(MIN(IF(D857="Single",KellySingle,KellyBuilder)*(StartBank+SUM(P$1:P856))*J857/(G857-1),IF(D857="Builder",CapBuilder,CapSingle)*Unit),2)))</f>
        <v/>
      </c>
      <c r="L857" s="10" t="n"/>
      <c r="N857" s="10" t="n"/>
      <c r="O857" s="10">
        <f>IF(L857="","",IF(M857="Won",L857*G857,IF(M857="Void",L857,IF(M857="Cash out",N(N857),IF(M857="Lost",0,"")))))</f>
        <v/>
      </c>
      <c r="P857" s="10">
        <f>IF(OR(L857="",M857="",M857="Pending"),"",O857-L857)</f>
        <v/>
      </c>
      <c r="Q857" s="21" t="n"/>
      <c r="R857" s="11">
        <f>IF(OR(G857="",Q857=""),"",G857/Q857-1)</f>
        <v/>
      </c>
      <c r="S857" s="10">
        <f>IF(OR(L857="",J857=""),"",L857*J857)</f>
        <v/>
      </c>
      <c r="T857" s="10">
        <f>IF(P857="","",StartBank+SUM(P$2:P857))</f>
        <v/>
      </c>
    </row>
    <row r="858">
      <c r="A858" s="22" t="n"/>
      <c r="G858" s="21" t="n"/>
      <c r="H858" s="11" t="n"/>
      <c r="I858" s="21">
        <f>IF(OR(H858="",H858=0),"",1/H858)</f>
        <v/>
      </c>
      <c r="J858" s="11">
        <f>IF(OR(G858="",H858=""),"",H858*G858-1)</f>
        <v/>
      </c>
      <c r="K858" s="10">
        <f>IF(OR(G858="",H858="",G858&lt;=1),"",IF(J858&lt;IF(D858="Builder",MinEdgeBuilder,IF(D858="Player",MinEdgePlayer,MinEdgeSingle)),0,ROUND(MIN(IF(D858="Single",KellySingle,KellyBuilder)*(StartBank+SUM(P$1:P857))*J858/(G858-1),IF(D858="Builder",CapBuilder,CapSingle)*Unit),2)))</f>
        <v/>
      </c>
      <c r="L858" s="10" t="n"/>
      <c r="N858" s="10" t="n"/>
      <c r="O858" s="10">
        <f>IF(L858="","",IF(M858="Won",L858*G858,IF(M858="Void",L858,IF(M858="Cash out",N(N858),IF(M858="Lost",0,"")))))</f>
        <v/>
      </c>
      <c r="P858" s="10">
        <f>IF(OR(L858="",M858="",M858="Pending"),"",O858-L858)</f>
        <v/>
      </c>
      <c r="Q858" s="21" t="n"/>
      <c r="R858" s="11">
        <f>IF(OR(G858="",Q858=""),"",G858/Q858-1)</f>
        <v/>
      </c>
      <c r="S858" s="10">
        <f>IF(OR(L858="",J858=""),"",L858*J858)</f>
        <v/>
      </c>
      <c r="T858" s="10">
        <f>IF(P858="","",StartBank+SUM(P$2:P858))</f>
        <v/>
      </c>
    </row>
    <row r="859">
      <c r="A859" s="22" t="n"/>
      <c r="G859" s="21" t="n"/>
      <c r="H859" s="11" t="n"/>
      <c r="I859" s="21">
        <f>IF(OR(H859="",H859=0),"",1/H859)</f>
        <v/>
      </c>
      <c r="J859" s="11">
        <f>IF(OR(G859="",H859=""),"",H859*G859-1)</f>
        <v/>
      </c>
      <c r="K859" s="10">
        <f>IF(OR(G859="",H859="",G859&lt;=1),"",IF(J859&lt;IF(D859="Builder",MinEdgeBuilder,IF(D859="Player",MinEdgePlayer,MinEdgeSingle)),0,ROUND(MIN(IF(D859="Single",KellySingle,KellyBuilder)*(StartBank+SUM(P$1:P858))*J859/(G859-1),IF(D859="Builder",CapBuilder,CapSingle)*Unit),2)))</f>
        <v/>
      </c>
      <c r="L859" s="10" t="n"/>
      <c r="N859" s="10" t="n"/>
      <c r="O859" s="10">
        <f>IF(L859="","",IF(M859="Won",L859*G859,IF(M859="Void",L859,IF(M859="Cash out",N(N859),IF(M859="Lost",0,"")))))</f>
        <v/>
      </c>
      <c r="P859" s="10">
        <f>IF(OR(L859="",M859="",M859="Pending"),"",O859-L859)</f>
        <v/>
      </c>
      <c r="Q859" s="21" t="n"/>
      <c r="R859" s="11">
        <f>IF(OR(G859="",Q859=""),"",G859/Q859-1)</f>
        <v/>
      </c>
      <c r="S859" s="10">
        <f>IF(OR(L859="",J859=""),"",L859*J859)</f>
        <v/>
      </c>
      <c r="T859" s="10">
        <f>IF(P859="","",StartBank+SUM(P$2:P859))</f>
        <v/>
      </c>
    </row>
    <row r="860">
      <c r="A860" s="22" t="n"/>
      <c r="G860" s="21" t="n"/>
      <c r="H860" s="11" t="n"/>
      <c r="I860" s="21">
        <f>IF(OR(H860="",H860=0),"",1/H860)</f>
        <v/>
      </c>
      <c r="J860" s="11">
        <f>IF(OR(G860="",H860=""),"",H860*G860-1)</f>
        <v/>
      </c>
      <c r="K860" s="10">
        <f>IF(OR(G860="",H860="",G860&lt;=1),"",IF(J860&lt;IF(D860="Builder",MinEdgeBuilder,IF(D860="Player",MinEdgePlayer,MinEdgeSingle)),0,ROUND(MIN(IF(D860="Single",KellySingle,KellyBuilder)*(StartBank+SUM(P$1:P859))*J860/(G860-1),IF(D860="Builder",CapBuilder,CapSingle)*Unit),2)))</f>
        <v/>
      </c>
      <c r="L860" s="10" t="n"/>
      <c r="N860" s="10" t="n"/>
      <c r="O860" s="10">
        <f>IF(L860="","",IF(M860="Won",L860*G860,IF(M860="Void",L860,IF(M860="Cash out",N(N860),IF(M860="Lost",0,"")))))</f>
        <v/>
      </c>
      <c r="P860" s="10">
        <f>IF(OR(L860="",M860="",M860="Pending"),"",O860-L860)</f>
        <v/>
      </c>
      <c r="Q860" s="21" t="n"/>
      <c r="R860" s="11">
        <f>IF(OR(G860="",Q860=""),"",G860/Q860-1)</f>
        <v/>
      </c>
      <c r="S860" s="10">
        <f>IF(OR(L860="",J860=""),"",L860*J860)</f>
        <v/>
      </c>
      <c r="T860" s="10">
        <f>IF(P860="","",StartBank+SUM(P$2:P860))</f>
        <v/>
      </c>
    </row>
    <row r="861">
      <c r="A861" s="22" t="n"/>
      <c r="G861" s="21" t="n"/>
      <c r="H861" s="11" t="n"/>
      <c r="I861" s="21">
        <f>IF(OR(H861="",H861=0),"",1/H861)</f>
        <v/>
      </c>
      <c r="J861" s="11">
        <f>IF(OR(G861="",H861=""),"",H861*G861-1)</f>
        <v/>
      </c>
      <c r="K861" s="10">
        <f>IF(OR(G861="",H861="",G861&lt;=1),"",IF(J861&lt;IF(D861="Builder",MinEdgeBuilder,IF(D861="Player",MinEdgePlayer,MinEdgeSingle)),0,ROUND(MIN(IF(D861="Single",KellySingle,KellyBuilder)*(StartBank+SUM(P$1:P860))*J861/(G861-1),IF(D861="Builder",CapBuilder,CapSingle)*Unit),2)))</f>
        <v/>
      </c>
      <c r="L861" s="10" t="n"/>
      <c r="N861" s="10" t="n"/>
      <c r="O861" s="10">
        <f>IF(L861="","",IF(M861="Won",L861*G861,IF(M861="Void",L861,IF(M861="Cash out",N(N861),IF(M861="Lost",0,"")))))</f>
        <v/>
      </c>
      <c r="P861" s="10">
        <f>IF(OR(L861="",M861="",M861="Pending"),"",O861-L861)</f>
        <v/>
      </c>
      <c r="Q861" s="21" t="n"/>
      <c r="R861" s="11">
        <f>IF(OR(G861="",Q861=""),"",G861/Q861-1)</f>
        <v/>
      </c>
      <c r="S861" s="10">
        <f>IF(OR(L861="",J861=""),"",L861*J861)</f>
        <v/>
      </c>
      <c r="T861" s="10">
        <f>IF(P861="","",StartBank+SUM(P$2:P861))</f>
        <v/>
      </c>
    </row>
    <row r="862">
      <c r="A862" s="22" t="n"/>
      <c r="G862" s="21" t="n"/>
      <c r="H862" s="11" t="n"/>
      <c r="I862" s="21">
        <f>IF(OR(H862="",H862=0),"",1/H862)</f>
        <v/>
      </c>
      <c r="J862" s="11">
        <f>IF(OR(G862="",H862=""),"",H862*G862-1)</f>
        <v/>
      </c>
      <c r="K862" s="10">
        <f>IF(OR(G862="",H862="",G862&lt;=1),"",IF(J862&lt;IF(D862="Builder",MinEdgeBuilder,IF(D862="Player",MinEdgePlayer,MinEdgeSingle)),0,ROUND(MIN(IF(D862="Single",KellySingle,KellyBuilder)*(StartBank+SUM(P$1:P861))*J862/(G862-1),IF(D862="Builder",CapBuilder,CapSingle)*Unit),2)))</f>
        <v/>
      </c>
      <c r="L862" s="10" t="n"/>
      <c r="N862" s="10" t="n"/>
      <c r="O862" s="10">
        <f>IF(L862="","",IF(M862="Won",L862*G862,IF(M862="Void",L862,IF(M862="Cash out",N(N862),IF(M862="Lost",0,"")))))</f>
        <v/>
      </c>
      <c r="P862" s="10">
        <f>IF(OR(L862="",M862="",M862="Pending"),"",O862-L862)</f>
        <v/>
      </c>
      <c r="Q862" s="21" t="n"/>
      <c r="R862" s="11">
        <f>IF(OR(G862="",Q862=""),"",G862/Q862-1)</f>
        <v/>
      </c>
      <c r="S862" s="10">
        <f>IF(OR(L862="",J862=""),"",L862*J862)</f>
        <v/>
      </c>
      <c r="T862" s="10">
        <f>IF(P862="","",StartBank+SUM(P$2:P862))</f>
        <v/>
      </c>
    </row>
    <row r="863">
      <c r="A863" s="22" t="n"/>
      <c r="G863" s="21" t="n"/>
      <c r="H863" s="11" t="n"/>
      <c r="I863" s="21">
        <f>IF(OR(H863="",H863=0),"",1/H863)</f>
        <v/>
      </c>
      <c r="J863" s="11">
        <f>IF(OR(G863="",H863=""),"",H863*G863-1)</f>
        <v/>
      </c>
      <c r="K863" s="10">
        <f>IF(OR(G863="",H863="",G863&lt;=1),"",IF(J863&lt;IF(D863="Builder",MinEdgeBuilder,IF(D863="Player",MinEdgePlayer,MinEdgeSingle)),0,ROUND(MIN(IF(D863="Single",KellySingle,KellyBuilder)*(StartBank+SUM(P$1:P862))*J863/(G863-1),IF(D863="Builder",CapBuilder,CapSingle)*Unit),2)))</f>
        <v/>
      </c>
      <c r="L863" s="10" t="n"/>
      <c r="N863" s="10" t="n"/>
      <c r="O863" s="10">
        <f>IF(L863="","",IF(M863="Won",L863*G863,IF(M863="Void",L863,IF(M863="Cash out",N(N863),IF(M863="Lost",0,"")))))</f>
        <v/>
      </c>
      <c r="P863" s="10">
        <f>IF(OR(L863="",M863="",M863="Pending"),"",O863-L863)</f>
        <v/>
      </c>
      <c r="Q863" s="21" t="n"/>
      <c r="R863" s="11">
        <f>IF(OR(G863="",Q863=""),"",G863/Q863-1)</f>
        <v/>
      </c>
      <c r="S863" s="10">
        <f>IF(OR(L863="",J863=""),"",L863*J863)</f>
        <v/>
      </c>
      <c r="T863" s="10">
        <f>IF(P863="","",StartBank+SUM(P$2:P863))</f>
        <v/>
      </c>
    </row>
    <row r="864">
      <c r="A864" s="22" t="n"/>
      <c r="G864" s="21" t="n"/>
      <c r="H864" s="11" t="n"/>
      <c r="I864" s="21">
        <f>IF(OR(H864="",H864=0),"",1/H864)</f>
        <v/>
      </c>
      <c r="J864" s="11">
        <f>IF(OR(G864="",H864=""),"",H864*G864-1)</f>
        <v/>
      </c>
      <c r="K864" s="10">
        <f>IF(OR(G864="",H864="",G864&lt;=1),"",IF(J864&lt;IF(D864="Builder",MinEdgeBuilder,IF(D864="Player",MinEdgePlayer,MinEdgeSingle)),0,ROUND(MIN(IF(D864="Single",KellySingle,KellyBuilder)*(StartBank+SUM(P$1:P863))*J864/(G864-1),IF(D864="Builder",CapBuilder,CapSingle)*Unit),2)))</f>
        <v/>
      </c>
      <c r="L864" s="10" t="n"/>
      <c r="N864" s="10" t="n"/>
      <c r="O864" s="10">
        <f>IF(L864="","",IF(M864="Won",L864*G864,IF(M864="Void",L864,IF(M864="Cash out",N(N864),IF(M864="Lost",0,"")))))</f>
        <v/>
      </c>
      <c r="P864" s="10">
        <f>IF(OR(L864="",M864="",M864="Pending"),"",O864-L864)</f>
        <v/>
      </c>
      <c r="Q864" s="21" t="n"/>
      <c r="R864" s="11">
        <f>IF(OR(G864="",Q864=""),"",G864/Q864-1)</f>
        <v/>
      </c>
      <c r="S864" s="10">
        <f>IF(OR(L864="",J864=""),"",L864*J864)</f>
        <v/>
      </c>
      <c r="T864" s="10">
        <f>IF(P864="","",StartBank+SUM(P$2:P864))</f>
        <v/>
      </c>
    </row>
    <row r="865">
      <c r="A865" s="22" t="n"/>
      <c r="G865" s="21" t="n"/>
      <c r="H865" s="11" t="n"/>
      <c r="I865" s="21">
        <f>IF(OR(H865="",H865=0),"",1/H865)</f>
        <v/>
      </c>
      <c r="J865" s="11">
        <f>IF(OR(G865="",H865=""),"",H865*G865-1)</f>
        <v/>
      </c>
      <c r="K865" s="10">
        <f>IF(OR(G865="",H865="",G865&lt;=1),"",IF(J865&lt;IF(D865="Builder",MinEdgeBuilder,IF(D865="Player",MinEdgePlayer,MinEdgeSingle)),0,ROUND(MIN(IF(D865="Single",KellySingle,KellyBuilder)*(StartBank+SUM(P$1:P864))*J865/(G865-1),IF(D865="Builder",CapBuilder,CapSingle)*Unit),2)))</f>
        <v/>
      </c>
      <c r="L865" s="10" t="n"/>
      <c r="N865" s="10" t="n"/>
      <c r="O865" s="10">
        <f>IF(L865="","",IF(M865="Won",L865*G865,IF(M865="Void",L865,IF(M865="Cash out",N(N865),IF(M865="Lost",0,"")))))</f>
        <v/>
      </c>
      <c r="P865" s="10">
        <f>IF(OR(L865="",M865="",M865="Pending"),"",O865-L865)</f>
        <v/>
      </c>
      <c r="Q865" s="21" t="n"/>
      <c r="R865" s="11">
        <f>IF(OR(G865="",Q865=""),"",G865/Q865-1)</f>
        <v/>
      </c>
      <c r="S865" s="10">
        <f>IF(OR(L865="",J865=""),"",L865*J865)</f>
        <v/>
      </c>
      <c r="T865" s="10">
        <f>IF(P865="","",StartBank+SUM(P$2:P865))</f>
        <v/>
      </c>
    </row>
    <row r="866">
      <c r="A866" s="22" t="n"/>
      <c r="G866" s="21" t="n"/>
      <c r="H866" s="11" t="n"/>
      <c r="I866" s="21">
        <f>IF(OR(H866="",H866=0),"",1/H866)</f>
        <v/>
      </c>
      <c r="J866" s="11">
        <f>IF(OR(G866="",H866=""),"",H866*G866-1)</f>
        <v/>
      </c>
      <c r="K866" s="10">
        <f>IF(OR(G866="",H866="",G866&lt;=1),"",IF(J866&lt;IF(D866="Builder",MinEdgeBuilder,IF(D866="Player",MinEdgePlayer,MinEdgeSingle)),0,ROUND(MIN(IF(D866="Single",KellySingle,KellyBuilder)*(StartBank+SUM(P$1:P865))*J866/(G866-1),IF(D866="Builder",CapBuilder,CapSingle)*Unit),2)))</f>
        <v/>
      </c>
      <c r="L866" s="10" t="n"/>
      <c r="N866" s="10" t="n"/>
      <c r="O866" s="10">
        <f>IF(L866="","",IF(M866="Won",L866*G866,IF(M866="Void",L866,IF(M866="Cash out",N(N866),IF(M866="Lost",0,"")))))</f>
        <v/>
      </c>
      <c r="P866" s="10">
        <f>IF(OR(L866="",M866="",M866="Pending"),"",O866-L866)</f>
        <v/>
      </c>
      <c r="Q866" s="21" t="n"/>
      <c r="R866" s="11">
        <f>IF(OR(G866="",Q866=""),"",G866/Q866-1)</f>
        <v/>
      </c>
      <c r="S866" s="10">
        <f>IF(OR(L866="",J866=""),"",L866*J866)</f>
        <v/>
      </c>
      <c r="T866" s="10">
        <f>IF(P866="","",StartBank+SUM(P$2:P866))</f>
        <v/>
      </c>
    </row>
    <row r="867">
      <c r="A867" s="22" t="n"/>
      <c r="G867" s="21" t="n"/>
      <c r="H867" s="11" t="n"/>
      <c r="I867" s="21">
        <f>IF(OR(H867="",H867=0),"",1/H867)</f>
        <v/>
      </c>
      <c r="J867" s="11">
        <f>IF(OR(G867="",H867=""),"",H867*G867-1)</f>
        <v/>
      </c>
      <c r="K867" s="10">
        <f>IF(OR(G867="",H867="",G867&lt;=1),"",IF(J867&lt;IF(D867="Builder",MinEdgeBuilder,IF(D867="Player",MinEdgePlayer,MinEdgeSingle)),0,ROUND(MIN(IF(D867="Single",KellySingle,KellyBuilder)*(StartBank+SUM(P$1:P866))*J867/(G867-1),IF(D867="Builder",CapBuilder,CapSingle)*Unit),2)))</f>
        <v/>
      </c>
      <c r="L867" s="10" t="n"/>
      <c r="N867" s="10" t="n"/>
      <c r="O867" s="10">
        <f>IF(L867="","",IF(M867="Won",L867*G867,IF(M867="Void",L867,IF(M867="Cash out",N(N867),IF(M867="Lost",0,"")))))</f>
        <v/>
      </c>
      <c r="P867" s="10">
        <f>IF(OR(L867="",M867="",M867="Pending"),"",O867-L867)</f>
        <v/>
      </c>
      <c r="Q867" s="21" t="n"/>
      <c r="R867" s="11">
        <f>IF(OR(G867="",Q867=""),"",G867/Q867-1)</f>
        <v/>
      </c>
      <c r="S867" s="10">
        <f>IF(OR(L867="",J867=""),"",L867*J867)</f>
        <v/>
      </c>
      <c r="T867" s="10">
        <f>IF(P867="","",StartBank+SUM(P$2:P867))</f>
        <v/>
      </c>
    </row>
    <row r="868">
      <c r="A868" s="22" t="n"/>
      <c r="G868" s="21" t="n"/>
      <c r="H868" s="11" t="n"/>
      <c r="I868" s="21">
        <f>IF(OR(H868="",H868=0),"",1/H868)</f>
        <v/>
      </c>
      <c r="J868" s="11">
        <f>IF(OR(G868="",H868=""),"",H868*G868-1)</f>
        <v/>
      </c>
      <c r="K868" s="10">
        <f>IF(OR(G868="",H868="",G868&lt;=1),"",IF(J868&lt;IF(D868="Builder",MinEdgeBuilder,IF(D868="Player",MinEdgePlayer,MinEdgeSingle)),0,ROUND(MIN(IF(D868="Single",KellySingle,KellyBuilder)*(StartBank+SUM(P$1:P867))*J868/(G868-1),IF(D868="Builder",CapBuilder,CapSingle)*Unit),2)))</f>
        <v/>
      </c>
      <c r="L868" s="10" t="n"/>
      <c r="N868" s="10" t="n"/>
      <c r="O868" s="10">
        <f>IF(L868="","",IF(M868="Won",L868*G868,IF(M868="Void",L868,IF(M868="Cash out",N(N868),IF(M868="Lost",0,"")))))</f>
        <v/>
      </c>
      <c r="P868" s="10">
        <f>IF(OR(L868="",M868="",M868="Pending"),"",O868-L868)</f>
        <v/>
      </c>
      <c r="Q868" s="21" t="n"/>
      <c r="R868" s="11">
        <f>IF(OR(G868="",Q868=""),"",G868/Q868-1)</f>
        <v/>
      </c>
      <c r="S868" s="10">
        <f>IF(OR(L868="",J868=""),"",L868*J868)</f>
        <v/>
      </c>
      <c r="T868" s="10">
        <f>IF(P868="","",StartBank+SUM(P$2:P868))</f>
        <v/>
      </c>
    </row>
    <row r="869">
      <c r="A869" s="22" t="n"/>
      <c r="G869" s="21" t="n"/>
      <c r="H869" s="11" t="n"/>
      <c r="I869" s="21">
        <f>IF(OR(H869="",H869=0),"",1/H869)</f>
        <v/>
      </c>
      <c r="J869" s="11">
        <f>IF(OR(G869="",H869=""),"",H869*G869-1)</f>
        <v/>
      </c>
      <c r="K869" s="10">
        <f>IF(OR(G869="",H869="",G869&lt;=1),"",IF(J869&lt;IF(D869="Builder",MinEdgeBuilder,IF(D869="Player",MinEdgePlayer,MinEdgeSingle)),0,ROUND(MIN(IF(D869="Single",KellySingle,KellyBuilder)*(StartBank+SUM(P$1:P868))*J869/(G869-1),IF(D869="Builder",CapBuilder,CapSingle)*Unit),2)))</f>
        <v/>
      </c>
      <c r="L869" s="10" t="n"/>
      <c r="N869" s="10" t="n"/>
      <c r="O869" s="10">
        <f>IF(L869="","",IF(M869="Won",L869*G869,IF(M869="Void",L869,IF(M869="Cash out",N(N869),IF(M869="Lost",0,"")))))</f>
        <v/>
      </c>
      <c r="P869" s="10">
        <f>IF(OR(L869="",M869="",M869="Pending"),"",O869-L869)</f>
        <v/>
      </c>
      <c r="Q869" s="21" t="n"/>
      <c r="R869" s="11">
        <f>IF(OR(G869="",Q869=""),"",G869/Q869-1)</f>
        <v/>
      </c>
      <c r="S869" s="10">
        <f>IF(OR(L869="",J869=""),"",L869*J869)</f>
        <v/>
      </c>
      <c r="T869" s="10">
        <f>IF(P869="","",StartBank+SUM(P$2:P869))</f>
        <v/>
      </c>
    </row>
    <row r="870">
      <c r="A870" s="22" t="n"/>
      <c r="G870" s="21" t="n"/>
      <c r="H870" s="11" t="n"/>
      <c r="I870" s="21">
        <f>IF(OR(H870="",H870=0),"",1/H870)</f>
        <v/>
      </c>
      <c r="J870" s="11">
        <f>IF(OR(G870="",H870=""),"",H870*G870-1)</f>
        <v/>
      </c>
      <c r="K870" s="10">
        <f>IF(OR(G870="",H870="",G870&lt;=1),"",IF(J870&lt;IF(D870="Builder",MinEdgeBuilder,IF(D870="Player",MinEdgePlayer,MinEdgeSingle)),0,ROUND(MIN(IF(D870="Single",KellySingle,KellyBuilder)*(StartBank+SUM(P$1:P869))*J870/(G870-1),IF(D870="Builder",CapBuilder,CapSingle)*Unit),2)))</f>
        <v/>
      </c>
      <c r="L870" s="10" t="n"/>
      <c r="N870" s="10" t="n"/>
      <c r="O870" s="10">
        <f>IF(L870="","",IF(M870="Won",L870*G870,IF(M870="Void",L870,IF(M870="Cash out",N(N870),IF(M870="Lost",0,"")))))</f>
        <v/>
      </c>
      <c r="P870" s="10">
        <f>IF(OR(L870="",M870="",M870="Pending"),"",O870-L870)</f>
        <v/>
      </c>
      <c r="Q870" s="21" t="n"/>
      <c r="R870" s="11">
        <f>IF(OR(G870="",Q870=""),"",G870/Q870-1)</f>
        <v/>
      </c>
      <c r="S870" s="10">
        <f>IF(OR(L870="",J870=""),"",L870*J870)</f>
        <v/>
      </c>
      <c r="T870" s="10">
        <f>IF(P870="","",StartBank+SUM(P$2:P870))</f>
        <v/>
      </c>
    </row>
    <row r="871">
      <c r="A871" s="22" t="n"/>
      <c r="G871" s="21" t="n"/>
      <c r="H871" s="11" t="n"/>
      <c r="I871" s="21">
        <f>IF(OR(H871="",H871=0),"",1/H871)</f>
        <v/>
      </c>
      <c r="J871" s="11">
        <f>IF(OR(G871="",H871=""),"",H871*G871-1)</f>
        <v/>
      </c>
      <c r="K871" s="10">
        <f>IF(OR(G871="",H871="",G871&lt;=1),"",IF(J871&lt;IF(D871="Builder",MinEdgeBuilder,IF(D871="Player",MinEdgePlayer,MinEdgeSingle)),0,ROUND(MIN(IF(D871="Single",KellySingle,KellyBuilder)*(StartBank+SUM(P$1:P870))*J871/(G871-1),IF(D871="Builder",CapBuilder,CapSingle)*Unit),2)))</f>
        <v/>
      </c>
      <c r="L871" s="10" t="n"/>
      <c r="N871" s="10" t="n"/>
      <c r="O871" s="10">
        <f>IF(L871="","",IF(M871="Won",L871*G871,IF(M871="Void",L871,IF(M871="Cash out",N(N871),IF(M871="Lost",0,"")))))</f>
        <v/>
      </c>
      <c r="P871" s="10">
        <f>IF(OR(L871="",M871="",M871="Pending"),"",O871-L871)</f>
        <v/>
      </c>
      <c r="Q871" s="21" t="n"/>
      <c r="R871" s="11">
        <f>IF(OR(G871="",Q871=""),"",G871/Q871-1)</f>
        <v/>
      </c>
      <c r="S871" s="10">
        <f>IF(OR(L871="",J871=""),"",L871*J871)</f>
        <v/>
      </c>
      <c r="T871" s="10">
        <f>IF(P871="","",StartBank+SUM(P$2:P871))</f>
        <v/>
      </c>
    </row>
    <row r="872">
      <c r="A872" s="22" t="n"/>
      <c r="G872" s="21" t="n"/>
      <c r="H872" s="11" t="n"/>
      <c r="I872" s="21">
        <f>IF(OR(H872="",H872=0),"",1/H872)</f>
        <v/>
      </c>
      <c r="J872" s="11">
        <f>IF(OR(G872="",H872=""),"",H872*G872-1)</f>
        <v/>
      </c>
      <c r="K872" s="10">
        <f>IF(OR(G872="",H872="",G872&lt;=1),"",IF(J872&lt;IF(D872="Builder",MinEdgeBuilder,IF(D872="Player",MinEdgePlayer,MinEdgeSingle)),0,ROUND(MIN(IF(D872="Single",KellySingle,KellyBuilder)*(StartBank+SUM(P$1:P871))*J872/(G872-1),IF(D872="Builder",CapBuilder,CapSingle)*Unit),2)))</f>
        <v/>
      </c>
      <c r="L872" s="10" t="n"/>
      <c r="N872" s="10" t="n"/>
      <c r="O872" s="10">
        <f>IF(L872="","",IF(M872="Won",L872*G872,IF(M872="Void",L872,IF(M872="Cash out",N(N872),IF(M872="Lost",0,"")))))</f>
        <v/>
      </c>
      <c r="P872" s="10">
        <f>IF(OR(L872="",M872="",M872="Pending"),"",O872-L872)</f>
        <v/>
      </c>
      <c r="Q872" s="21" t="n"/>
      <c r="R872" s="11">
        <f>IF(OR(G872="",Q872=""),"",G872/Q872-1)</f>
        <v/>
      </c>
      <c r="S872" s="10">
        <f>IF(OR(L872="",J872=""),"",L872*J872)</f>
        <v/>
      </c>
      <c r="T872" s="10">
        <f>IF(P872="","",StartBank+SUM(P$2:P872))</f>
        <v/>
      </c>
    </row>
    <row r="873">
      <c r="A873" s="22" t="n"/>
      <c r="G873" s="21" t="n"/>
      <c r="H873" s="11" t="n"/>
      <c r="I873" s="21">
        <f>IF(OR(H873="",H873=0),"",1/H873)</f>
        <v/>
      </c>
      <c r="J873" s="11">
        <f>IF(OR(G873="",H873=""),"",H873*G873-1)</f>
        <v/>
      </c>
      <c r="K873" s="10">
        <f>IF(OR(G873="",H873="",G873&lt;=1),"",IF(J873&lt;IF(D873="Builder",MinEdgeBuilder,IF(D873="Player",MinEdgePlayer,MinEdgeSingle)),0,ROUND(MIN(IF(D873="Single",KellySingle,KellyBuilder)*(StartBank+SUM(P$1:P872))*J873/(G873-1),IF(D873="Builder",CapBuilder,CapSingle)*Unit),2)))</f>
        <v/>
      </c>
      <c r="L873" s="10" t="n"/>
      <c r="N873" s="10" t="n"/>
      <c r="O873" s="10">
        <f>IF(L873="","",IF(M873="Won",L873*G873,IF(M873="Void",L873,IF(M873="Cash out",N(N873),IF(M873="Lost",0,"")))))</f>
        <v/>
      </c>
      <c r="P873" s="10">
        <f>IF(OR(L873="",M873="",M873="Pending"),"",O873-L873)</f>
        <v/>
      </c>
      <c r="Q873" s="21" t="n"/>
      <c r="R873" s="11">
        <f>IF(OR(G873="",Q873=""),"",G873/Q873-1)</f>
        <v/>
      </c>
      <c r="S873" s="10">
        <f>IF(OR(L873="",J873=""),"",L873*J873)</f>
        <v/>
      </c>
      <c r="T873" s="10">
        <f>IF(P873="","",StartBank+SUM(P$2:P873))</f>
        <v/>
      </c>
    </row>
    <row r="874">
      <c r="A874" s="22" t="n"/>
      <c r="G874" s="21" t="n"/>
      <c r="H874" s="11" t="n"/>
      <c r="I874" s="21">
        <f>IF(OR(H874="",H874=0),"",1/H874)</f>
        <v/>
      </c>
      <c r="J874" s="11">
        <f>IF(OR(G874="",H874=""),"",H874*G874-1)</f>
        <v/>
      </c>
      <c r="K874" s="10">
        <f>IF(OR(G874="",H874="",G874&lt;=1),"",IF(J874&lt;IF(D874="Builder",MinEdgeBuilder,IF(D874="Player",MinEdgePlayer,MinEdgeSingle)),0,ROUND(MIN(IF(D874="Single",KellySingle,KellyBuilder)*(StartBank+SUM(P$1:P873))*J874/(G874-1),IF(D874="Builder",CapBuilder,CapSingle)*Unit),2)))</f>
        <v/>
      </c>
      <c r="L874" s="10" t="n"/>
      <c r="N874" s="10" t="n"/>
      <c r="O874" s="10">
        <f>IF(L874="","",IF(M874="Won",L874*G874,IF(M874="Void",L874,IF(M874="Cash out",N(N874),IF(M874="Lost",0,"")))))</f>
        <v/>
      </c>
      <c r="P874" s="10">
        <f>IF(OR(L874="",M874="",M874="Pending"),"",O874-L874)</f>
        <v/>
      </c>
      <c r="Q874" s="21" t="n"/>
      <c r="R874" s="11">
        <f>IF(OR(G874="",Q874=""),"",G874/Q874-1)</f>
        <v/>
      </c>
      <c r="S874" s="10">
        <f>IF(OR(L874="",J874=""),"",L874*J874)</f>
        <v/>
      </c>
      <c r="T874" s="10">
        <f>IF(P874="","",StartBank+SUM(P$2:P874))</f>
        <v/>
      </c>
    </row>
    <row r="875">
      <c r="A875" s="22" t="n"/>
      <c r="G875" s="21" t="n"/>
      <c r="H875" s="11" t="n"/>
      <c r="I875" s="21">
        <f>IF(OR(H875="",H875=0),"",1/H875)</f>
        <v/>
      </c>
      <c r="J875" s="11">
        <f>IF(OR(G875="",H875=""),"",H875*G875-1)</f>
        <v/>
      </c>
      <c r="K875" s="10">
        <f>IF(OR(G875="",H875="",G875&lt;=1),"",IF(J875&lt;IF(D875="Builder",MinEdgeBuilder,IF(D875="Player",MinEdgePlayer,MinEdgeSingle)),0,ROUND(MIN(IF(D875="Single",KellySingle,KellyBuilder)*(StartBank+SUM(P$1:P874))*J875/(G875-1),IF(D875="Builder",CapBuilder,CapSingle)*Unit),2)))</f>
        <v/>
      </c>
      <c r="L875" s="10" t="n"/>
      <c r="N875" s="10" t="n"/>
      <c r="O875" s="10">
        <f>IF(L875="","",IF(M875="Won",L875*G875,IF(M875="Void",L875,IF(M875="Cash out",N(N875),IF(M875="Lost",0,"")))))</f>
        <v/>
      </c>
      <c r="P875" s="10">
        <f>IF(OR(L875="",M875="",M875="Pending"),"",O875-L875)</f>
        <v/>
      </c>
      <c r="Q875" s="21" t="n"/>
      <c r="R875" s="11">
        <f>IF(OR(G875="",Q875=""),"",G875/Q875-1)</f>
        <v/>
      </c>
      <c r="S875" s="10">
        <f>IF(OR(L875="",J875=""),"",L875*J875)</f>
        <v/>
      </c>
      <c r="T875" s="10">
        <f>IF(P875="","",StartBank+SUM(P$2:P875))</f>
        <v/>
      </c>
    </row>
    <row r="876">
      <c r="A876" s="22" t="n"/>
      <c r="G876" s="21" t="n"/>
      <c r="H876" s="11" t="n"/>
      <c r="I876" s="21">
        <f>IF(OR(H876="",H876=0),"",1/H876)</f>
        <v/>
      </c>
      <c r="J876" s="11">
        <f>IF(OR(G876="",H876=""),"",H876*G876-1)</f>
        <v/>
      </c>
      <c r="K876" s="10">
        <f>IF(OR(G876="",H876="",G876&lt;=1),"",IF(J876&lt;IF(D876="Builder",MinEdgeBuilder,IF(D876="Player",MinEdgePlayer,MinEdgeSingle)),0,ROUND(MIN(IF(D876="Single",KellySingle,KellyBuilder)*(StartBank+SUM(P$1:P875))*J876/(G876-1),IF(D876="Builder",CapBuilder,CapSingle)*Unit),2)))</f>
        <v/>
      </c>
      <c r="L876" s="10" t="n"/>
      <c r="N876" s="10" t="n"/>
      <c r="O876" s="10">
        <f>IF(L876="","",IF(M876="Won",L876*G876,IF(M876="Void",L876,IF(M876="Cash out",N(N876),IF(M876="Lost",0,"")))))</f>
        <v/>
      </c>
      <c r="P876" s="10">
        <f>IF(OR(L876="",M876="",M876="Pending"),"",O876-L876)</f>
        <v/>
      </c>
      <c r="Q876" s="21" t="n"/>
      <c r="R876" s="11">
        <f>IF(OR(G876="",Q876=""),"",G876/Q876-1)</f>
        <v/>
      </c>
      <c r="S876" s="10">
        <f>IF(OR(L876="",J876=""),"",L876*J876)</f>
        <v/>
      </c>
      <c r="T876" s="10">
        <f>IF(P876="","",StartBank+SUM(P$2:P876))</f>
        <v/>
      </c>
    </row>
    <row r="877">
      <c r="A877" s="22" t="n"/>
      <c r="G877" s="21" t="n"/>
      <c r="H877" s="11" t="n"/>
      <c r="I877" s="21">
        <f>IF(OR(H877="",H877=0),"",1/H877)</f>
        <v/>
      </c>
      <c r="J877" s="11">
        <f>IF(OR(G877="",H877=""),"",H877*G877-1)</f>
        <v/>
      </c>
      <c r="K877" s="10">
        <f>IF(OR(G877="",H877="",G877&lt;=1),"",IF(J877&lt;IF(D877="Builder",MinEdgeBuilder,IF(D877="Player",MinEdgePlayer,MinEdgeSingle)),0,ROUND(MIN(IF(D877="Single",KellySingle,KellyBuilder)*(StartBank+SUM(P$1:P876))*J877/(G877-1),IF(D877="Builder",CapBuilder,CapSingle)*Unit),2)))</f>
        <v/>
      </c>
      <c r="L877" s="10" t="n"/>
      <c r="N877" s="10" t="n"/>
      <c r="O877" s="10">
        <f>IF(L877="","",IF(M877="Won",L877*G877,IF(M877="Void",L877,IF(M877="Cash out",N(N877),IF(M877="Lost",0,"")))))</f>
        <v/>
      </c>
      <c r="P877" s="10">
        <f>IF(OR(L877="",M877="",M877="Pending"),"",O877-L877)</f>
        <v/>
      </c>
      <c r="Q877" s="21" t="n"/>
      <c r="R877" s="11">
        <f>IF(OR(G877="",Q877=""),"",G877/Q877-1)</f>
        <v/>
      </c>
      <c r="S877" s="10">
        <f>IF(OR(L877="",J877=""),"",L877*J877)</f>
        <v/>
      </c>
      <c r="T877" s="10">
        <f>IF(P877="","",StartBank+SUM(P$2:P877))</f>
        <v/>
      </c>
    </row>
    <row r="878">
      <c r="A878" s="22" t="n"/>
      <c r="G878" s="21" t="n"/>
      <c r="H878" s="11" t="n"/>
      <c r="I878" s="21">
        <f>IF(OR(H878="",H878=0),"",1/H878)</f>
        <v/>
      </c>
      <c r="J878" s="11">
        <f>IF(OR(G878="",H878=""),"",H878*G878-1)</f>
        <v/>
      </c>
      <c r="K878" s="10">
        <f>IF(OR(G878="",H878="",G878&lt;=1),"",IF(J878&lt;IF(D878="Builder",MinEdgeBuilder,IF(D878="Player",MinEdgePlayer,MinEdgeSingle)),0,ROUND(MIN(IF(D878="Single",KellySingle,KellyBuilder)*(StartBank+SUM(P$1:P877))*J878/(G878-1),IF(D878="Builder",CapBuilder,CapSingle)*Unit),2)))</f>
        <v/>
      </c>
      <c r="L878" s="10" t="n"/>
      <c r="N878" s="10" t="n"/>
      <c r="O878" s="10">
        <f>IF(L878="","",IF(M878="Won",L878*G878,IF(M878="Void",L878,IF(M878="Cash out",N(N878),IF(M878="Lost",0,"")))))</f>
        <v/>
      </c>
      <c r="P878" s="10">
        <f>IF(OR(L878="",M878="",M878="Pending"),"",O878-L878)</f>
        <v/>
      </c>
      <c r="Q878" s="21" t="n"/>
      <c r="R878" s="11">
        <f>IF(OR(G878="",Q878=""),"",G878/Q878-1)</f>
        <v/>
      </c>
      <c r="S878" s="10">
        <f>IF(OR(L878="",J878=""),"",L878*J878)</f>
        <v/>
      </c>
      <c r="T878" s="10">
        <f>IF(P878="","",StartBank+SUM(P$2:P878))</f>
        <v/>
      </c>
    </row>
    <row r="879">
      <c r="A879" s="22" t="n"/>
      <c r="G879" s="21" t="n"/>
      <c r="H879" s="11" t="n"/>
      <c r="I879" s="21">
        <f>IF(OR(H879="",H879=0),"",1/H879)</f>
        <v/>
      </c>
      <c r="J879" s="11">
        <f>IF(OR(G879="",H879=""),"",H879*G879-1)</f>
        <v/>
      </c>
      <c r="K879" s="10">
        <f>IF(OR(G879="",H879="",G879&lt;=1),"",IF(J879&lt;IF(D879="Builder",MinEdgeBuilder,IF(D879="Player",MinEdgePlayer,MinEdgeSingle)),0,ROUND(MIN(IF(D879="Single",KellySingle,KellyBuilder)*(StartBank+SUM(P$1:P878))*J879/(G879-1),IF(D879="Builder",CapBuilder,CapSingle)*Unit),2)))</f>
        <v/>
      </c>
      <c r="L879" s="10" t="n"/>
      <c r="N879" s="10" t="n"/>
      <c r="O879" s="10">
        <f>IF(L879="","",IF(M879="Won",L879*G879,IF(M879="Void",L879,IF(M879="Cash out",N(N879),IF(M879="Lost",0,"")))))</f>
        <v/>
      </c>
      <c r="P879" s="10">
        <f>IF(OR(L879="",M879="",M879="Pending"),"",O879-L879)</f>
        <v/>
      </c>
      <c r="Q879" s="21" t="n"/>
      <c r="R879" s="11">
        <f>IF(OR(G879="",Q879=""),"",G879/Q879-1)</f>
        <v/>
      </c>
      <c r="S879" s="10">
        <f>IF(OR(L879="",J879=""),"",L879*J879)</f>
        <v/>
      </c>
      <c r="T879" s="10">
        <f>IF(P879="","",StartBank+SUM(P$2:P879))</f>
        <v/>
      </c>
    </row>
    <row r="880">
      <c r="A880" s="22" t="n"/>
      <c r="G880" s="21" t="n"/>
      <c r="H880" s="11" t="n"/>
      <c r="I880" s="21">
        <f>IF(OR(H880="",H880=0),"",1/H880)</f>
        <v/>
      </c>
      <c r="J880" s="11">
        <f>IF(OR(G880="",H880=""),"",H880*G880-1)</f>
        <v/>
      </c>
      <c r="K880" s="10">
        <f>IF(OR(G880="",H880="",G880&lt;=1),"",IF(J880&lt;IF(D880="Builder",MinEdgeBuilder,IF(D880="Player",MinEdgePlayer,MinEdgeSingle)),0,ROUND(MIN(IF(D880="Single",KellySingle,KellyBuilder)*(StartBank+SUM(P$1:P879))*J880/(G880-1),IF(D880="Builder",CapBuilder,CapSingle)*Unit),2)))</f>
        <v/>
      </c>
      <c r="L880" s="10" t="n"/>
      <c r="N880" s="10" t="n"/>
      <c r="O880" s="10">
        <f>IF(L880="","",IF(M880="Won",L880*G880,IF(M880="Void",L880,IF(M880="Cash out",N(N880),IF(M880="Lost",0,"")))))</f>
        <v/>
      </c>
      <c r="P880" s="10">
        <f>IF(OR(L880="",M880="",M880="Pending"),"",O880-L880)</f>
        <v/>
      </c>
      <c r="Q880" s="21" t="n"/>
      <c r="R880" s="11">
        <f>IF(OR(G880="",Q880=""),"",G880/Q880-1)</f>
        <v/>
      </c>
      <c r="S880" s="10">
        <f>IF(OR(L880="",J880=""),"",L880*J880)</f>
        <v/>
      </c>
      <c r="T880" s="10">
        <f>IF(P880="","",StartBank+SUM(P$2:P880))</f>
        <v/>
      </c>
    </row>
    <row r="881">
      <c r="A881" s="22" t="n"/>
      <c r="G881" s="21" t="n"/>
      <c r="H881" s="11" t="n"/>
      <c r="I881" s="21">
        <f>IF(OR(H881="",H881=0),"",1/H881)</f>
        <v/>
      </c>
      <c r="J881" s="11">
        <f>IF(OR(G881="",H881=""),"",H881*G881-1)</f>
        <v/>
      </c>
      <c r="K881" s="10">
        <f>IF(OR(G881="",H881="",G881&lt;=1),"",IF(J881&lt;IF(D881="Builder",MinEdgeBuilder,IF(D881="Player",MinEdgePlayer,MinEdgeSingle)),0,ROUND(MIN(IF(D881="Single",KellySingle,KellyBuilder)*(StartBank+SUM(P$1:P880))*J881/(G881-1),IF(D881="Builder",CapBuilder,CapSingle)*Unit),2)))</f>
        <v/>
      </c>
      <c r="L881" s="10" t="n"/>
      <c r="N881" s="10" t="n"/>
      <c r="O881" s="10">
        <f>IF(L881="","",IF(M881="Won",L881*G881,IF(M881="Void",L881,IF(M881="Cash out",N(N881),IF(M881="Lost",0,"")))))</f>
        <v/>
      </c>
      <c r="P881" s="10">
        <f>IF(OR(L881="",M881="",M881="Pending"),"",O881-L881)</f>
        <v/>
      </c>
      <c r="Q881" s="21" t="n"/>
      <c r="R881" s="11">
        <f>IF(OR(G881="",Q881=""),"",G881/Q881-1)</f>
        <v/>
      </c>
      <c r="S881" s="10">
        <f>IF(OR(L881="",J881=""),"",L881*J881)</f>
        <v/>
      </c>
      <c r="T881" s="10">
        <f>IF(P881="","",StartBank+SUM(P$2:P881))</f>
        <v/>
      </c>
    </row>
    <row r="882">
      <c r="A882" s="22" t="n"/>
      <c r="G882" s="21" t="n"/>
      <c r="H882" s="11" t="n"/>
      <c r="I882" s="21">
        <f>IF(OR(H882="",H882=0),"",1/H882)</f>
        <v/>
      </c>
      <c r="J882" s="11">
        <f>IF(OR(G882="",H882=""),"",H882*G882-1)</f>
        <v/>
      </c>
      <c r="K882" s="10">
        <f>IF(OR(G882="",H882="",G882&lt;=1),"",IF(J882&lt;IF(D882="Builder",MinEdgeBuilder,IF(D882="Player",MinEdgePlayer,MinEdgeSingle)),0,ROUND(MIN(IF(D882="Single",KellySingle,KellyBuilder)*(StartBank+SUM(P$1:P881))*J882/(G882-1),IF(D882="Builder",CapBuilder,CapSingle)*Unit),2)))</f>
        <v/>
      </c>
      <c r="L882" s="10" t="n"/>
      <c r="N882" s="10" t="n"/>
      <c r="O882" s="10">
        <f>IF(L882="","",IF(M882="Won",L882*G882,IF(M882="Void",L882,IF(M882="Cash out",N(N882),IF(M882="Lost",0,"")))))</f>
        <v/>
      </c>
      <c r="P882" s="10">
        <f>IF(OR(L882="",M882="",M882="Pending"),"",O882-L882)</f>
        <v/>
      </c>
      <c r="Q882" s="21" t="n"/>
      <c r="R882" s="11">
        <f>IF(OR(G882="",Q882=""),"",G882/Q882-1)</f>
        <v/>
      </c>
      <c r="S882" s="10">
        <f>IF(OR(L882="",J882=""),"",L882*J882)</f>
        <v/>
      </c>
      <c r="T882" s="10">
        <f>IF(P882="","",StartBank+SUM(P$2:P882))</f>
        <v/>
      </c>
    </row>
    <row r="883">
      <c r="A883" s="22" t="n"/>
      <c r="G883" s="21" t="n"/>
      <c r="H883" s="11" t="n"/>
      <c r="I883" s="21">
        <f>IF(OR(H883="",H883=0),"",1/H883)</f>
        <v/>
      </c>
      <c r="J883" s="11">
        <f>IF(OR(G883="",H883=""),"",H883*G883-1)</f>
        <v/>
      </c>
      <c r="K883" s="10">
        <f>IF(OR(G883="",H883="",G883&lt;=1),"",IF(J883&lt;IF(D883="Builder",MinEdgeBuilder,IF(D883="Player",MinEdgePlayer,MinEdgeSingle)),0,ROUND(MIN(IF(D883="Single",KellySingle,KellyBuilder)*(StartBank+SUM(P$1:P882))*J883/(G883-1),IF(D883="Builder",CapBuilder,CapSingle)*Unit),2)))</f>
        <v/>
      </c>
      <c r="L883" s="10" t="n"/>
      <c r="N883" s="10" t="n"/>
      <c r="O883" s="10">
        <f>IF(L883="","",IF(M883="Won",L883*G883,IF(M883="Void",L883,IF(M883="Cash out",N(N883),IF(M883="Lost",0,"")))))</f>
        <v/>
      </c>
      <c r="P883" s="10">
        <f>IF(OR(L883="",M883="",M883="Pending"),"",O883-L883)</f>
        <v/>
      </c>
      <c r="Q883" s="21" t="n"/>
      <c r="R883" s="11">
        <f>IF(OR(G883="",Q883=""),"",G883/Q883-1)</f>
        <v/>
      </c>
      <c r="S883" s="10">
        <f>IF(OR(L883="",J883=""),"",L883*J883)</f>
        <v/>
      </c>
      <c r="T883" s="10">
        <f>IF(P883="","",StartBank+SUM(P$2:P883))</f>
        <v/>
      </c>
    </row>
    <row r="884">
      <c r="A884" s="22" t="n"/>
      <c r="G884" s="21" t="n"/>
      <c r="H884" s="11" t="n"/>
      <c r="I884" s="21">
        <f>IF(OR(H884="",H884=0),"",1/H884)</f>
        <v/>
      </c>
      <c r="J884" s="11">
        <f>IF(OR(G884="",H884=""),"",H884*G884-1)</f>
        <v/>
      </c>
      <c r="K884" s="10">
        <f>IF(OR(G884="",H884="",G884&lt;=1),"",IF(J884&lt;IF(D884="Builder",MinEdgeBuilder,IF(D884="Player",MinEdgePlayer,MinEdgeSingle)),0,ROUND(MIN(IF(D884="Single",KellySingle,KellyBuilder)*(StartBank+SUM(P$1:P883))*J884/(G884-1),IF(D884="Builder",CapBuilder,CapSingle)*Unit),2)))</f>
        <v/>
      </c>
      <c r="L884" s="10" t="n"/>
      <c r="N884" s="10" t="n"/>
      <c r="O884" s="10">
        <f>IF(L884="","",IF(M884="Won",L884*G884,IF(M884="Void",L884,IF(M884="Cash out",N(N884),IF(M884="Lost",0,"")))))</f>
        <v/>
      </c>
      <c r="P884" s="10">
        <f>IF(OR(L884="",M884="",M884="Pending"),"",O884-L884)</f>
        <v/>
      </c>
      <c r="Q884" s="21" t="n"/>
      <c r="R884" s="11">
        <f>IF(OR(G884="",Q884=""),"",G884/Q884-1)</f>
        <v/>
      </c>
      <c r="S884" s="10">
        <f>IF(OR(L884="",J884=""),"",L884*J884)</f>
        <v/>
      </c>
      <c r="T884" s="10">
        <f>IF(P884="","",StartBank+SUM(P$2:P884))</f>
        <v/>
      </c>
    </row>
    <row r="885">
      <c r="A885" s="22" t="n"/>
      <c r="G885" s="21" t="n"/>
      <c r="H885" s="11" t="n"/>
      <c r="I885" s="21">
        <f>IF(OR(H885="",H885=0),"",1/H885)</f>
        <v/>
      </c>
      <c r="J885" s="11">
        <f>IF(OR(G885="",H885=""),"",H885*G885-1)</f>
        <v/>
      </c>
      <c r="K885" s="10">
        <f>IF(OR(G885="",H885="",G885&lt;=1),"",IF(J885&lt;IF(D885="Builder",MinEdgeBuilder,IF(D885="Player",MinEdgePlayer,MinEdgeSingle)),0,ROUND(MIN(IF(D885="Single",KellySingle,KellyBuilder)*(StartBank+SUM(P$1:P884))*J885/(G885-1),IF(D885="Builder",CapBuilder,CapSingle)*Unit),2)))</f>
        <v/>
      </c>
      <c r="L885" s="10" t="n"/>
      <c r="N885" s="10" t="n"/>
      <c r="O885" s="10">
        <f>IF(L885="","",IF(M885="Won",L885*G885,IF(M885="Void",L885,IF(M885="Cash out",N(N885),IF(M885="Lost",0,"")))))</f>
        <v/>
      </c>
      <c r="P885" s="10">
        <f>IF(OR(L885="",M885="",M885="Pending"),"",O885-L885)</f>
        <v/>
      </c>
      <c r="Q885" s="21" t="n"/>
      <c r="R885" s="11">
        <f>IF(OR(G885="",Q885=""),"",G885/Q885-1)</f>
        <v/>
      </c>
      <c r="S885" s="10">
        <f>IF(OR(L885="",J885=""),"",L885*J885)</f>
        <v/>
      </c>
      <c r="T885" s="10">
        <f>IF(P885="","",StartBank+SUM(P$2:P885))</f>
        <v/>
      </c>
    </row>
    <row r="886">
      <c r="A886" s="22" t="n"/>
      <c r="G886" s="21" t="n"/>
      <c r="H886" s="11" t="n"/>
      <c r="I886" s="21">
        <f>IF(OR(H886="",H886=0),"",1/H886)</f>
        <v/>
      </c>
      <c r="J886" s="11">
        <f>IF(OR(G886="",H886=""),"",H886*G886-1)</f>
        <v/>
      </c>
      <c r="K886" s="10">
        <f>IF(OR(G886="",H886="",G886&lt;=1),"",IF(J886&lt;IF(D886="Builder",MinEdgeBuilder,IF(D886="Player",MinEdgePlayer,MinEdgeSingle)),0,ROUND(MIN(IF(D886="Single",KellySingle,KellyBuilder)*(StartBank+SUM(P$1:P885))*J886/(G886-1),IF(D886="Builder",CapBuilder,CapSingle)*Unit),2)))</f>
        <v/>
      </c>
      <c r="L886" s="10" t="n"/>
      <c r="N886" s="10" t="n"/>
      <c r="O886" s="10">
        <f>IF(L886="","",IF(M886="Won",L886*G886,IF(M886="Void",L886,IF(M886="Cash out",N(N886),IF(M886="Lost",0,"")))))</f>
        <v/>
      </c>
      <c r="P886" s="10">
        <f>IF(OR(L886="",M886="",M886="Pending"),"",O886-L886)</f>
        <v/>
      </c>
      <c r="Q886" s="21" t="n"/>
      <c r="R886" s="11">
        <f>IF(OR(G886="",Q886=""),"",G886/Q886-1)</f>
        <v/>
      </c>
      <c r="S886" s="10">
        <f>IF(OR(L886="",J886=""),"",L886*J886)</f>
        <v/>
      </c>
      <c r="T886" s="10">
        <f>IF(P886="","",StartBank+SUM(P$2:P886))</f>
        <v/>
      </c>
    </row>
    <row r="887">
      <c r="A887" s="22" t="n"/>
      <c r="G887" s="21" t="n"/>
      <c r="H887" s="11" t="n"/>
      <c r="I887" s="21">
        <f>IF(OR(H887="",H887=0),"",1/H887)</f>
        <v/>
      </c>
      <c r="J887" s="11">
        <f>IF(OR(G887="",H887=""),"",H887*G887-1)</f>
        <v/>
      </c>
      <c r="K887" s="10">
        <f>IF(OR(G887="",H887="",G887&lt;=1),"",IF(J887&lt;IF(D887="Builder",MinEdgeBuilder,IF(D887="Player",MinEdgePlayer,MinEdgeSingle)),0,ROUND(MIN(IF(D887="Single",KellySingle,KellyBuilder)*(StartBank+SUM(P$1:P886))*J887/(G887-1),IF(D887="Builder",CapBuilder,CapSingle)*Unit),2)))</f>
        <v/>
      </c>
      <c r="L887" s="10" t="n"/>
      <c r="N887" s="10" t="n"/>
      <c r="O887" s="10">
        <f>IF(L887="","",IF(M887="Won",L887*G887,IF(M887="Void",L887,IF(M887="Cash out",N(N887),IF(M887="Lost",0,"")))))</f>
        <v/>
      </c>
      <c r="P887" s="10">
        <f>IF(OR(L887="",M887="",M887="Pending"),"",O887-L887)</f>
        <v/>
      </c>
      <c r="Q887" s="21" t="n"/>
      <c r="R887" s="11">
        <f>IF(OR(G887="",Q887=""),"",G887/Q887-1)</f>
        <v/>
      </c>
      <c r="S887" s="10">
        <f>IF(OR(L887="",J887=""),"",L887*J887)</f>
        <v/>
      </c>
      <c r="T887" s="10">
        <f>IF(P887="","",StartBank+SUM(P$2:P887))</f>
        <v/>
      </c>
    </row>
    <row r="888">
      <c r="A888" s="22" t="n"/>
      <c r="G888" s="21" t="n"/>
      <c r="H888" s="11" t="n"/>
      <c r="I888" s="21">
        <f>IF(OR(H888="",H888=0),"",1/H888)</f>
        <v/>
      </c>
      <c r="J888" s="11">
        <f>IF(OR(G888="",H888=""),"",H888*G888-1)</f>
        <v/>
      </c>
      <c r="K888" s="10">
        <f>IF(OR(G888="",H888="",G888&lt;=1),"",IF(J888&lt;IF(D888="Builder",MinEdgeBuilder,IF(D888="Player",MinEdgePlayer,MinEdgeSingle)),0,ROUND(MIN(IF(D888="Single",KellySingle,KellyBuilder)*(StartBank+SUM(P$1:P887))*J888/(G888-1),IF(D888="Builder",CapBuilder,CapSingle)*Unit),2)))</f>
        <v/>
      </c>
      <c r="L888" s="10" t="n"/>
      <c r="N888" s="10" t="n"/>
      <c r="O888" s="10">
        <f>IF(L888="","",IF(M888="Won",L888*G888,IF(M888="Void",L888,IF(M888="Cash out",N(N888),IF(M888="Lost",0,"")))))</f>
        <v/>
      </c>
      <c r="P888" s="10">
        <f>IF(OR(L888="",M888="",M888="Pending"),"",O888-L888)</f>
        <v/>
      </c>
      <c r="Q888" s="21" t="n"/>
      <c r="R888" s="11">
        <f>IF(OR(G888="",Q888=""),"",G888/Q888-1)</f>
        <v/>
      </c>
      <c r="S888" s="10">
        <f>IF(OR(L888="",J888=""),"",L888*J888)</f>
        <v/>
      </c>
      <c r="T888" s="10">
        <f>IF(P888="","",StartBank+SUM(P$2:P888))</f>
        <v/>
      </c>
    </row>
    <row r="889">
      <c r="A889" s="22" t="n"/>
      <c r="G889" s="21" t="n"/>
      <c r="H889" s="11" t="n"/>
      <c r="I889" s="21">
        <f>IF(OR(H889="",H889=0),"",1/H889)</f>
        <v/>
      </c>
      <c r="J889" s="11">
        <f>IF(OR(G889="",H889=""),"",H889*G889-1)</f>
        <v/>
      </c>
      <c r="K889" s="10">
        <f>IF(OR(G889="",H889="",G889&lt;=1),"",IF(J889&lt;IF(D889="Builder",MinEdgeBuilder,IF(D889="Player",MinEdgePlayer,MinEdgeSingle)),0,ROUND(MIN(IF(D889="Single",KellySingle,KellyBuilder)*(StartBank+SUM(P$1:P888))*J889/(G889-1),IF(D889="Builder",CapBuilder,CapSingle)*Unit),2)))</f>
        <v/>
      </c>
      <c r="L889" s="10" t="n"/>
      <c r="N889" s="10" t="n"/>
      <c r="O889" s="10">
        <f>IF(L889="","",IF(M889="Won",L889*G889,IF(M889="Void",L889,IF(M889="Cash out",N(N889),IF(M889="Lost",0,"")))))</f>
        <v/>
      </c>
      <c r="P889" s="10">
        <f>IF(OR(L889="",M889="",M889="Pending"),"",O889-L889)</f>
        <v/>
      </c>
      <c r="Q889" s="21" t="n"/>
      <c r="R889" s="11">
        <f>IF(OR(G889="",Q889=""),"",G889/Q889-1)</f>
        <v/>
      </c>
      <c r="S889" s="10">
        <f>IF(OR(L889="",J889=""),"",L889*J889)</f>
        <v/>
      </c>
      <c r="T889" s="10">
        <f>IF(P889="","",StartBank+SUM(P$2:P889))</f>
        <v/>
      </c>
    </row>
    <row r="890">
      <c r="A890" s="22" t="n"/>
      <c r="G890" s="21" t="n"/>
      <c r="H890" s="11" t="n"/>
      <c r="I890" s="21">
        <f>IF(OR(H890="",H890=0),"",1/H890)</f>
        <v/>
      </c>
      <c r="J890" s="11">
        <f>IF(OR(G890="",H890=""),"",H890*G890-1)</f>
        <v/>
      </c>
      <c r="K890" s="10">
        <f>IF(OR(G890="",H890="",G890&lt;=1),"",IF(J890&lt;IF(D890="Builder",MinEdgeBuilder,IF(D890="Player",MinEdgePlayer,MinEdgeSingle)),0,ROUND(MIN(IF(D890="Single",KellySingle,KellyBuilder)*(StartBank+SUM(P$1:P889))*J890/(G890-1),IF(D890="Builder",CapBuilder,CapSingle)*Unit),2)))</f>
        <v/>
      </c>
      <c r="L890" s="10" t="n"/>
      <c r="N890" s="10" t="n"/>
      <c r="O890" s="10">
        <f>IF(L890="","",IF(M890="Won",L890*G890,IF(M890="Void",L890,IF(M890="Cash out",N(N890),IF(M890="Lost",0,"")))))</f>
        <v/>
      </c>
      <c r="P890" s="10">
        <f>IF(OR(L890="",M890="",M890="Pending"),"",O890-L890)</f>
        <v/>
      </c>
      <c r="Q890" s="21" t="n"/>
      <c r="R890" s="11">
        <f>IF(OR(G890="",Q890=""),"",G890/Q890-1)</f>
        <v/>
      </c>
      <c r="S890" s="10">
        <f>IF(OR(L890="",J890=""),"",L890*J890)</f>
        <v/>
      </c>
      <c r="T890" s="10">
        <f>IF(P890="","",StartBank+SUM(P$2:P890))</f>
        <v/>
      </c>
    </row>
    <row r="891">
      <c r="A891" s="22" t="n"/>
      <c r="G891" s="21" t="n"/>
      <c r="H891" s="11" t="n"/>
      <c r="I891" s="21">
        <f>IF(OR(H891="",H891=0),"",1/H891)</f>
        <v/>
      </c>
      <c r="J891" s="11">
        <f>IF(OR(G891="",H891=""),"",H891*G891-1)</f>
        <v/>
      </c>
      <c r="K891" s="10">
        <f>IF(OR(G891="",H891="",G891&lt;=1),"",IF(J891&lt;IF(D891="Builder",MinEdgeBuilder,IF(D891="Player",MinEdgePlayer,MinEdgeSingle)),0,ROUND(MIN(IF(D891="Single",KellySingle,KellyBuilder)*(StartBank+SUM(P$1:P890))*J891/(G891-1),IF(D891="Builder",CapBuilder,CapSingle)*Unit),2)))</f>
        <v/>
      </c>
      <c r="L891" s="10" t="n"/>
      <c r="N891" s="10" t="n"/>
      <c r="O891" s="10">
        <f>IF(L891="","",IF(M891="Won",L891*G891,IF(M891="Void",L891,IF(M891="Cash out",N(N891),IF(M891="Lost",0,"")))))</f>
        <v/>
      </c>
      <c r="P891" s="10">
        <f>IF(OR(L891="",M891="",M891="Pending"),"",O891-L891)</f>
        <v/>
      </c>
      <c r="Q891" s="21" t="n"/>
      <c r="R891" s="11">
        <f>IF(OR(G891="",Q891=""),"",G891/Q891-1)</f>
        <v/>
      </c>
      <c r="S891" s="10">
        <f>IF(OR(L891="",J891=""),"",L891*J891)</f>
        <v/>
      </c>
      <c r="T891" s="10">
        <f>IF(P891="","",StartBank+SUM(P$2:P891))</f>
        <v/>
      </c>
    </row>
    <row r="892">
      <c r="A892" s="22" t="n"/>
      <c r="G892" s="21" t="n"/>
      <c r="H892" s="11" t="n"/>
      <c r="I892" s="21">
        <f>IF(OR(H892="",H892=0),"",1/H892)</f>
        <v/>
      </c>
      <c r="J892" s="11">
        <f>IF(OR(G892="",H892=""),"",H892*G892-1)</f>
        <v/>
      </c>
      <c r="K892" s="10">
        <f>IF(OR(G892="",H892="",G892&lt;=1),"",IF(J892&lt;IF(D892="Builder",MinEdgeBuilder,IF(D892="Player",MinEdgePlayer,MinEdgeSingle)),0,ROUND(MIN(IF(D892="Single",KellySingle,KellyBuilder)*(StartBank+SUM(P$1:P891))*J892/(G892-1),IF(D892="Builder",CapBuilder,CapSingle)*Unit),2)))</f>
        <v/>
      </c>
      <c r="L892" s="10" t="n"/>
      <c r="N892" s="10" t="n"/>
      <c r="O892" s="10">
        <f>IF(L892="","",IF(M892="Won",L892*G892,IF(M892="Void",L892,IF(M892="Cash out",N(N892),IF(M892="Lost",0,"")))))</f>
        <v/>
      </c>
      <c r="P892" s="10">
        <f>IF(OR(L892="",M892="",M892="Pending"),"",O892-L892)</f>
        <v/>
      </c>
      <c r="Q892" s="21" t="n"/>
      <c r="R892" s="11">
        <f>IF(OR(G892="",Q892=""),"",G892/Q892-1)</f>
        <v/>
      </c>
      <c r="S892" s="10">
        <f>IF(OR(L892="",J892=""),"",L892*J892)</f>
        <v/>
      </c>
      <c r="T892" s="10">
        <f>IF(P892="","",StartBank+SUM(P$2:P892))</f>
        <v/>
      </c>
    </row>
    <row r="893">
      <c r="A893" s="22" t="n"/>
      <c r="G893" s="21" t="n"/>
      <c r="H893" s="11" t="n"/>
      <c r="I893" s="21">
        <f>IF(OR(H893="",H893=0),"",1/H893)</f>
        <v/>
      </c>
      <c r="J893" s="11">
        <f>IF(OR(G893="",H893=""),"",H893*G893-1)</f>
        <v/>
      </c>
      <c r="K893" s="10">
        <f>IF(OR(G893="",H893="",G893&lt;=1),"",IF(J893&lt;IF(D893="Builder",MinEdgeBuilder,IF(D893="Player",MinEdgePlayer,MinEdgeSingle)),0,ROUND(MIN(IF(D893="Single",KellySingle,KellyBuilder)*(StartBank+SUM(P$1:P892))*J893/(G893-1),IF(D893="Builder",CapBuilder,CapSingle)*Unit),2)))</f>
        <v/>
      </c>
      <c r="L893" s="10" t="n"/>
      <c r="N893" s="10" t="n"/>
      <c r="O893" s="10">
        <f>IF(L893="","",IF(M893="Won",L893*G893,IF(M893="Void",L893,IF(M893="Cash out",N(N893),IF(M893="Lost",0,"")))))</f>
        <v/>
      </c>
      <c r="P893" s="10">
        <f>IF(OR(L893="",M893="",M893="Pending"),"",O893-L893)</f>
        <v/>
      </c>
      <c r="Q893" s="21" t="n"/>
      <c r="R893" s="11">
        <f>IF(OR(G893="",Q893=""),"",G893/Q893-1)</f>
        <v/>
      </c>
      <c r="S893" s="10">
        <f>IF(OR(L893="",J893=""),"",L893*J893)</f>
        <v/>
      </c>
      <c r="T893" s="10">
        <f>IF(P893="","",StartBank+SUM(P$2:P893))</f>
        <v/>
      </c>
    </row>
    <row r="894">
      <c r="A894" s="22" t="n"/>
      <c r="G894" s="21" t="n"/>
      <c r="H894" s="11" t="n"/>
      <c r="I894" s="21">
        <f>IF(OR(H894="",H894=0),"",1/H894)</f>
        <v/>
      </c>
      <c r="J894" s="11">
        <f>IF(OR(G894="",H894=""),"",H894*G894-1)</f>
        <v/>
      </c>
      <c r="K894" s="10">
        <f>IF(OR(G894="",H894="",G894&lt;=1),"",IF(J894&lt;IF(D894="Builder",MinEdgeBuilder,IF(D894="Player",MinEdgePlayer,MinEdgeSingle)),0,ROUND(MIN(IF(D894="Single",KellySingle,KellyBuilder)*(StartBank+SUM(P$1:P893))*J894/(G894-1),IF(D894="Builder",CapBuilder,CapSingle)*Unit),2)))</f>
        <v/>
      </c>
      <c r="L894" s="10" t="n"/>
      <c r="N894" s="10" t="n"/>
      <c r="O894" s="10">
        <f>IF(L894="","",IF(M894="Won",L894*G894,IF(M894="Void",L894,IF(M894="Cash out",N(N894),IF(M894="Lost",0,"")))))</f>
        <v/>
      </c>
      <c r="P894" s="10">
        <f>IF(OR(L894="",M894="",M894="Pending"),"",O894-L894)</f>
        <v/>
      </c>
      <c r="Q894" s="21" t="n"/>
      <c r="R894" s="11">
        <f>IF(OR(G894="",Q894=""),"",G894/Q894-1)</f>
        <v/>
      </c>
      <c r="S894" s="10">
        <f>IF(OR(L894="",J894=""),"",L894*J894)</f>
        <v/>
      </c>
      <c r="T894" s="10">
        <f>IF(P894="","",StartBank+SUM(P$2:P894))</f>
        <v/>
      </c>
    </row>
    <row r="895">
      <c r="A895" s="22" t="n"/>
      <c r="G895" s="21" t="n"/>
      <c r="H895" s="11" t="n"/>
      <c r="I895" s="21">
        <f>IF(OR(H895="",H895=0),"",1/H895)</f>
        <v/>
      </c>
      <c r="J895" s="11">
        <f>IF(OR(G895="",H895=""),"",H895*G895-1)</f>
        <v/>
      </c>
      <c r="K895" s="10">
        <f>IF(OR(G895="",H895="",G895&lt;=1),"",IF(J895&lt;IF(D895="Builder",MinEdgeBuilder,IF(D895="Player",MinEdgePlayer,MinEdgeSingle)),0,ROUND(MIN(IF(D895="Single",KellySingle,KellyBuilder)*(StartBank+SUM(P$1:P894))*J895/(G895-1),IF(D895="Builder",CapBuilder,CapSingle)*Unit),2)))</f>
        <v/>
      </c>
      <c r="L895" s="10" t="n"/>
      <c r="N895" s="10" t="n"/>
      <c r="O895" s="10">
        <f>IF(L895="","",IF(M895="Won",L895*G895,IF(M895="Void",L895,IF(M895="Cash out",N(N895),IF(M895="Lost",0,"")))))</f>
        <v/>
      </c>
      <c r="P895" s="10">
        <f>IF(OR(L895="",M895="",M895="Pending"),"",O895-L895)</f>
        <v/>
      </c>
      <c r="Q895" s="21" t="n"/>
      <c r="R895" s="11">
        <f>IF(OR(G895="",Q895=""),"",G895/Q895-1)</f>
        <v/>
      </c>
      <c r="S895" s="10">
        <f>IF(OR(L895="",J895=""),"",L895*J895)</f>
        <v/>
      </c>
      <c r="T895" s="10">
        <f>IF(P895="","",StartBank+SUM(P$2:P895))</f>
        <v/>
      </c>
    </row>
    <row r="896">
      <c r="A896" s="22" t="n"/>
      <c r="G896" s="21" t="n"/>
      <c r="H896" s="11" t="n"/>
      <c r="I896" s="21">
        <f>IF(OR(H896="",H896=0),"",1/H896)</f>
        <v/>
      </c>
      <c r="J896" s="11">
        <f>IF(OR(G896="",H896=""),"",H896*G896-1)</f>
        <v/>
      </c>
      <c r="K896" s="10">
        <f>IF(OR(G896="",H896="",G896&lt;=1),"",IF(J896&lt;IF(D896="Builder",MinEdgeBuilder,IF(D896="Player",MinEdgePlayer,MinEdgeSingle)),0,ROUND(MIN(IF(D896="Single",KellySingle,KellyBuilder)*(StartBank+SUM(P$1:P895))*J896/(G896-1),IF(D896="Builder",CapBuilder,CapSingle)*Unit),2)))</f>
        <v/>
      </c>
      <c r="L896" s="10" t="n"/>
      <c r="N896" s="10" t="n"/>
      <c r="O896" s="10">
        <f>IF(L896="","",IF(M896="Won",L896*G896,IF(M896="Void",L896,IF(M896="Cash out",N(N896),IF(M896="Lost",0,"")))))</f>
        <v/>
      </c>
      <c r="P896" s="10">
        <f>IF(OR(L896="",M896="",M896="Pending"),"",O896-L896)</f>
        <v/>
      </c>
      <c r="Q896" s="21" t="n"/>
      <c r="R896" s="11">
        <f>IF(OR(G896="",Q896=""),"",G896/Q896-1)</f>
        <v/>
      </c>
      <c r="S896" s="10">
        <f>IF(OR(L896="",J896=""),"",L896*J896)</f>
        <v/>
      </c>
      <c r="T896" s="10">
        <f>IF(P896="","",StartBank+SUM(P$2:P896))</f>
        <v/>
      </c>
    </row>
    <row r="897">
      <c r="A897" s="22" t="n"/>
      <c r="G897" s="21" t="n"/>
      <c r="H897" s="11" t="n"/>
      <c r="I897" s="21">
        <f>IF(OR(H897="",H897=0),"",1/H897)</f>
        <v/>
      </c>
      <c r="J897" s="11">
        <f>IF(OR(G897="",H897=""),"",H897*G897-1)</f>
        <v/>
      </c>
      <c r="K897" s="10">
        <f>IF(OR(G897="",H897="",G897&lt;=1),"",IF(J897&lt;IF(D897="Builder",MinEdgeBuilder,IF(D897="Player",MinEdgePlayer,MinEdgeSingle)),0,ROUND(MIN(IF(D897="Single",KellySingle,KellyBuilder)*(StartBank+SUM(P$1:P896))*J897/(G897-1),IF(D897="Builder",CapBuilder,CapSingle)*Unit),2)))</f>
        <v/>
      </c>
      <c r="L897" s="10" t="n"/>
      <c r="N897" s="10" t="n"/>
      <c r="O897" s="10">
        <f>IF(L897="","",IF(M897="Won",L897*G897,IF(M897="Void",L897,IF(M897="Cash out",N(N897),IF(M897="Lost",0,"")))))</f>
        <v/>
      </c>
      <c r="P897" s="10">
        <f>IF(OR(L897="",M897="",M897="Pending"),"",O897-L897)</f>
        <v/>
      </c>
      <c r="Q897" s="21" t="n"/>
      <c r="R897" s="11">
        <f>IF(OR(G897="",Q897=""),"",G897/Q897-1)</f>
        <v/>
      </c>
      <c r="S897" s="10">
        <f>IF(OR(L897="",J897=""),"",L897*J897)</f>
        <v/>
      </c>
      <c r="T897" s="10">
        <f>IF(P897="","",StartBank+SUM(P$2:P897))</f>
        <v/>
      </c>
    </row>
    <row r="898">
      <c r="A898" s="22" t="n"/>
      <c r="G898" s="21" t="n"/>
      <c r="H898" s="11" t="n"/>
      <c r="I898" s="21">
        <f>IF(OR(H898="",H898=0),"",1/H898)</f>
        <v/>
      </c>
      <c r="J898" s="11">
        <f>IF(OR(G898="",H898=""),"",H898*G898-1)</f>
        <v/>
      </c>
      <c r="K898" s="10">
        <f>IF(OR(G898="",H898="",G898&lt;=1),"",IF(J898&lt;IF(D898="Builder",MinEdgeBuilder,IF(D898="Player",MinEdgePlayer,MinEdgeSingle)),0,ROUND(MIN(IF(D898="Single",KellySingle,KellyBuilder)*(StartBank+SUM(P$1:P897))*J898/(G898-1),IF(D898="Builder",CapBuilder,CapSingle)*Unit),2)))</f>
        <v/>
      </c>
      <c r="L898" s="10" t="n"/>
      <c r="N898" s="10" t="n"/>
      <c r="O898" s="10">
        <f>IF(L898="","",IF(M898="Won",L898*G898,IF(M898="Void",L898,IF(M898="Cash out",N(N898),IF(M898="Lost",0,"")))))</f>
        <v/>
      </c>
      <c r="P898" s="10">
        <f>IF(OR(L898="",M898="",M898="Pending"),"",O898-L898)</f>
        <v/>
      </c>
      <c r="Q898" s="21" t="n"/>
      <c r="R898" s="11">
        <f>IF(OR(G898="",Q898=""),"",G898/Q898-1)</f>
        <v/>
      </c>
      <c r="S898" s="10">
        <f>IF(OR(L898="",J898=""),"",L898*J898)</f>
        <v/>
      </c>
      <c r="T898" s="10">
        <f>IF(P898="","",StartBank+SUM(P$2:P898))</f>
        <v/>
      </c>
    </row>
    <row r="899">
      <c r="A899" s="22" t="n"/>
      <c r="G899" s="21" t="n"/>
      <c r="H899" s="11" t="n"/>
      <c r="I899" s="21">
        <f>IF(OR(H899="",H899=0),"",1/H899)</f>
        <v/>
      </c>
      <c r="J899" s="11">
        <f>IF(OR(G899="",H899=""),"",H899*G899-1)</f>
        <v/>
      </c>
      <c r="K899" s="10">
        <f>IF(OR(G899="",H899="",G899&lt;=1),"",IF(J899&lt;IF(D899="Builder",MinEdgeBuilder,IF(D899="Player",MinEdgePlayer,MinEdgeSingle)),0,ROUND(MIN(IF(D899="Single",KellySingle,KellyBuilder)*(StartBank+SUM(P$1:P898))*J899/(G899-1),IF(D899="Builder",CapBuilder,CapSingle)*Unit),2)))</f>
        <v/>
      </c>
      <c r="L899" s="10" t="n"/>
      <c r="N899" s="10" t="n"/>
      <c r="O899" s="10">
        <f>IF(L899="","",IF(M899="Won",L899*G899,IF(M899="Void",L899,IF(M899="Cash out",N(N899),IF(M899="Lost",0,"")))))</f>
        <v/>
      </c>
      <c r="P899" s="10">
        <f>IF(OR(L899="",M899="",M899="Pending"),"",O899-L899)</f>
        <v/>
      </c>
      <c r="Q899" s="21" t="n"/>
      <c r="R899" s="11">
        <f>IF(OR(G899="",Q899=""),"",G899/Q899-1)</f>
        <v/>
      </c>
      <c r="S899" s="10">
        <f>IF(OR(L899="",J899=""),"",L899*J899)</f>
        <v/>
      </c>
      <c r="T899" s="10">
        <f>IF(P899="","",StartBank+SUM(P$2:P899))</f>
        <v/>
      </c>
    </row>
    <row r="900">
      <c r="A900" s="22" t="n"/>
      <c r="G900" s="21" t="n"/>
      <c r="H900" s="11" t="n"/>
      <c r="I900" s="21">
        <f>IF(OR(H900="",H900=0),"",1/H900)</f>
        <v/>
      </c>
      <c r="J900" s="11">
        <f>IF(OR(G900="",H900=""),"",H900*G900-1)</f>
        <v/>
      </c>
      <c r="K900" s="10">
        <f>IF(OR(G900="",H900="",G900&lt;=1),"",IF(J900&lt;IF(D900="Builder",MinEdgeBuilder,IF(D900="Player",MinEdgePlayer,MinEdgeSingle)),0,ROUND(MIN(IF(D900="Single",KellySingle,KellyBuilder)*(StartBank+SUM(P$1:P899))*J900/(G900-1),IF(D900="Builder",CapBuilder,CapSingle)*Unit),2)))</f>
        <v/>
      </c>
      <c r="L900" s="10" t="n"/>
      <c r="N900" s="10" t="n"/>
      <c r="O900" s="10">
        <f>IF(L900="","",IF(M900="Won",L900*G900,IF(M900="Void",L900,IF(M900="Cash out",N(N900),IF(M900="Lost",0,"")))))</f>
        <v/>
      </c>
      <c r="P900" s="10">
        <f>IF(OR(L900="",M900="",M900="Pending"),"",O900-L900)</f>
        <v/>
      </c>
      <c r="Q900" s="21" t="n"/>
      <c r="R900" s="11">
        <f>IF(OR(G900="",Q900=""),"",G900/Q900-1)</f>
        <v/>
      </c>
      <c r="S900" s="10">
        <f>IF(OR(L900="",J900=""),"",L900*J900)</f>
        <v/>
      </c>
      <c r="T900" s="10">
        <f>IF(P900="","",StartBank+SUM(P$2:P900))</f>
        <v/>
      </c>
    </row>
    <row r="901">
      <c r="A901" s="22" t="n"/>
      <c r="G901" s="21" t="n"/>
      <c r="H901" s="11" t="n"/>
      <c r="I901" s="21">
        <f>IF(OR(H901="",H901=0),"",1/H901)</f>
        <v/>
      </c>
      <c r="J901" s="11">
        <f>IF(OR(G901="",H901=""),"",H901*G901-1)</f>
        <v/>
      </c>
      <c r="K901" s="10">
        <f>IF(OR(G901="",H901="",G901&lt;=1),"",IF(J901&lt;IF(D901="Builder",MinEdgeBuilder,IF(D901="Player",MinEdgePlayer,MinEdgeSingle)),0,ROUND(MIN(IF(D901="Single",KellySingle,KellyBuilder)*(StartBank+SUM(P$1:P900))*J901/(G901-1),IF(D901="Builder",CapBuilder,CapSingle)*Unit),2)))</f>
        <v/>
      </c>
      <c r="L901" s="10" t="n"/>
      <c r="N901" s="10" t="n"/>
      <c r="O901" s="10">
        <f>IF(L901="","",IF(M901="Won",L901*G901,IF(M901="Void",L901,IF(M901="Cash out",N(N901),IF(M901="Lost",0,"")))))</f>
        <v/>
      </c>
      <c r="P901" s="10">
        <f>IF(OR(L901="",M901="",M901="Pending"),"",O901-L901)</f>
        <v/>
      </c>
      <c r="Q901" s="21" t="n"/>
      <c r="R901" s="11">
        <f>IF(OR(G901="",Q901=""),"",G901/Q901-1)</f>
        <v/>
      </c>
      <c r="S901" s="10">
        <f>IF(OR(L901="",J901=""),"",L901*J901)</f>
        <v/>
      </c>
      <c r="T901" s="10">
        <f>IF(P901="","",StartBank+SUM(P$2:P901))</f>
        <v/>
      </c>
    </row>
    <row r="902">
      <c r="A902" s="22" t="n"/>
      <c r="G902" s="21" t="n"/>
      <c r="H902" s="11" t="n"/>
      <c r="I902" s="21">
        <f>IF(OR(H902="",H902=0),"",1/H902)</f>
        <v/>
      </c>
      <c r="J902" s="11">
        <f>IF(OR(G902="",H902=""),"",H902*G902-1)</f>
        <v/>
      </c>
      <c r="K902" s="10">
        <f>IF(OR(G902="",H902="",G902&lt;=1),"",IF(J902&lt;IF(D902="Builder",MinEdgeBuilder,IF(D902="Player",MinEdgePlayer,MinEdgeSingle)),0,ROUND(MIN(IF(D902="Single",KellySingle,KellyBuilder)*(StartBank+SUM(P$1:P901))*J902/(G902-1),IF(D902="Builder",CapBuilder,CapSingle)*Unit),2)))</f>
        <v/>
      </c>
      <c r="L902" s="10" t="n"/>
      <c r="N902" s="10" t="n"/>
      <c r="O902" s="10">
        <f>IF(L902="","",IF(M902="Won",L902*G902,IF(M902="Void",L902,IF(M902="Cash out",N(N902),IF(M902="Lost",0,"")))))</f>
        <v/>
      </c>
      <c r="P902" s="10">
        <f>IF(OR(L902="",M902="",M902="Pending"),"",O902-L902)</f>
        <v/>
      </c>
      <c r="Q902" s="21" t="n"/>
      <c r="R902" s="11">
        <f>IF(OR(G902="",Q902=""),"",G902/Q902-1)</f>
        <v/>
      </c>
      <c r="S902" s="10">
        <f>IF(OR(L902="",J902=""),"",L902*J902)</f>
        <v/>
      </c>
      <c r="T902" s="10">
        <f>IF(P902="","",StartBank+SUM(P$2:P902))</f>
        <v/>
      </c>
    </row>
    <row r="903">
      <c r="A903" s="22" t="n"/>
      <c r="G903" s="21" t="n"/>
      <c r="H903" s="11" t="n"/>
      <c r="I903" s="21">
        <f>IF(OR(H903="",H903=0),"",1/H903)</f>
        <v/>
      </c>
      <c r="J903" s="11">
        <f>IF(OR(G903="",H903=""),"",H903*G903-1)</f>
        <v/>
      </c>
      <c r="K903" s="10">
        <f>IF(OR(G903="",H903="",G903&lt;=1),"",IF(J903&lt;IF(D903="Builder",MinEdgeBuilder,IF(D903="Player",MinEdgePlayer,MinEdgeSingle)),0,ROUND(MIN(IF(D903="Single",KellySingle,KellyBuilder)*(StartBank+SUM(P$1:P902))*J903/(G903-1),IF(D903="Builder",CapBuilder,CapSingle)*Unit),2)))</f>
        <v/>
      </c>
      <c r="L903" s="10" t="n"/>
      <c r="N903" s="10" t="n"/>
      <c r="O903" s="10">
        <f>IF(L903="","",IF(M903="Won",L903*G903,IF(M903="Void",L903,IF(M903="Cash out",N(N903),IF(M903="Lost",0,"")))))</f>
        <v/>
      </c>
      <c r="P903" s="10">
        <f>IF(OR(L903="",M903="",M903="Pending"),"",O903-L903)</f>
        <v/>
      </c>
      <c r="Q903" s="21" t="n"/>
      <c r="R903" s="11">
        <f>IF(OR(G903="",Q903=""),"",G903/Q903-1)</f>
        <v/>
      </c>
      <c r="S903" s="10">
        <f>IF(OR(L903="",J903=""),"",L903*J903)</f>
        <v/>
      </c>
      <c r="T903" s="10">
        <f>IF(P903="","",StartBank+SUM(P$2:P903))</f>
        <v/>
      </c>
    </row>
    <row r="904">
      <c r="A904" s="22" t="n"/>
      <c r="G904" s="21" t="n"/>
      <c r="H904" s="11" t="n"/>
      <c r="I904" s="21">
        <f>IF(OR(H904="",H904=0),"",1/H904)</f>
        <v/>
      </c>
      <c r="J904" s="11">
        <f>IF(OR(G904="",H904=""),"",H904*G904-1)</f>
        <v/>
      </c>
      <c r="K904" s="10">
        <f>IF(OR(G904="",H904="",G904&lt;=1),"",IF(J904&lt;IF(D904="Builder",MinEdgeBuilder,IF(D904="Player",MinEdgePlayer,MinEdgeSingle)),0,ROUND(MIN(IF(D904="Single",KellySingle,KellyBuilder)*(StartBank+SUM(P$1:P903))*J904/(G904-1),IF(D904="Builder",CapBuilder,CapSingle)*Unit),2)))</f>
        <v/>
      </c>
      <c r="L904" s="10" t="n"/>
      <c r="N904" s="10" t="n"/>
      <c r="O904" s="10">
        <f>IF(L904="","",IF(M904="Won",L904*G904,IF(M904="Void",L904,IF(M904="Cash out",N(N904),IF(M904="Lost",0,"")))))</f>
        <v/>
      </c>
      <c r="P904" s="10">
        <f>IF(OR(L904="",M904="",M904="Pending"),"",O904-L904)</f>
        <v/>
      </c>
      <c r="Q904" s="21" t="n"/>
      <c r="R904" s="11">
        <f>IF(OR(G904="",Q904=""),"",G904/Q904-1)</f>
        <v/>
      </c>
      <c r="S904" s="10">
        <f>IF(OR(L904="",J904=""),"",L904*J904)</f>
        <v/>
      </c>
      <c r="T904" s="10">
        <f>IF(P904="","",StartBank+SUM(P$2:P904))</f>
        <v/>
      </c>
    </row>
    <row r="905">
      <c r="A905" s="22" t="n"/>
      <c r="G905" s="21" t="n"/>
      <c r="H905" s="11" t="n"/>
      <c r="I905" s="21">
        <f>IF(OR(H905="",H905=0),"",1/H905)</f>
        <v/>
      </c>
      <c r="J905" s="11">
        <f>IF(OR(G905="",H905=""),"",H905*G905-1)</f>
        <v/>
      </c>
      <c r="K905" s="10">
        <f>IF(OR(G905="",H905="",G905&lt;=1),"",IF(J905&lt;IF(D905="Builder",MinEdgeBuilder,IF(D905="Player",MinEdgePlayer,MinEdgeSingle)),0,ROUND(MIN(IF(D905="Single",KellySingle,KellyBuilder)*(StartBank+SUM(P$1:P904))*J905/(G905-1),IF(D905="Builder",CapBuilder,CapSingle)*Unit),2)))</f>
        <v/>
      </c>
      <c r="L905" s="10" t="n"/>
      <c r="N905" s="10" t="n"/>
      <c r="O905" s="10">
        <f>IF(L905="","",IF(M905="Won",L905*G905,IF(M905="Void",L905,IF(M905="Cash out",N(N905),IF(M905="Lost",0,"")))))</f>
        <v/>
      </c>
      <c r="P905" s="10">
        <f>IF(OR(L905="",M905="",M905="Pending"),"",O905-L905)</f>
        <v/>
      </c>
      <c r="Q905" s="21" t="n"/>
      <c r="R905" s="11">
        <f>IF(OR(G905="",Q905=""),"",G905/Q905-1)</f>
        <v/>
      </c>
      <c r="S905" s="10">
        <f>IF(OR(L905="",J905=""),"",L905*J905)</f>
        <v/>
      </c>
      <c r="T905" s="10">
        <f>IF(P905="","",StartBank+SUM(P$2:P905))</f>
        <v/>
      </c>
    </row>
    <row r="906">
      <c r="A906" s="22" t="n"/>
      <c r="G906" s="21" t="n"/>
      <c r="H906" s="11" t="n"/>
      <c r="I906" s="21">
        <f>IF(OR(H906="",H906=0),"",1/H906)</f>
        <v/>
      </c>
      <c r="J906" s="11">
        <f>IF(OR(G906="",H906=""),"",H906*G906-1)</f>
        <v/>
      </c>
      <c r="K906" s="10">
        <f>IF(OR(G906="",H906="",G906&lt;=1),"",IF(J906&lt;IF(D906="Builder",MinEdgeBuilder,IF(D906="Player",MinEdgePlayer,MinEdgeSingle)),0,ROUND(MIN(IF(D906="Single",KellySingle,KellyBuilder)*(StartBank+SUM(P$1:P905))*J906/(G906-1),IF(D906="Builder",CapBuilder,CapSingle)*Unit),2)))</f>
        <v/>
      </c>
      <c r="L906" s="10" t="n"/>
      <c r="N906" s="10" t="n"/>
      <c r="O906" s="10">
        <f>IF(L906="","",IF(M906="Won",L906*G906,IF(M906="Void",L906,IF(M906="Cash out",N(N906),IF(M906="Lost",0,"")))))</f>
        <v/>
      </c>
      <c r="P906" s="10">
        <f>IF(OR(L906="",M906="",M906="Pending"),"",O906-L906)</f>
        <v/>
      </c>
      <c r="Q906" s="21" t="n"/>
      <c r="R906" s="11">
        <f>IF(OR(G906="",Q906=""),"",G906/Q906-1)</f>
        <v/>
      </c>
      <c r="S906" s="10">
        <f>IF(OR(L906="",J906=""),"",L906*J906)</f>
        <v/>
      </c>
      <c r="T906" s="10">
        <f>IF(P906="","",StartBank+SUM(P$2:P906))</f>
        <v/>
      </c>
    </row>
    <row r="907">
      <c r="A907" s="22" t="n"/>
      <c r="G907" s="21" t="n"/>
      <c r="H907" s="11" t="n"/>
      <c r="I907" s="21">
        <f>IF(OR(H907="",H907=0),"",1/H907)</f>
        <v/>
      </c>
      <c r="J907" s="11">
        <f>IF(OR(G907="",H907=""),"",H907*G907-1)</f>
        <v/>
      </c>
      <c r="K907" s="10">
        <f>IF(OR(G907="",H907="",G907&lt;=1),"",IF(J907&lt;IF(D907="Builder",MinEdgeBuilder,IF(D907="Player",MinEdgePlayer,MinEdgeSingle)),0,ROUND(MIN(IF(D907="Single",KellySingle,KellyBuilder)*(StartBank+SUM(P$1:P906))*J907/(G907-1),IF(D907="Builder",CapBuilder,CapSingle)*Unit),2)))</f>
        <v/>
      </c>
      <c r="L907" s="10" t="n"/>
      <c r="N907" s="10" t="n"/>
      <c r="O907" s="10">
        <f>IF(L907="","",IF(M907="Won",L907*G907,IF(M907="Void",L907,IF(M907="Cash out",N(N907),IF(M907="Lost",0,"")))))</f>
        <v/>
      </c>
      <c r="P907" s="10">
        <f>IF(OR(L907="",M907="",M907="Pending"),"",O907-L907)</f>
        <v/>
      </c>
      <c r="Q907" s="21" t="n"/>
      <c r="R907" s="11">
        <f>IF(OR(G907="",Q907=""),"",G907/Q907-1)</f>
        <v/>
      </c>
      <c r="S907" s="10">
        <f>IF(OR(L907="",J907=""),"",L907*J907)</f>
        <v/>
      </c>
      <c r="T907" s="10">
        <f>IF(P907="","",StartBank+SUM(P$2:P907))</f>
        <v/>
      </c>
    </row>
    <row r="908">
      <c r="A908" s="22" t="n"/>
      <c r="G908" s="21" t="n"/>
      <c r="H908" s="11" t="n"/>
      <c r="I908" s="21">
        <f>IF(OR(H908="",H908=0),"",1/H908)</f>
        <v/>
      </c>
      <c r="J908" s="11">
        <f>IF(OR(G908="",H908=""),"",H908*G908-1)</f>
        <v/>
      </c>
      <c r="K908" s="10">
        <f>IF(OR(G908="",H908="",G908&lt;=1),"",IF(J908&lt;IF(D908="Builder",MinEdgeBuilder,IF(D908="Player",MinEdgePlayer,MinEdgeSingle)),0,ROUND(MIN(IF(D908="Single",KellySingle,KellyBuilder)*(StartBank+SUM(P$1:P907))*J908/(G908-1),IF(D908="Builder",CapBuilder,CapSingle)*Unit),2)))</f>
        <v/>
      </c>
      <c r="L908" s="10" t="n"/>
      <c r="N908" s="10" t="n"/>
      <c r="O908" s="10">
        <f>IF(L908="","",IF(M908="Won",L908*G908,IF(M908="Void",L908,IF(M908="Cash out",N(N908),IF(M908="Lost",0,"")))))</f>
        <v/>
      </c>
      <c r="P908" s="10">
        <f>IF(OR(L908="",M908="",M908="Pending"),"",O908-L908)</f>
        <v/>
      </c>
      <c r="Q908" s="21" t="n"/>
      <c r="R908" s="11">
        <f>IF(OR(G908="",Q908=""),"",G908/Q908-1)</f>
        <v/>
      </c>
      <c r="S908" s="10">
        <f>IF(OR(L908="",J908=""),"",L908*J908)</f>
        <v/>
      </c>
      <c r="T908" s="10">
        <f>IF(P908="","",StartBank+SUM(P$2:P908))</f>
        <v/>
      </c>
    </row>
    <row r="909">
      <c r="A909" s="22" t="n"/>
      <c r="G909" s="21" t="n"/>
      <c r="H909" s="11" t="n"/>
      <c r="I909" s="21">
        <f>IF(OR(H909="",H909=0),"",1/H909)</f>
        <v/>
      </c>
      <c r="J909" s="11">
        <f>IF(OR(G909="",H909=""),"",H909*G909-1)</f>
        <v/>
      </c>
      <c r="K909" s="10">
        <f>IF(OR(G909="",H909="",G909&lt;=1),"",IF(J909&lt;IF(D909="Builder",MinEdgeBuilder,IF(D909="Player",MinEdgePlayer,MinEdgeSingle)),0,ROUND(MIN(IF(D909="Single",KellySingle,KellyBuilder)*(StartBank+SUM(P$1:P908))*J909/(G909-1),IF(D909="Builder",CapBuilder,CapSingle)*Unit),2)))</f>
        <v/>
      </c>
      <c r="L909" s="10" t="n"/>
      <c r="N909" s="10" t="n"/>
      <c r="O909" s="10">
        <f>IF(L909="","",IF(M909="Won",L909*G909,IF(M909="Void",L909,IF(M909="Cash out",N(N909),IF(M909="Lost",0,"")))))</f>
        <v/>
      </c>
      <c r="P909" s="10">
        <f>IF(OR(L909="",M909="",M909="Pending"),"",O909-L909)</f>
        <v/>
      </c>
      <c r="Q909" s="21" t="n"/>
      <c r="R909" s="11">
        <f>IF(OR(G909="",Q909=""),"",G909/Q909-1)</f>
        <v/>
      </c>
      <c r="S909" s="10">
        <f>IF(OR(L909="",J909=""),"",L909*J909)</f>
        <v/>
      </c>
      <c r="T909" s="10">
        <f>IF(P909="","",StartBank+SUM(P$2:P909))</f>
        <v/>
      </c>
    </row>
    <row r="910">
      <c r="A910" s="22" t="n"/>
      <c r="G910" s="21" t="n"/>
      <c r="H910" s="11" t="n"/>
      <c r="I910" s="21">
        <f>IF(OR(H910="",H910=0),"",1/H910)</f>
        <v/>
      </c>
      <c r="J910" s="11">
        <f>IF(OR(G910="",H910=""),"",H910*G910-1)</f>
        <v/>
      </c>
      <c r="K910" s="10">
        <f>IF(OR(G910="",H910="",G910&lt;=1),"",IF(J910&lt;IF(D910="Builder",MinEdgeBuilder,IF(D910="Player",MinEdgePlayer,MinEdgeSingle)),0,ROUND(MIN(IF(D910="Single",KellySingle,KellyBuilder)*(StartBank+SUM(P$1:P909))*J910/(G910-1),IF(D910="Builder",CapBuilder,CapSingle)*Unit),2)))</f>
        <v/>
      </c>
      <c r="L910" s="10" t="n"/>
      <c r="N910" s="10" t="n"/>
      <c r="O910" s="10">
        <f>IF(L910="","",IF(M910="Won",L910*G910,IF(M910="Void",L910,IF(M910="Cash out",N(N910),IF(M910="Lost",0,"")))))</f>
        <v/>
      </c>
      <c r="P910" s="10">
        <f>IF(OR(L910="",M910="",M910="Pending"),"",O910-L910)</f>
        <v/>
      </c>
      <c r="Q910" s="21" t="n"/>
      <c r="R910" s="11">
        <f>IF(OR(G910="",Q910=""),"",G910/Q910-1)</f>
        <v/>
      </c>
      <c r="S910" s="10">
        <f>IF(OR(L910="",J910=""),"",L910*J910)</f>
        <v/>
      </c>
      <c r="T910" s="10">
        <f>IF(P910="","",StartBank+SUM(P$2:P910))</f>
        <v/>
      </c>
    </row>
    <row r="911">
      <c r="A911" s="22" t="n"/>
      <c r="G911" s="21" t="n"/>
      <c r="H911" s="11" t="n"/>
      <c r="I911" s="21">
        <f>IF(OR(H911="",H911=0),"",1/H911)</f>
        <v/>
      </c>
      <c r="J911" s="11">
        <f>IF(OR(G911="",H911=""),"",H911*G911-1)</f>
        <v/>
      </c>
      <c r="K911" s="10">
        <f>IF(OR(G911="",H911="",G911&lt;=1),"",IF(J911&lt;IF(D911="Builder",MinEdgeBuilder,IF(D911="Player",MinEdgePlayer,MinEdgeSingle)),0,ROUND(MIN(IF(D911="Single",KellySingle,KellyBuilder)*(StartBank+SUM(P$1:P910))*J911/(G911-1),IF(D911="Builder",CapBuilder,CapSingle)*Unit),2)))</f>
        <v/>
      </c>
      <c r="L911" s="10" t="n"/>
      <c r="N911" s="10" t="n"/>
      <c r="O911" s="10">
        <f>IF(L911="","",IF(M911="Won",L911*G911,IF(M911="Void",L911,IF(M911="Cash out",N(N911),IF(M911="Lost",0,"")))))</f>
        <v/>
      </c>
      <c r="P911" s="10">
        <f>IF(OR(L911="",M911="",M911="Pending"),"",O911-L911)</f>
        <v/>
      </c>
      <c r="Q911" s="21" t="n"/>
      <c r="R911" s="11">
        <f>IF(OR(G911="",Q911=""),"",G911/Q911-1)</f>
        <v/>
      </c>
      <c r="S911" s="10">
        <f>IF(OR(L911="",J911=""),"",L911*J911)</f>
        <v/>
      </c>
      <c r="T911" s="10">
        <f>IF(P911="","",StartBank+SUM(P$2:P911))</f>
        <v/>
      </c>
    </row>
    <row r="912">
      <c r="A912" s="22" t="n"/>
      <c r="G912" s="21" t="n"/>
      <c r="H912" s="11" t="n"/>
      <c r="I912" s="21">
        <f>IF(OR(H912="",H912=0),"",1/H912)</f>
        <v/>
      </c>
      <c r="J912" s="11">
        <f>IF(OR(G912="",H912=""),"",H912*G912-1)</f>
        <v/>
      </c>
      <c r="K912" s="10">
        <f>IF(OR(G912="",H912="",G912&lt;=1),"",IF(J912&lt;IF(D912="Builder",MinEdgeBuilder,IF(D912="Player",MinEdgePlayer,MinEdgeSingle)),0,ROUND(MIN(IF(D912="Single",KellySingle,KellyBuilder)*(StartBank+SUM(P$1:P911))*J912/(G912-1),IF(D912="Builder",CapBuilder,CapSingle)*Unit),2)))</f>
        <v/>
      </c>
      <c r="L912" s="10" t="n"/>
      <c r="N912" s="10" t="n"/>
      <c r="O912" s="10">
        <f>IF(L912="","",IF(M912="Won",L912*G912,IF(M912="Void",L912,IF(M912="Cash out",N(N912),IF(M912="Lost",0,"")))))</f>
        <v/>
      </c>
      <c r="P912" s="10">
        <f>IF(OR(L912="",M912="",M912="Pending"),"",O912-L912)</f>
        <v/>
      </c>
      <c r="Q912" s="21" t="n"/>
      <c r="R912" s="11">
        <f>IF(OR(G912="",Q912=""),"",G912/Q912-1)</f>
        <v/>
      </c>
      <c r="S912" s="10">
        <f>IF(OR(L912="",J912=""),"",L912*J912)</f>
        <v/>
      </c>
      <c r="T912" s="10">
        <f>IF(P912="","",StartBank+SUM(P$2:P912))</f>
        <v/>
      </c>
    </row>
    <row r="913">
      <c r="A913" s="22" t="n"/>
      <c r="G913" s="21" t="n"/>
      <c r="H913" s="11" t="n"/>
      <c r="I913" s="21">
        <f>IF(OR(H913="",H913=0),"",1/H913)</f>
        <v/>
      </c>
      <c r="J913" s="11">
        <f>IF(OR(G913="",H913=""),"",H913*G913-1)</f>
        <v/>
      </c>
      <c r="K913" s="10">
        <f>IF(OR(G913="",H913="",G913&lt;=1),"",IF(J913&lt;IF(D913="Builder",MinEdgeBuilder,IF(D913="Player",MinEdgePlayer,MinEdgeSingle)),0,ROUND(MIN(IF(D913="Single",KellySingle,KellyBuilder)*(StartBank+SUM(P$1:P912))*J913/(G913-1),IF(D913="Builder",CapBuilder,CapSingle)*Unit),2)))</f>
        <v/>
      </c>
      <c r="L913" s="10" t="n"/>
      <c r="N913" s="10" t="n"/>
      <c r="O913" s="10">
        <f>IF(L913="","",IF(M913="Won",L913*G913,IF(M913="Void",L913,IF(M913="Cash out",N(N913),IF(M913="Lost",0,"")))))</f>
        <v/>
      </c>
      <c r="P913" s="10">
        <f>IF(OR(L913="",M913="",M913="Pending"),"",O913-L913)</f>
        <v/>
      </c>
      <c r="Q913" s="21" t="n"/>
      <c r="R913" s="11">
        <f>IF(OR(G913="",Q913=""),"",G913/Q913-1)</f>
        <v/>
      </c>
      <c r="S913" s="10">
        <f>IF(OR(L913="",J913=""),"",L913*J913)</f>
        <v/>
      </c>
      <c r="T913" s="10">
        <f>IF(P913="","",StartBank+SUM(P$2:P913))</f>
        <v/>
      </c>
    </row>
    <row r="914">
      <c r="A914" s="22" t="n"/>
      <c r="G914" s="21" t="n"/>
      <c r="H914" s="11" t="n"/>
      <c r="I914" s="21">
        <f>IF(OR(H914="",H914=0),"",1/H914)</f>
        <v/>
      </c>
      <c r="J914" s="11">
        <f>IF(OR(G914="",H914=""),"",H914*G914-1)</f>
        <v/>
      </c>
      <c r="K914" s="10">
        <f>IF(OR(G914="",H914="",G914&lt;=1),"",IF(J914&lt;IF(D914="Builder",MinEdgeBuilder,IF(D914="Player",MinEdgePlayer,MinEdgeSingle)),0,ROUND(MIN(IF(D914="Single",KellySingle,KellyBuilder)*(StartBank+SUM(P$1:P913))*J914/(G914-1),IF(D914="Builder",CapBuilder,CapSingle)*Unit),2)))</f>
        <v/>
      </c>
      <c r="L914" s="10" t="n"/>
      <c r="N914" s="10" t="n"/>
      <c r="O914" s="10">
        <f>IF(L914="","",IF(M914="Won",L914*G914,IF(M914="Void",L914,IF(M914="Cash out",N(N914),IF(M914="Lost",0,"")))))</f>
        <v/>
      </c>
      <c r="P914" s="10">
        <f>IF(OR(L914="",M914="",M914="Pending"),"",O914-L914)</f>
        <v/>
      </c>
      <c r="Q914" s="21" t="n"/>
      <c r="R914" s="11">
        <f>IF(OR(G914="",Q914=""),"",G914/Q914-1)</f>
        <v/>
      </c>
      <c r="S914" s="10">
        <f>IF(OR(L914="",J914=""),"",L914*J914)</f>
        <v/>
      </c>
      <c r="T914" s="10">
        <f>IF(P914="","",StartBank+SUM(P$2:P914))</f>
        <v/>
      </c>
    </row>
    <row r="915">
      <c r="A915" s="22" t="n"/>
      <c r="G915" s="21" t="n"/>
      <c r="H915" s="11" t="n"/>
      <c r="I915" s="21">
        <f>IF(OR(H915="",H915=0),"",1/H915)</f>
        <v/>
      </c>
      <c r="J915" s="11">
        <f>IF(OR(G915="",H915=""),"",H915*G915-1)</f>
        <v/>
      </c>
      <c r="K915" s="10">
        <f>IF(OR(G915="",H915="",G915&lt;=1),"",IF(J915&lt;IF(D915="Builder",MinEdgeBuilder,IF(D915="Player",MinEdgePlayer,MinEdgeSingle)),0,ROUND(MIN(IF(D915="Single",KellySingle,KellyBuilder)*(StartBank+SUM(P$1:P914))*J915/(G915-1),IF(D915="Builder",CapBuilder,CapSingle)*Unit),2)))</f>
        <v/>
      </c>
      <c r="L915" s="10" t="n"/>
      <c r="N915" s="10" t="n"/>
      <c r="O915" s="10">
        <f>IF(L915="","",IF(M915="Won",L915*G915,IF(M915="Void",L915,IF(M915="Cash out",N(N915),IF(M915="Lost",0,"")))))</f>
        <v/>
      </c>
      <c r="P915" s="10">
        <f>IF(OR(L915="",M915="",M915="Pending"),"",O915-L915)</f>
        <v/>
      </c>
      <c r="Q915" s="21" t="n"/>
      <c r="R915" s="11">
        <f>IF(OR(G915="",Q915=""),"",G915/Q915-1)</f>
        <v/>
      </c>
      <c r="S915" s="10">
        <f>IF(OR(L915="",J915=""),"",L915*J915)</f>
        <v/>
      </c>
      <c r="T915" s="10">
        <f>IF(P915="","",StartBank+SUM(P$2:P915))</f>
        <v/>
      </c>
    </row>
    <row r="916">
      <c r="A916" s="22" t="n"/>
      <c r="G916" s="21" t="n"/>
      <c r="H916" s="11" t="n"/>
      <c r="I916" s="21">
        <f>IF(OR(H916="",H916=0),"",1/H916)</f>
        <v/>
      </c>
      <c r="J916" s="11">
        <f>IF(OR(G916="",H916=""),"",H916*G916-1)</f>
        <v/>
      </c>
      <c r="K916" s="10">
        <f>IF(OR(G916="",H916="",G916&lt;=1),"",IF(J916&lt;IF(D916="Builder",MinEdgeBuilder,IF(D916="Player",MinEdgePlayer,MinEdgeSingle)),0,ROUND(MIN(IF(D916="Single",KellySingle,KellyBuilder)*(StartBank+SUM(P$1:P915))*J916/(G916-1),IF(D916="Builder",CapBuilder,CapSingle)*Unit),2)))</f>
        <v/>
      </c>
      <c r="L916" s="10" t="n"/>
      <c r="N916" s="10" t="n"/>
      <c r="O916" s="10">
        <f>IF(L916="","",IF(M916="Won",L916*G916,IF(M916="Void",L916,IF(M916="Cash out",N(N916),IF(M916="Lost",0,"")))))</f>
        <v/>
      </c>
      <c r="P916" s="10">
        <f>IF(OR(L916="",M916="",M916="Pending"),"",O916-L916)</f>
        <v/>
      </c>
      <c r="Q916" s="21" t="n"/>
      <c r="R916" s="11">
        <f>IF(OR(G916="",Q916=""),"",G916/Q916-1)</f>
        <v/>
      </c>
      <c r="S916" s="10">
        <f>IF(OR(L916="",J916=""),"",L916*J916)</f>
        <v/>
      </c>
      <c r="T916" s="10">
        <f>IF(P916="","",StartBank+SUM(P$2:P916))</f>
        <v/>
      </c>
    </row>
    <row r="917">
      <c r="A917" s="22" t="n"/>
      <c r="G917" s="21" t="n"/>
      <c r="H917" s="11" t="n"/>
      <c r="I917" s="21">
        <f>IF(OR(H917="",H917=0),"",1/H917)</f>
        <v/>
      </c>
      <c r="J917" s="11">
        <f>IF(OR(G917="",H917=""),"",H917*G917-1)</f>
        <v/>
      </c>
      <c r="K917" s="10">
        <f>IF(OR(G917="",H917="",G917&lt;=1),"",IF(J917&lt;IF(D917="Builder",MinEdgeBuilder,IF(D917="Player",MinEdgePlayer,MinEdgeSingle)),0,ROUND(MIN(IF(D917="Single",KellySingle,KellyBuilder)*(StartBank+SUM(P$1:P916))*J917/(G917-1),IF(D917="Builder",CapBuilder,CapSingle)*Unit),2)))</f>
        <v/>
      </c>
      <c r="L917" s="10" t="n"/>
      <c r="N917" s="10" t="n"/>
      <c r="O917" s="10">
        <f>IF(L917="","",IF(M917="Won",L917*G917,IF(M917="Void",L917,IF(M917="Cash out",N(N917),IF(M917="Lost",0,"")))))</f>
        <v/>
      </c>
      <c r="P917" s="10">
        <f>IF(OR(L917="",M917="",M917="Pending"),"",O917-L917)</f>
        <v/>
      </c>
      <c r="Q917" s="21" t="n"/>
      <c r="R917" s="11">
        <f>IF(OR(G917="",Q917=""),"",G917/Q917-1)</f>
        <v/>
      </c>
      <c r="S917" s="10">
        <f>IF(OR(L917="",J917=""),"",L917*J917)</f>
        <v/>
      </c>
      <c r="T917" s="10">
        <f>IF(P917="","",StartBank+SUM(P$2:P917))</f>
        <v/>
      </c>
    </row>
    <row r="918">
      <c r="A918" s="22" t="n"/>
      <c r="G918" s="21" t="n"/>
      <c r="H918" s="11" t="n"/>
      <c r="I918" s="21">
        <f>IF(OR(H918="",H918=0),"",1/H918)</f>
        <v/>
      </c>
      <c r="J918" s="11">
        <f>IF(OR(G918="",H918=""),"",H918*G918-1)</f>
        <v/>
      </c>
      <c r="K918" s="10">
        <f>IF(OR(G918="",H918="",G918&lt;=1),"",IF(J918&lt;IF(D918="Builder",MinEdgeBuilder,IF(D918="Player",MinEdgePlayer,MinEdgeSingle)),0,ROUND(MIN(IF(D918="Single",KellySingle,KellyBuilder)*(StartBank+SUM(P$1:P917))*J918/(G918-1),IF(D918="Builder",CapBuilder,CapSingle)*Unit),2)))</f>
        <v/>
      </c>
      <c r="L918" s="10" t="n"/>
      <c r="N918" s="10" t="n"/>
      <c r="O918" s="10">
        <f>IF(L918="","",IF(M918="Won",L918*G918,IF(M918="Void",L918,IF(M918="Cash out",N(N918),IF(M918="Lost",0,"")))))</f>
        <v/>
      </c>
      <c r="P918" s="10">
        <f>IF(OR(L918="",M918="",M918="Pending"),"",O918-L918)</f>
        <v/>
      </c>
      <c r="Q918" s="21" t="n"/>
      <c r="R918" s="11">
        <f>IF(OR(G918="",Q918=""),"",G918/Q918-1)</f>
        <v/>
      </c>
      <c r="S918" s="10">
        <f>IF(OR(L918="",J918=""),"",L918*J918)</f>
        <v/>
      </c>
      <c r="T918" s="10">
        <f>IF(P918="","",StartBank+SUM(P$2:P918))</f>
        <v/>
      </c>
    </row>
    <row r="919">
      <c r="A919" s="22" t="n"/>
      <c r="G919" s="21" t="n"/>
      <c r="H919" s="11" t="n"/>
      <c r="I919" s="21">
        <f>IF(OR(H919="",H919=0),"",1/H919)</f>
        <v/>
      </c>
      <c r="J919" s="11">
        <f>IF(OR(G919="",H919=""),"",H919*G919-1)</f>
        <v/>
      </c>
      <c r="K919" s="10">
        <f>IF(OR(G919="",H919="",G919&lt;=1),"",IF(J919&lt;IF(D919="Builder",MinEdgeBuilder,IF(D919="Player",MinEdgePlayer,MinEdgeSingle)),0,ROUND(MIN(IF(D919="Single",KellySingle,KellyBuilder)*(StartBank+SUM(P$1:P918))*J919/(G919-1),IF(D919="Builder",CapBuilder,CapSingle)*Unit),2)))</f>
        <v/>
      </c>
      <c r="L919" s="10" t="n"/>
      <c r="N919" s="10" t="n"/>
      <c r="O919" s="10">
        <f>IF(L919="","",IF(M919="Won",L919*G919,IF(M919="Void",L919,IF(M919="Cash out",N(N919),IF(M919="Lost",0,"")))))</f>
        <v/>
      </c>
      <c r="P919" s="10">
        <f>IF(OR(L919="",M919="",M919="Pending"),"",O919-L919)</f>
        <v/>
      </c>
      <c r="Q919" s="21" t="n"/>
      <c r="R919" s="11">
        <f>IF(OR(G919="",Q919=""),"",G919/Q919-1)</f>
        <v/>
      </c>
      <c r="S919" s="10">
        <f>IF(OR(L919="",J919=""),"",L919*J919)</f>
        <v/>
      </c>
      <c r="T919" s="10">
        <f>IF(P919="","",StartBank+SUM(P$2:P919))</f>
        <v/>
      </c>
    </row>
    <row r="920">
      <c r="A920" s="22" t="n"/>
      <c r="G920" s="21" t="n"/>
      <c r="H920" s="11" t="n"/>
      <c r="I920" s="21">
        <f>IF(OR(H920="",H920=0),"",1/H920)</f>
        <v/>
      </c>
      <c r="J920" s="11">
        <f>IF(OR(G920="",H920=""),"",H920*G920-1)</f>
        <v/>
      </c>
      <c r="K920" s="10">
        <f>IF(OR(G920="",H920="",G920&lt;=1),"",IF(J920&lt;IF(D920="Builder",MinEdgeBuilder,IF(D920="Player",MinEdgePlayer,MinEdgeSingle)),0,ROUND(MIN(IF(D920="Single",KellySingle,KellyBuilder)*(StartBank+SUM(P$1:P919))*J920/(G920-1),IF(D920="Builder",CapBuilder,CapSingle)*Unit),2)))</f>
        <v/>
      </c>
      <c r="L920" s="10" t="n"/>
      <c r="N920" s="10" t="n"/>
      <c r="O920" s="10">
        <f>IF(L920="","",IF(M920="Won",L920*G920,IF(M920="Void",L920,IF(M920="Cash out",N(N920),IF(M920="Lost",0,"")))))</f>
        <v/>
      </c>
      <c r="P920" s="10">
        <f>IF(OR(L920="",M920="",M920="Pending"),"",O920-L920)</f>
        <v/>
      </c>
      <c r="Q920" s="21" t="n"/>
      <c r="R920" s="11">
        <f>IF(OR(G920="",Q920=""),"",G920/Q920-1)</f>
        <v/>
      </c>
      <c r="S920" s="10">
        <f>IF(OR(L920="",J920=""),"",L920*J920)</f>
        <v/>
      </c>
      <c r="T920" s="10">
        <f>IF(P920="","",StartBank+SUM(P$2:P920))</f>
        <v/>
      </c>
    </row>
    <row r="921">
      <c r="A921" s="22" t="n"/>
      <c r="G921" s="21" t="n"/>
      <c r="H921" s="11" t="n"/>
      <c r="I921" s="21">
        <f>IF(OR(H921="",H921=0),"",1/H921)</f>
        <v/>
      </c>
      <c r="J921" s="11">
        <f>IF(OR(G921="",H921=""),"",H921*G921-1)</f>
        <v/>
      </c>
      <c r="K921" s="10">
        <f>IF(OR(G921="",H921="",G921&lt;=1),"",IF(J921&lt;IF(D921="Builder",MinEdgeBuilder,IF(D921="Player",MinEdgePlayer,MinEdgeSingle)),0,ROUND(MIN(IF(D921="Single",KellySingle,KellyBuilder)*(StartBank+SUM(P$1:P920))*J921/(G921-1),IF(D921="Builder",CapBuilder,CapSingle)*Unit),2)))</f>
        <v/>
      </c>
      <c r="L921" s="10" t="n"/>
      <c r="N921" s="10" t="n"/>
      <c r="O921" s="10">
        <f>IF(L921="","",IF(M921="Won",L921*G921,IF(M921="Void",L921,IF(M921="Cash out",N(N921),IF(M921="Lost",0,"")))))</f>
        <v/>
      </c>
      <c r="P921" s="10">
        <f>IF(OR(L921="",M921="",M921="Pending"),"",O921-L921)</f>
        <v/>
      </c>
      <c r="Q921" s="21" t="n"/>
      <c r="R921" s="11">
        <f>IF(OR(G921="",Q921=""),"",G921/Q921-1)</f>
        <v/>
      </c>
      <c r="S921" s="10">
        <f>IF(OR(L921="",J921=""),"",L921*J921)</f>
        <v/>
      </c>
      <c r="T921" s="10">
        <f>IF(P921="","",StartBank+SUM(P$2:P921))</f>
        <v/>
      </c>
    </row>
    <row r="922">
      <c r="A922" s="22" t="n"/>
      <c r="G922" s="21" t="n"/>
      <c r="H922" s="11" t="n"/>
      <c r="I922" s="21">
        <f>IF(OR(H922="",H922=0),"",1/H922)</f>
        <v/>
      </c>
      <c r="J922" s="11">
        <f>IF(OR(G922="",H922=""),"",H922*G922-1)</f>
        <v/>
      </c>
      <c r="K922" s="10">
        <f>IF(OR(G922="",H922="",G922&lt;=1),"",IF(J922&lt;IF(D922="Builder",MinEdgeBuilder,IF(D922="Player",MinEdgePlayer,MinEdgeSingle)),0,ROUND(MIN(IF(D922="Single",KellySingle,KellyBuilder)*(StartBank+SUM(P$1:P921))*J922/(G922-1),IF(D922="Builder",CapBuilder,CapSingle)*Unit),2)))</f>
        <v/>
      </c>
      <c r="L922" s="10" t="n"/>
      <c r="N922" s="10" t="n"/>
      <c r="O922" s="10">
        <f>IF(L922="","",IF(M922="Won",L922*G922,IF(M922="Void",L922,IF(M922="Cash out",N(N922),IF(M922="Lost",0,"")))))</f>
        <v/>
      </c>
      <c r="P922" s="10">
        <f>IF(OR(L922="",M922="",M922="Pending"),"",O922-L922)</f>
        <v/>
      </c>
      <c r="Q922" s="21" t="n"/>
      <c r="R922" s="11">
        <f>IF(OR(G922="",Q922=""),"",G922/Q922-1)</f>
        <v/>
      </c>
      <c r="S922" s="10">
        <f>IF(OR(L922="",J922=""),"",L922*J922)</f>
        <v/>
      </c>
      <c r="T922" s="10">
        <f>IF(P922="","",StartBank+SUM(P$2:P922))</f>
        <v/>
      </c>
    </row>
    <row r="923">
      <c r="A923" s="22" t="n"/>
      <c r="G923" s="21" t="n"/>
      <c r="H923" s="11" t="n"/>
      <c r="I923" s="21">
        <f>IF(OR(H923="",H923=0),"",1/H923)</f>
        <v/>
      </c>
      <c r="J923" s="11">
        <f>IF(OR(G923="",H923=""),"",H923*G923-1)</f>
        <v/>
      </c>
      <c r="K923" s="10">
        <f>IF(OR(G923="",H923="",G923&lt;=1),"",IF(J923&lt;IF(D923="Builder",MinEdgeBuilder,IF(D923="Player",MinEdgePlayer,MinEdgeSingle)),0,ROUND(MIN(IF(D923="Single",KellySingle,KellyBuilder)*(StartBank+SUM(P$1:P922))*J923/(G923-1),IF(D923="Builder",CapBuilder,CapSingle)*Unit),2)))</f>
        <v/>
      </c>
      <c r="L923" s="10" t="n"/>
      <c r="N923" s="10" t="n"/>
      <c r="O923" s="10">
        <f>IF(L923="","",IF(M923="Won",L923*G923,IF(M923="Void",L923,IF(M923="Cash out",N(N923),IF(M923="Lost",0,"")))))</f>
        <v/>
      </c>
      <c r="P923" s="10">
        <f>IF(OR(L923="",M923="",M923="Pending"),"",O923-L923)</f>
        <v/>
      </c>
      <c r="Q923" s="21" t="n"/>
      <c r="R923" s="11">
        <f>IF(OR(G923="",Q923=""),"",G923/Q923-1)</f>
        <v/>
      </c>
      <c r="S923" s="10">
        <f>IF(OR(L923="",J923=""),"",L923*J923)</f>
        <v/>
      </c>
      <c r="T923" s="10">
        <f>IF(P923="","",StartBank+SUM(P$2:P923))</f>
        <v/>
      </c>
    </row>
    <row r="924">
      <c r="A924" s="22" t="n"/>
      <c r="G924" s="21" t="n"/>
      <c r="H924" s="11" t="n"/>
      <c r="I924" s="21">
        <f>IF(OR(H924="",H924=0),"",1/H924)</f>
        <v/>
      </c>
      <c r="J924" s="11">
        <f>IF(OR(G924="",H924=""),"",H924*G924-1)</f>
        <v/>
      </c>
      <c r="K924" s="10">
        <f>IF(OR(G924="",H924="",G924&lt;=1),"",IF(J924&lt;IF(D924="Builder",MinEdgeBuilder,IF(D924="Player",MinEdgePlayer,MinEdgeSingle)),0,ROUND(MIN(IF(D924="Single",KellySingle,KellyBuilder)*(StartBank+SUM(P$1:P923))*J924/(G924-1),IF(D924="Builder",CapBuilder,CapSingle)*Unit),2)))</f>
        <v/>
      </c>
      <c r="L924" s="10" t="n"/>
      <c r="N924" s="10" t="n"/>
      <c r="O924" s="10">
        <f>IF(L924="","",IF(M924="Won",L924*G924,IF(M924="Void",L924,IF(M924="Cash out",N(N924),IF(M924="Lost",0,"")))))</f>
        <v/>
      </c>
      <c r="P924" s="10">
        <f>IF(OR(L924="",M924="",M924="Pending"),"",O924-L924)</f>
        <v/>
      </c>
      <c r="Q924" s="21" t="n"/>
      <c r="R924" s="11">
        <f>IF(OR(G924="",Q924=""),"",G924/Q924-1)</f>
        <v/>
      </c>
      <c r="S924" s="10">
        <f>IF(OR(L924="",J924=""),"",L924*J924)</f>
        <v/>
      </c>
      <c r="T924" s="10">
        <f>IF(P924="","",StartBank+SUM(P$2:P924))</f>
        <v/>
      </c>
    </row>
    <row r="925">
      <c r="A925" s="22" t="n"/>
      <c r="G925" s="21" t="n"/>
      <c r="H925" s="11" t="n"/>
      <c r="I925" s="21">
        <f>IF(OR(H925="",H925=0),"",1/H925)</f>
        <v/>
      </c>
      <c r="J925" s="11">
        <f>IF(OR(G925="",H925=""),"",H925*G925-1)</f>
        <v/>
      </c>
      <c r="K925" s="10">
        <f>IF(OR(G925="",H925="",G925&lt;=1),"",IF(J925&lt;IF(D925="Builder",MinEdgeBuilder,IF(D925="Player",MinEdgePlayer,MinEdgeSingle)),0,ROUND(MIN(IF(D925="Single",KellySingle,KellyBuilder)*(StartBank+SUM(P$1:P924))*J925/(G925-1),IF(D925="Builder",CapBuilder,CapSingle)*Unit),2)))</f>
        <v/>
      </c>
      <c r="L925" s="10" t="n"/>
      <c r="N925" s="10" t="n"/>
      <c r="O925" s="10">
        <f>IF(L925="","",IF(M925="Won",L925*G925,IF(M925="Void",L925,IF(M925="Cash out",N(N925),IF(M925="Lost",0,"")))))</f>
        <v/>
      </c>
      <c r="P925" s="10">
        <f>IF(OR(L925="",M925="",M925="Pending"),"",O925-L925)</f>
        <v/>
      </c>
      <c r="Q925" s="21" t="n"/>
      <c r="R925" s="11">
        <f>IF(OR(G925="",Q925=""),"",G925/Q925-1)</f>
        <v/>
      </c>
      <c r="S925" s="10">
        <f>IF(OR(L925="",J925=""),"",L925*J925)</f>
        <v/>
      </c>
      <c r="T925" s="10">
        <f>IF(P925="","",StartBank+SUM(P$2:P925))</f>
        <v/>
      </c>
    </row>
    <row r="926">
      <c r="A926" s="22" t="n"/>
      <c r="G926" s="21" t="n"/>
      <c r="H926" s="11" t="n"/>
      <c r="I926" s="21">
        <f>IF(OR(H926="",H926=0),"",1/H926)</f>
        <v/>
      </c>
      <c r="J926" s="11">
        <f>IF(OR(G926="",H926=""),"",H926*G926-1)</f>
        <v/>
      </c>
      <c r="K926" s="10">
        <f>IF(OR(G926="",H926="",G926&lt;=1),"",IF(J926&lt;IF(D926="Builder",MinEdgeBuilder,IF(D926="Player",MinEdgePlayer,MinEdgeSingle)),0,ROUND(MIN(IF(D926="Single",KellySingle,KellyBuilder)*(StartBank+SUM(P$1:P925))*J926/(G926-1),IF(D926="Builder",CapBuilder,CapSingle)*Unit),2)))</f>
        <v/>
      </c>
      <c r="L926" s="10" t="n"/>
      <c r="N926" s="10" t="n"/>
      <c r="O926" s="10">
        <f>IF(L926="","",IF(M926="Won",L926*G926,IF(M926="Void",L926,IF(M926="Cash out",N(N926),IF(M926="Lost",0,"")))))</f>
        <v/>
      </c>
      <c r="P926" s="10">
        <f>IF(OR(L926="",M926="",M926="Pending"),"",O926-L926)</f>
        <v/>
      </c>
      <c r="Q926" s="21" t="n"/>
      <c r="R926" s="11">
        <f>IF(OR(G926="",Q926=""),"",G926/Q926-1)</f>
        <v/>
      </c>
      <c r="S926" s="10">
        <f>IF(OR(L926="",J926=""),"",L926*J926)</f>
        <v/>
      </c>
      <c r="T926" s="10">
        <f>IF(P926="","",StartBank+SUM(P$2:P926))</f>
        <v/>
      </c>
    </row>
    <row r="927">
      <c r="A927" s="22" t="n"/>
      <c r="G927" s="21" t="n"/>
      <c r="H927" s="11" t="n"/>
      <c r="I927" s="21">
        <f>IF(OR(H927="",H927=0),"",1/H927)</f>
        <v/>
      </c>
      <c r="J927" s="11">
        <f>IF(OR(G927="",H927=""),"",H927*G927-1)</f>
        <v/>
      </c>
      <c r="K927" s="10">
        <f>IF(OR(G927="",H927="",G927&lt;=1),"",IF(J927&lt;IF(D927="Builder",MinEdgeBuilder,IF(D927="Player",MinEdgePlayer,MinEdgeSingle)),0,ROUND(MIN(IF(D927="Single",KellySingle,KellyBuilder)*(StartBank+SUM(P$1:P926))*J927/(G927-1),IF(D927="Builder",CapBuilder,CapSingle)*Unit),2)))</f>
        <v/>
      </c>
      <c r="L927" s="10" t="n"/>
      <c r="N927" s="10" t="n"/>
      <c r="O927" s="10">
        <f>IF(L927="","",IF(M927="Won",L927*G927,IF(M927="Void",L927,IF(M927="Cash out",N(N927),IF(M927="Lost",0,"")))))</f>
        <v/>
      </c>
      <c r="P927" s="10">
        <f>IF(OR(L927="",M927="",M927="Pending"),"",O927-L927)</f>
        <v/>
      </c>
      <c r="Q927" s="21" t="n"/>
      <c r="R927" s="11">
        <f>IF(OR(G927="",Q927=""),"",G927/Q927-1)</f>
        <v/>
      </c>
      <c r="S927" s="10">
        <f>IF(OR(L927="",J927=""),"",L927*J927)</f>
        <v/>
      </c>
      <c r="T927" s="10">
        <f>IF(P927="","",StartBank+SUM(P$2:P927))</f>
        <v/>
      </c>
    </row>
    <row r="928">
      <c r="A928" s="22" t="n"/>
      <c r="G928" s="21" t="n"/>
      <c r="H928" s="11" t="n"/>
      <c r="I928" s="21">
        <f>IF(OR(H928="",H928=0),"",1/H928)</f>
        <v/>
      </c>
      <c r="J928" s="11">
        <f>IF(OR(G928="",H928=""),"",H928*G928-1)</f>
        <v/>
      </c>
      <c r="K928" s="10">
        <f>IF(OR(G928="",H928="",G928&lt;=1),"",IF(J928&lt;IF(D928="Builder",MinEdgeBuilder,IF(D928="Player",MinEdgePlayer,MinEdgeSingle)),0,ROUND(MIN(IF(D928="Single",KellySingle,KellyBuilder)*(StartBank+SUM(P$1:P927))*J928/(G928-1),IF(D928="Builder",CapBuilder,CapSingle)*Unit),2)))</f>
        <v/>
      </c>
      <c r="L928" s="10" t="n"/>
      <c r="N928" s="10" t="n"/>
      <c r="O928" s="10">
        <f>IF(L928="","",IF(M928="Won",L928*G928,IF(M928="Void",L928,IF(M928="Cash out",N(N928),IF(M928="Lost",0,"")))))</f>
        <v/>
      </c>
      <c r="P928" s="10">
        <f>IF(OR(L928="",M928="",M928="Pending"),"",O928-L928)</f>
        <v/>
      </c>
      <c r="Q928" s="21" t="n"/>
      <c r="R928" s="11">
        <f>IF(OR(G928="",Q928=""),"",G928/Q928-1)</f>
        <v/>
      </c>
      <c r="S928" s="10">
        <f>IF(OR(L928="",J928=""),"",L928*J928)</f>
        <v/>
      </c>
      <c r="T928" s="10">
        <f>IF(P928="","",StartBank+SUM(P$2:P928))</f>
        <v/>
      </c>
    </row>
    <row r="929">
      <c r="A929" s="22" t="n"/>
      <c r="G929" s="21" t="n"/>
      <c r="H929" s="11" t="n"/>
      <c r="I929" s="21">
        <f>IF(OR(H929="",H929=0),"",1/H929)</f>
        <v/>
      </c>
      <c r="J929" s="11">
        <f>IF(OR(G929="",H929=""),"",H929*G929-1)</f>
        <v/>
      </c>
      <c r="K929" s="10">
        <f>IF(OR(G929="",H929="",G929&lt;=1),"",IF(J929&lt;IF(D929="Builder",MinEdgeBuilder,IF(D929="Player",MinEdgePlayer,MinEdgeSingle)),0,ROUND(MIN(IF(D929="Single",KellySingle,KellyBuilder)*(StartBank+SUM(P$1:P928))*J929/(G929-1),IF(D929="Builder",CapBuilder,CapSingle)*Unit),2)))</f>
        <v/>
      </c>
      <c r="L929" s="10" t="n"/>
      <c r="N929" s="10" t="n"/>
      <c r="O929" s="10">
        <f>IF(L929="","",IF(M929="Won",L929*G929,IF(M929="Void",L929,IF(M929="Cash out",N(N929),IF(M929="Lost",0,"")))))</f>
        <v/>
      </c>
      <c r="P929" s="10">
        <f>IF(OR(L929="",M929="",M929="Pending"),"",O929-L929)</f>
        <v/>
      </c>
      <c r="Q929" s="21" t="n"/>
      <c r="R929" s="11">
        <f>IF(OR(G929="",Q929=""),"",G929/Q929-1)</f>
        <v/>
      </c>
      <c r="S929" s="10">
        <f>IF(OR(L929="",J929=""),"",L929*J929)</f>
        <v/>
      </c>
      <c r="T929" s="10">
        <f>IF(P929="","",StartBank+SUM(P$2:P929))</f>
        <v/>
      </c>
    </row>
    <row r="930">
      <c r="A930" s="22" t="n"/>
      <c r="G930" s="21" t="n"/>
      <c r="H930" s="11" t="n"/>
      <c r="I930" s="21">
        <f>IF(OR(H930="",H930=0),"",1/H930)</f>
        <v/>
      </c>
      <c r="J930" s="11">
        <f>IF(OR(G930="",H930=""),"",H930*G930-1)</f>
        <v/>
      </c>
      <c r="K930" s="10">
        <f>IF(OR(G930="",H930="",G930&lt;=1),"",IF(J930&lt;IF(D930="Builder",MinEdgeBuilder,IF(D930="Player",MinEdgePlayer,MinEdgeSingle)),0,ROUND(MIN(IF(D930="Single",KellySingle,KellyBuilder)*(StartBank+SUM(P$1:P929))*J930/(G930-1),IF(D930="Builder",CapBuilder,CapSingle)*Unit),2)))</f>
        <v/>
      </c>
      <c r="L930" s="10" t="n"/>
      <c r="N930" s="10" t="n"/>
      <c r="O930" s="10">
        <f>IF(L930="","",IF(M930="Won",L930*G930,IF(M930="Void",L930,IF(M930="Cash out",N(N930),IF(M930="Lost",0,"")))))</f>
        <v/>
      </c>
      <c r="P930" s="10">
        <f>IF(OR(L930="",M930="",M930="Pending"),"",O930-L930)</f>
        <v/>
      </c>
      <c r="Q930" s="21" t="n"/>
      <c r="R930" s="11">
        <f>IF(OR(G930="",Q930=""),"",G930/Q930-1)</f>
        <v/>
      </c>
      <c r="S930" s="10">
        <f>IF(OR(L930="",J930=""),"",L930*J930)</f>
        <v/>
      </c>
      <c r="T930" s="10">
        <f>IF(P930="","",StartBank+SUM(P$2:P930))</f>
        <v/>
      </c>
    </row>
    <row r="931">
      <c r="A931" s="22" t="n"/>
      <c r="G931" s="21" t="n"/>
      <c r="H931" s="11" t="n"/>
      <c r="I931" s="21">
        <f>IF(OR(H931="",H931=0),"",1/H931)</f>
        <v/>
      </c>
      <c r="J931" s="11">
        <f>IF(OR(G931="",H931=""),"",H931*G931-1)</f>
        <v/>
      </c>
      <c r="K931" s="10">
        <f>IF(OR(G931="",H931="",G931&lt;=1),"",IF(J931&lt;IF(D931="Builder",MinEdgeBuilder,IF(D931="Player",MinEdgePlayer,MinEdgeSingle)),0,ROUND(MIN(IF(D931="Single",KellySingle,KellyBuilder)*(StartBank+SUM(P$1:P930))*J931/(G931-1),IF(D931="Builder",CapBuilder,CapSingle)*Unit),2)))</f>
        <v/>
      </c>
      <c r="L931" s="10" t="n"/>
      <c r="N931" s="10" t="n"/>
      <c r="O931" s="10">
        <f>IF(L931="","",IF(M931="Won",L931*G931,IF(M931="Void",L931,IF(M931="Cash out",N(N931),IF(M931="Lost",0,"")))))</f>
        <v/>
      </c>
      <c r="P931" s="10">
        <f>IF(OR(L931="",M931="",M931="Pending"),"",O931-L931)</f>
        <v/>
      </c>
      <c r="Q931" s="21" t="n"/>
      <c r="R931" s="11">
        <f>IF(OR(G931="",Q931=""),"",G931/Q931-1)</f>
        <v/>
      </c>
      <c r="S931" s="10">
        <f>IF(OR(L931="",J931=""),"",L931*J931)</f>
        <v/>
      </c>
      <c r="T931" s="10">
        <f>IF(P931="","",StartBank+SUM(P$2:P931))</f>
        <v/>
      </c>
    </row>
    <row r="932">
      <c r="A932" s="22" t="n"/>
      <c r="G932" s="21" t="n"/>
      <c r="H932" s="11" t="n"/>
      <c r="I932" s="21">
        <f>IF(OR(H932="",H932=0),"",1/H932)</f>
        <v/>
      </c>
      <c r="J932" s="11">
        <f>IF(OR(G932="",H932=""),"",H932*G932-1)</f>
        <v/>
      </c>
      <c r="K932" s="10">
        <f>IF(OR(G932="",H932="",G932&lt;=1),"",IF(J932&lt;IF(D932="Builder",MinEdgeBuilder,IF(D932="Player",MinEdgePlayer,MinEdgeSingle)),0,ROUND(MIN(IF(D932="Single",KellySingle,KellyBuilder)*(StartBank+SUM(P$1:P931))*J932/(G932-1),IF(D932="Builder",CapBuilder,CapSingle)*Unit),2)))</f>
        <v/>
      </c>
      <c r="L932" s="10" t="n"/>
      <c r="N932" s="10" t="n"/>
      <c r="O932" s="10">
        <f>IF(L932="","",IF(M932="Won",L932*G932,IF(M932="Void",L932,IF(M932="Cash out",N(N932),IF(M932="Lost",0,"")))))</f>
        <v/>
      </c>
      <c r="P932" s="10">
        <f>IF(OR(L932="",M932="",M932="Pending"),"",O932-L932)</f>
        <v/>
      </c>
      <c r="Q932" s="21" t="n"/>
      <c r="R932" s="11">
        <f>IF(OR(G932="",Q932=""),"",G932/Q932-1)</f>
        <v/>
      </c>
      <c r="S932" s="10">
        <f>IF(OR(L932="",J932=""),"",L932*J932)</f>
        <v/>
      </c>
      <c r="T932" s="10">
        <f>IF(P932="","",StartBank+SUM(P$2:P932))</f>
        <v/>
      </c>
    </row>
    <row r="933">
      <c r="A933" s="22" t="n"/>
      <c r="G933" s="21" t="n"/>
      <c r="H933" s="11" t="n"/>
      <c r="I933" s="21">
        <f>IF(OR(H933="",H933=0),"",1/H933)</f>
        <v/>
      </c>
      <c r="J933" s="11">
        <f>IF(OR(G933="",H933=""),"",H933*G933-1)</f>
        <v/>
      </c>
      <c r="K933" s="10">
        <f>IF(OR(G933="",H933="",G933&lt;=1),"",IF(J933&lt;IF(D933="Builder",MinEdgeBuilder,IF(D933="Player",MinEdgePlayer,MinEdgeSingle)),0,ROUND(MIN(IF(D933="Single",KellySingle,KellyBuilder)*(StartBank+SUM(P$1:P932))*J933/(G933-1),IF(D933="Builder",CapBuilder,CapSingle)*Unit),2)))</f>
        <v/>
      </c>
      <c r="L933" s="10" t="n"/>
      <c r="N933" s="10" t="n"/>
      <c r="O933" s="10">
        <f>IF(L933="","",IF(M933="Won",L933*G933,IF(M933="Void",L933,IF(M933="Cash out",N(N933),IF(M933="Lost",0,"")))))</f>
        <v/>
      </c>
      <c r="P933" s="10">
        <f>IF(OR(L933="",M933="",M933="Pending"),"",O933-L933)</f>
        <v/>
      </c>
      <c r="Q933" s="21" t="n"/>
      <c r="R933" s="11">
        <f>IF(OR(G933="",Q933=""),"",G933/Q933-1)</f>
        <v/>
      </c>
      <c r="S933" s="10">
        <f>IF(OR(L933="",J933=""),"",L933*J933)</f>
        <v/>
      </c>
      <c r="T933" s="10">
        <f>IF(P933="","",StartBank+SUM(P$2:P933))</f>
        <v/>
      </c>
    </row>
    <row r="934">
      <c r="A934" s="22" t="n"/>
      <c r="G934" s="21" t="n"/>
      <c r="H934" s="11" t="n"/>
      <c r="I934" s="21">
        <f>IF(OR(H934="",H934=0),"",1/H934)</f>
        <v/>
      </c>
      <c r="J934" s="11">
        <f>IF(OR(G934="",H934=""),"",H934*G934-1)</f>
        <v/>
      </c>
      <c r="K934" s="10">
        <f>IF(OR(G934="",H934="",G934&lt;=1),"",IF(J934&lt;IF(D934="Builder",MinEdgeBuilder,IF(D934="Player",MinEdgePlayer,MinEdgeSingle)),0,ROUND(MIN(IF(D934="Single",KellySingle,KellyBuilder)*(StartBank+SUM(P$1:P933))*J934/(G934-1),IF(D934="Builder",CapBuilder,CapSingle)*Unit),2)))</f>
        <v/>
      </c>
      <c r="L934" s="10" t="n"/>
      <c r="N934" s="10" t="n"/>
      <c r="O934" s="10">
        <f>IF(L934="","",IF(M934="Won",L934*G934,IF(M934="Void",L934,IF(M934="Cash out",N(N934),IF(M934="Lost",0,"")))))</f>
        <v/>
      </c>
      <c r="P934" s="10">
        <f>IF(OR(L934="",M934="",M934="Pending"),"",O934-L934)</f>
        <v/>
      </c>
      <c r="Q934" s="21" t="n"/>
      <c r="R934" s="11">
        <f>IF(OR(G934="",Q934=""),"",G934/Q934-1)</f>
        <v/>
      </c>
      <c r="S934" s="10">
        <f>IF(OR(L934="",J934=""),"",L934*J934)</f>
        <v/>
      </c>
      <c r="T934" s="10">
        <f>IF(P934="","",StartBank+SUM(P$2:P934))</f>
        <v/>
      </c>
    </row>
    <row r="935">
      <c r="A935" s="22" t="n"/>
      <c r="G935" s="21" t="n"/>
      <c r="H935" s="11" t="n"/>
      <c r="I935" s="21">
        <f>IF(OR(H935="",H935=0),"",1/H935)</f>
        <v/>
      </c>
      <c r="J935" s="11">
        <f>IF(OR(G935="",H935=""),"",H935*G935-1)</f>
        <v/>
      </c>
      <c r="K935" s="10">
        <f>IF(OR(G935="",H935="",G935&lt;=1),"",IF(J935&lt;IF(D935="Builder",MinEdgeBuilder,IF(D935="Player",MinEdgePlayer,MinEdgeSingle)),0,ROUND(MIN(IF(D935="Single",KellySingle,KellyBuilder)*(StartBank+SUM(P$1:P934))*J935/(G935-1),IF(D935="Builder",CapBuilder,CapSingle)*Unit),2)))</f>
        <v/>
      </c>
      <c r="L935" s="10" t="n"/>
      <c r="N935" s="10" t="n"/>
      <c r="O935" s="10">
        <f>IF(L935="","",IF(M935="Won",L935*G935,IF(M935="Void",L935,IF(M935="Cash out",N(N935),IF(M935="Lost",0,"")))))</f>
        <v/>
      </c>
      <c r="P935" s="10">
        <f>IF(OR(L935="",M935="",M935="Pending"),"",O935-L935)</f>
        <v/>
      </c>
      <c r="Q935" s="21" t="n"/>
      <c r="R935" s="11">
        <f>IF(OR(G935="",Q935=""),"",G935/Q935-1)</f>
        <v/>
      </c>
      <c r="S935" s="10">
        <f>IF(OR(L935="",J935=""),"",L935*J935)</f>
        <v/>
      </c>
      <c r="T935" s="10">
        <f>IF(P935="","",StartBank+SUM(P$2:P935))</f>
        <v/>
      </c>
    </row>
    <row r="936">
      <c r="A936" s="22" t="n"/>
      <c r="G936" s="21" t="n"/>
      <c r="H936" s="11" t="n"/>
      <c r="I936" s="21">
        <f>IF(OR(H936="",H936=0),"",1/H936)</f>
        <v/>
      </c>
      <c r="J936" s="11">
        <f>IF(OR(G936="",H936=""),"",H936*G936-1)</f>
        <v/>
      </c>
      <c r="K936" s="10">
        <f>IF(OR(G936="",H936="",G936&lt;=1),"",IF(J936&lt;IF(D936="Builder",MinEdgeBuilder,IF(D936="Player",MinEdgePlayer,MinEdgeSingle)),0,ROUND(MIN(IF(D936="Single",KellySingle,KellyBuilder)*(StartBank+SUM(P$1:P935))*J936/(G936-1),IF(D936="Builder",CapBuilder,CapSingle)*Unit),2)))</f>
        <v/>
      </c>
      <c r="L936" s="10" t="n"/>
      <c r="N936" s="10" t="n"/>
      <c r="O936" s="10">
        <f>IF(L936="","",IF(M936="Won",L936*G936,IF(M936="Void",L936,IF(M936="Cash out",N(N936),IF(M936="Lost",0,"")))))</f>
        <v/>
      </c>
      <c r="P936" s="10">
        <f>IF(OR(L936="",M936="",M936="Pending"),"",O936-L936)</f>
        <v/>
      </c>
      <c r="Q936" s="21" t="n"/>
      <c r="R936" s="11">
        <f>IF(OR(G936="",Q936=""),"",G936/Q936-1)</f>
        <v/>
      </c>
      <c r="S936" s="10">
        <f>IF(OR(L936="",J936=""),"",L936*J936)</f>
        <v/>
      </c>
      <c r="T936" s="10">
        <f>IF(P936="","",StartBank+SUM(P$2:P936))</f>
        <v/>
      </c>
    </row>
    <row r="937">
      <c r="A937" s="22" t="n"/>
      <c r="G937" s="21" t="n"/>
      <c r="H937" s="11" t="n"/>
      <c r="I937" s="21">
        <f>IF(OR(H937="",H937=0),"",1/H937)</f>
        <v/>
      </c>
      <c r="J937" s="11">
        <f>IF(OR(G937="",H937=""),"",H937*G937-1)</f>
        <v/>
      </c>
      <c r="K937" s="10">
        <f>IF(OR(G937="",H937="",G937&lt;=1),"",IF(J937&lt;IF(D937="Builder",MinEdgeBuilder,IF(D937="Player",MinEdgePlayer,MinEdgeSingle)),0,ROUND(MIN(IF(D937="Single",KellySingle,KellyBuilder)*(StartBank+SUM(P$1:P936))*J937/(G937-1),IF(D937="Builder",CapBuilder,CapSingle)*Unit),2)))</f>
        <v/>
      </c>
      <c r="L937" s="10" t="n"/>
      <c r="N937" s="10" t="n"/>
      <c r="O937" s="10">
        <f>IF(L937="","",IF(M937="Won",L937*G937,IF(M937="Void",L937,IF(M937="Cash out",N(N937),IF(M937="Lost",0,"")))))</f>
        <v/>
      </c>
      <c r="P937" s="10">
        <f>IF(OR(L937="",M937="",M937="Pending"),"",O937-L937)</f>
        <v/>
      </c>
      <c r="Q937" s="21" t="n"/>
      <c r="R937" s="11">
        <f>IF(OR(G937="",Q937=""),"",G937/Q937-1)</f>
        <v/>
      </c>
      <c r="S937" s="10">
        <f>IF(OR(L937="",J937=""),"",L937*J937)</f>
        <v/>
      </c>
      <c r="T937" s="10">
        <f>IF(P937="","",StartBank+SUM(P$2:P937))</f>
        <v/>
      </c>
    </row>
    <row r="938">
      <c r="A938" s="22" t="n"/>
      <c r="G938" s="21" t="n"/>
      <c r="H938" s="11" t="n"/>
      <c r="I938" s="21">
        <f>IF(OR(H938="",H938=0),"",1/H938)</f>
        <v/>
      </c>
      <c r="J938" s="11">
        <f>IF(OR(G938="",H938=""),"",H938*G938-1)</f>
        <v/>
      </c>
      <c r="K938" s="10">
        <f>IF(OR(G938="",H938="",G938&lt;=1),"",IF(J938&lt;IF(D938="Builder",MinEdgeBuilder,IF(D938="Player",MinEdgePlayer,MinEdgeSingle)),0,ROUND(MIN(IF(D938="Single",KellySingle,KellyBuilder)*(StartBank+SUM(P$1:P937))*J938/(G938-1),IF(D938="Builder",CapBuilder,CapSingle)*Unit),2)))</f>
        <v/>
      </c>
      <c r="L938" s="10" t="n"/>
      <c r="N938" s="10" t="n"/>
      <c r="O938" s="10">
        <f>IF(L938="","",IF(M938="Won",L938*G938,IF(M938="Void",L938,IF(M938="Cash out",N(N938),IF(M938="Lost",0,"")))))</f>
        <v/>
      </c>
      <c r="P938" s="10">
        <f>IF(OR(L938="",M938="",M938="Pending"),"",O938-L938)</f>
        <v/>
      </c>
      <c r="Q938" s="21" t="n"/>
      <c r="R938" s="11">
        <f>IF(OR(G938="",Q938=""),"",G938/Q938-1)</f>
        <v/>
      </c>
      <c r="S938" s="10">
        <f>IF(OR(L938="",J938=""),"",L938*J938)</f>
        <v/>
      </c>
      <c r="T938" s="10">
        <f>IF(P938="","",StartBank+SUM(P$2:P938))</f>
        <v/>
      </c>
    </row>
    <row r="939">
      <c r="A939" s="22" t="n"/>
      <c r="G939" s="21" t="n"/>
      <c r="H939" s="11" t="n"/>
      <c r="I939" s="21">
        <f>IF(OR(H939="",H939=0),"",1/H939)</f>
        <v/>
      </c>
      <c r="J939" s="11">
        <f>IF(OR(G939="",H939=""),"",H939*G939-1)</f>
        <v/>
      </c>
      <c r="K939" s="10">
        <f>IF(OR(G939="",H939="",G939&lt;=1),"",IF(J939&lt;IF(D939="Builder",MinEdgeBuilder,IF(D939="Player",MinEdgePlayer,MinEdgeSingle)),0,ROUND(MIN(IF(D939="Single",KellySingle,KellyBuilder)*(StartBank+SUM(P$1:P938))*J939/(G939-1),IF(D939="Builder",CapBuilder,CapSingle)*Unit),2)))</f>
        <v/>
      </c>
      <c r="L939" s="10" t="n"/>
      <c r="N939" s="10" t="n"/>
      <c r="O939" s="10">
        <f>IF(L939="","",IF(M939="Won",L939*G939,IF(M939="Void",L939,IF(M939="Cash out",N(N939),IF(M939="Lost",0,"")))))</f>
        <v/>
      </c>
      <c r="P939" s="10">
        <f>IF(OR(L939="",M939="",M939="Pending"),"",O939-L939)</f>
        <v/>
      </c>
      <c r="Q939" s="21" t="n"/>
      <c r="R939" s="11">
        <f>IF(OR(G939="",Q939=""),"",G939/Q939-1)</f>
        <v/>
      </c>
      <c r="S939" s="10">
        <f>IF(OR(L939="",J939=""),"",L939*J939)</f>
        <v/>
      </c>
      <c r="T939" s="10">
        <f>IF(P939="","",StartBank+SUM(P$2:P939))</f>
        <v/>
      </c>
    </row>
    <row r="940">
      <c r="A940" s="22" t="n"/>
      <c r="G940" s="21" t="n"/>
      <c r="H940" s="11" t="n"/>
      <c r="I940" s="21">
        <f>IF(OR(H940="",H940=0),"",1/H940)</f>
        <v/>
      </c>
      <c r="J940" s="11">
        <f>IF(OR(G940="",H940=""),"",H940*G940-1)</f>
        <v/>
      </c>
      <c r="K940" s="10">
        <f>IF(OR(G940="",H940="",G940&lt;=1),"",IF(J940&lt;IF(D940="Builder",MinEdgeBuilder,IF(D940="Player",MinEdgePlayer,MinEdgeSingle)),0,ROUND(MIN(IF(D940="Single",KellySingle,KellyBuilder)*(StartBank+SUM(P$1:P939))*J940/(G940-1),IF(D940="Builder",CapBuilder,CapSingle)*Unit),2)))</f>
        <v/>
      </c>
      <c r="L940" s="10" t="n"/>
      <c r="N940" s="10" t="n"/>
      <c r="O940" s="10">
        <f>IF(L940="","",IF(M940="Won",L940*G940,IF(M940="Void",L940,IF(M940="Cash out",N(N940),IF(M940="Lost",0,"")))))</f>
        <v/>
      </c>
      <c r="P940" s="10">
        <f>IF(OR(L940="",M940="",M940="Pending"),"",O940-L940)</f>
        <v/>
      </c>
      <c r="Q940" s="21" t="n"/>
      <c r="R940" s="11">
        <f>IF(OR(G940="",Q940=""),"",G940/Q940-1)</f>
        <v/>
      </c>
      <c r="S940" s="10">
        <f>IF(OR(L940="",J940=""),"",L940*J940)</f>
        <v/>
      </c>
      <c r="T940" s="10">
        <f>IF(P940="","",StartBank+SUM(P$2:P940))</f>
        <v/>
      </c>
    </row>
    <row r="941">
      <c r="A941" s="22" t="n"/>
      <c r="G941" s="21" t="n"/>
      <c r="H941" s="11" t="n"/>
      <c r="I941" s="21">
        <f>IF(OR(H941="",H941=0),"",1/H941)</f>
        <v/>
      </c>
      <c r="J941" s="11">
        <f>IF(OR(G941="",H941=""),"",H941*G941-1)</f>
        <v/>
      </c>
      <c r="K941" s="10">
        <f>IF(OR(G941="",H941="",G941&lt;=1),"",IF(J941&lt;IF(D941="Builder",MinEdgeBuilder,IF(D941="Player",MinEdgePlayer,MinEdgeSingle)),0,ROUND(MIN(IF(D941="Single",KellySingle,KellyBuilder)*(StartBank+SUM(P$1:P940))*J941/(G941-1),IF(D941="Builder",CapBuilder,CapSingle)*Unit),2)))</f>
        <v/>
      </c>
      <c r="L941" s="10" t="n"/>
      <c r="N941" s="10" t="n"/>
      <c r="O941" s="10">
        <f>IF(L941="","",IF(M941="Won",L941*G941,IF(M941="Void",L941,IF(M941="Cash out",N(N941),IF(M941="Lost",0,"")))))</f>
        <v/>
      </c>
      <c r="P941" s="10">
        <f>IF(OR(L941="",M941="",M941="Pending"),"",O941-L941)</f>
        <v/>
      </c>
      <c r="Q941" s="21" t="n"/>
      <c r="R941" s="11">
        <f>IF(OR(G941="",Q941=""),"",G941/Q941-1)</f>
        <v/>
      </c>
      <c r="S941" s="10">
        <f>IF(OR(L941="",J941=""),"",L941*J941)</f>
        <v/>
      </c>
      <c r="T941" s="10">
        <f>IF(P941="","",StartBank+SUM(P$2:P941))</f>
        <v/>
      </c>
    </row>
    <row r="942">
      <c r="A942" s="22" t="n"/>
      <c r="G942" s="21" t="n"/>
      <c r="H942" s="11" t="n"/>
      <c r="I942" s="21">
        <f>IF(OR(H942="",H942=0),"",1/H942)</f>
        <v/>
      </c>
      <c r="J942" s="11">
        <f>IF(OR(G942="",H942=""),"",H942*G942-1)</f>
        <v/>
      </c>
      <c r="K942" s="10">
        <f>IF(OR(G942="",H942="",G942&lt;=1),"",IF(J942&lt;IF(D942="Builder",MinEdgeBuilder,IF(D942="Player",MinEdgePlayer,MinEdgeSingle)),0,ROUND(MIN(IF(D942="Single",KellySingle,KellyBuilder)*(StartBank+SUM(P$1:P941))*J942/(G942-1),IF(D942="Builder",CapBuilder,CapSingle)*Unit),2)))</f>
        <v/>
      </c>
      <c r="L942" s="10" t="n"/>
      <c r="N942" s="10" t="n"/>
      <c r="O942" s="10">
        <f>IF(L942="","",IF(M942="Won",L942*G942,IF(M942="Void",L942,IF(M942="Cash out",N(N942),IF(M942="Lost",0,"")))))</f>
        <v/>
      </c>
      <c r="P942" s="10">
        <f>IF(OR(L942="",M942="",M942="Pending"),"",O942-L942)</f>
        <v/>
      </c>
      <c r="Q942" s="21" t="n"/>
      <c r="R942" s="11">
        <f>IF(OR(G942="",Q942=""),"",G942/Q942-1)</f>
        <v/>
      </c>
      <c r="S942" s="10">
        <f>IF(OR(L942="",J942=""),"",L942*J942)</f>
        <v/>
      </c>
      <c r="T942" s="10">
        <f>IF(P942="","",StartBank+SUM(P$2:P942))</f>
        <v/>
      </c>
    </row>
    <row r="943">
      <c r="A943" s="22" t="n"/>
      <c r="G943" s="21" t="n"/>
      <c r="H943" s="11" t="n"/>
      <c r="I943" s="21">
        <f>IF(OR(H943="",H943=0),"",1/H943)</f>
        <v/>
      </c>
      <c r="J943" s="11">
        <f>IF(OR(G943="",H943=""),"",H943*G943-1)</f>
        <v/>
      </c>
      <c r="K943" s="10">
        <f>IF(OR(G943="",H943="",G943&lt;=1),"",IF(J943&lt;IF(D943="Builder",MinEdgeBuilder,IF(D943="Player",MinEdgePlayer,MinEdgeSingle)),0,ROUND(MIN(IF(D943="Single",KellySingle,KellyBuilder)*(StartBank+SUM(P$1:P942))*J943/(G943-1),IF(D943="Builder",CapBuilder,CapSingle)*Unit),2)))</f>
        <v/>
      </c>
      <c r="L943" s="10" t="n"/>
      <c r="N943" s="10" t="n"/>
      <c r="O943" s="10">
        <f>IF(L943="","",IF(M943="Won",L943*G943,IF(M943="Void",L943,IF(M943="Cash out",N(N943),IF(M943="Lost",0,"")))))</f>
        <v/>
      </c>
      <c r="P943" s="10">
        <f>IF(OR(L943="",M943="",M943="Pending"),"",O943-L943)</f>
        <v/>
      </c>
      <c r="Q943" s="21" t="n"/>
      <c r="R943" s="11">
        <f>IF(OR(G943="",Q943=""),"",G943/Q943-1)</f>
        <v/>
      </c>
      <c r="S943" s="10">
        <f>IF(OR(L943="",J943=""),"",L943*J943)</f>
        <v/>
      </c>
      <c r="T943" s="10">
        <f>IF(P943="","",StartBank+SUM(P$2:P943))</f>
        <v/>
      </c>
    </row>
    <row r="944">
      <c r="A944" s="22" t="n"/>
      <c r="G944" s="21" t="n"/>
      <c r="H944" s="11" t="n"/>
      <c r="I944" s="21">
        <f>IF(OR(H944="",H944=0),"",1/H944)</f>
        <v/>
      </c>
      <c r="J944" s="11">
        <f>IF(OR(G944="",H944=""),"",H944*G944-1)</f>
        <v/>
      </c>
      <c r="K944" s="10">
        <f>IF(OR(G944="",H944="",G944&lt;=1),"",IF(J944&lt;IF(D944="Builder",MinEdgeBuilder,IF(D944="Player",MinEdgePlayer,MinEdgeSingle)),0,ROUND(MIN(IF(D944="Single",KellySingle,KellyBuilder)*(StartBank+SUM(P$1:P943))*J944/(G944-1),IF(D944="Builder",CapBuilder,CapSingle)*Unit),2)))</f>
        <v/>
      </c>
      <c r="L944" s="10" t="n"/>
      <c r="N944" s="10" t="n"/>
      <c r="O944" s="10">
        <f>IF(L944="","",IF(M944="Won",L944*G944,IF(M944="Void",L944,IF(M944="Cash out",N(N944),IF(M944="Lost",0,"")))))</f>
        <v/>
      </c>
      <c r="P944" s="10">
        <f>IF(OR(L944="",M944="",M944="Pending"),"",O944-L944)</f>
        <v/>
      </c>
      <c r="Q944" s="21" t="n"/>
      <c r="R944" s="11">
        <f>IF(OR(G944="",Q944=""),"",G944/Q944-1)</f>
        <v/>
      </c>
      <c r="S944" s="10">
        <f>IF(OR(L944="",J944=""),"",L944*J944)</f>
        <v/>
      </c>
      <c r="T944" s="10">
        <f>IF(P944="","",StartBank+SUM(P$2:P944))</f>
        <v/>
      </c>
    </row>
    <row r="945">
      <c r="A945" s="22" t="n"/>
      <c r="G945" s="21" t="n"/>
      <c r="H945" s="11" t="n"/>
      <c r="I945" s="21">
        <f>IF(OR(H945="",H945=0),"",1/H945)</f>
        <v/>
      </c>
      <c r="J945" s="11">
        <f>IF(OR(G945="",H945=""),"",H945*G945-1)</f>
        <v/>
      </c>
      <c r="K945" s="10">
        <f>IF(OR(G945="",H945="",G945&lt;=1),"",IF(J945&lt;IF(D945="Builder",MinEdgeBuilder,IF(D945="Player",MinEdgePlayer,MinEdgeSingle)),0,ROUND(MIN(IF(D945="Single",KellySingle,KellyBuilder)*(StartBank+SUM(P$1:P944))*J945/(G945-1),IF(D945="Builder",CapBuilder,CapSingle)*Unit),2)))</f>
        <v/>
      </c>
      <c r="L945" s="10" t="n"/>
      <c r="N945" s="10" t="n"/>
      <c r="O945" s="10">
        <f>IF(L945="","",IF(M945="Won",L945*G945,IF(M945="Void",L945,IF(M945="Cash out",N(N945),IF(M945="Lost",0,"")))))</f>
        <v/>
      </c>
      <c r="P945" s="10">
        <f>IF(OR(L945="",M945="",M945="Pending"),"",O945-L945)</f>
        <v/>
      </c>
      <c r="Q945" s="21" t="n"/>
      <c r="R945" s="11">
        <f>IF(OR(G945="",Q945=""),"",G945/Q945-1)</f>
        <v/>
      </c>
      <c r="S945" s="10">
        <f>IF(OR(L945="",J945=""),"",L945*J945)</f>
        <v/>
      </c>
      <c r="T945" s="10">
        <f>IF(P945="","",StartBank+SUM(P$2:P945))</f>
        <v/>
      </c>
    </row>
    <row r="946">
      <c r="A946" s="22" t="n"/>
      <c r="G946" s="21" t="n"/>
      <c r="H946" s="11" t="n"/>
      <c r="I946" s="21">
        <f>IF(OR(H946="",H946=0),"",1/H946)</f>
        <v/>
      </c>
      <c r="J946" s="11">
        <f>IF(OR(G946="",H946=""),"",H946*G946-1)</f>
        <v/>
      </c>
      <c r="K946" s="10">
        <f>IF(OR(G946="",H946="",G946&lt;=1),"",IF(J946&lt;IF(D946="Builder",MinEdgeBuilder,IF(D946="Player",MinEdgePlayer,MinEdgeSingle)),0,ROUND(MIN(IF(D946="Single",KellySingle,KellyBuilder)*(StartBank+SUM(P$1:P945))*J946/(G946-1),IF(D946="Builder",CapBuilder,CapSingle)*Unit),2)))</f>
        <v/>
      </c>
      <c r="L946" s="10" t="n"/>
      <c r="N946" s="10" t="n"/>
      <c r="O946" s="10">
        <f>IF(L946="","",IF(M946="Won",L946*G946,IF(M946="Void",L946,IF(M946="Cash out",N(N946),IF(M946="Lost",0,"")))))</f>
        <v/>
      </c>
      <c r="P946" s="10">
        <f>IF(OR(L946="",M946="",M946="Pending"),"",O946-L946)</f>
        <v/>
      </c>
      <c r="Q946" s="21" t="n"/>
      <c r="R946" s="11">
        <f>IF(OR(G946="",Q946=""),"",G946/Q946-1)</f>
        <v/>
      </c>
      <c r="S946" s="10">
        <f>IF(OR(L946="",J946=""),"",L946*J946)</f>
        <v/>
      </c>
      <c r="T946" s="10">
        <f>IF(P946="","",StartBank+SUM(P$2:P946))</f>
        <v/>
      </c>
    </row>
    <row r="947">
      <c r="A947" s="22" t="n"/>
      <c r="G947" s="21" t="n"/>
      <c r="H947" s="11" t="n"/>
      <c r="I947" s="21">
        <f>IF(OR(H947="",H947=0),"",1/H947)</f>
        <v/>
      </c>
      <c r="J947" s="11">
        <f>IF(OR(G947="",H947=""),"",H947*G947-1)</f>
        <v/>
      </c>
      <c r="K947" s="10">
        <f>IF(OR(G947="",H947="",G947&lt;=1),"",IF(J947&lt;IF(D947="Builder",MinEdgeBuilder,IF(D947="Player",MinEdgePlayer,MinEdgeSingle)),0,ROUND(MIN(IF(D947="Single",KellySingle,KellyBuilder)*(StartBank+SUM(P$1:P946))*J947/(G947-1),IF(D947="Builder",CapBuilder,CapSingle)*Unit),2)))</f>
        <v/>
      </c>
      <c r="L947" s="10" t="n"/>
      <c r="N947" s="10" t="n"/>
      <c r="O947" s="10">
        <f>IF(L947="","",IF(M947="Won",L947*G947,IF(M947="Void",L947,IF(M947="Cash out",N(N947),IF(M947="Lost",0,"")))))</f>
        <v/>
      </c>
      <c r="P947" s="10">
        <f>IF(OR(L947="",M947="",M947="Pending"),"",O947-L947)</f>
        <v/>
      </c>
      <c r="Q947" s="21" t="n"/>
      <c r="R947" s="11">
        <f>IF(OR(G947="",Q947=""),"",G947/Q947-1)</f>
        <v/>
      </c>
      <c r="S947" s="10">
        <f>IF(OR(L947="",J947=""),"",L947*J947)</f>
        <v/>
      </c>
      <c r="T947" s="10">
        <f>IF(P947="","",StartBank+SUM(P$2:P947))</f>
        <v/>
      </c>
    </row>
    <row r="948">
      <c r="A948" s="22" t="n"/>
      <c r="G948" s="21" t="n"/>
      <c r="H948" s="11" t="n"/>
      <c r="I948" s="21">
        <f>IF(OR(H948="",H948=0),"",1/H948)</f>
        <v/>
      </c>
      <c r="J948" s="11">
        <f>IF(OR(G948="",H948=""),"",H948*G948-1)</f>
        <v/>
      </c>
      <c r="K948" s="10">
        <f>IF(OR(G948="",H948="",G948&lt;=1),"",IF(J948&lt;IF(D948="Builder",MinEdgeBuilder,IF(D948="Player",MinEdgePlayer,MinEdgeSingle)),0,ROUND(MIN(IF(D948="Single",KellySingle,KellyBuilder)*(StartBank+SUM(P$1:P947))*J948/(G948-1),IF(D948="Builder",CapBuilder,CapSingle)*Unit),2)))</f>
        <v/>
      </c>
      <c r="L948" s="10" t="n"/>
      <c r="N948" s="10" t="n"/>
      <c r="O948" s="10">
        <f>IF(L948="","",IF(M948="Won",L948*G948,IF(M948="Void",L948,IF(M948="Cash out",N(N948),IF(M948="Lost",0,"")))))</f>
        <v/>
      </c>
      <c r="P948" s="10">
        <f>IF(OR(L948="",M948="",M948="Pending"),"",O948-L948)</f>
        <v/>
      </c>
      <c r="Q948" s="21" t="n"/>
      <c r="R948" s="11">
        <f>IF(OR(G948="",Q948=""),"",G948/Q948-1)</f>
        <v/>
      </c>
      <c r="S948" s="10">
        <f>IF(OR(L948="",J948=""),"",L948*J948)</f>
        <v/>
      </c>
      <c r="T948" s="10">
        <f>IF(P948="","",StartBank+SUM(P$2:P948))</f>
        <v/>
      </c>
    </row>
    <row r="949">
      <c r="A949" s="22" t="n"/>
      <c r="G949" s="21" t="n"/>
      <c r="H949" s="11" t="n"/>
      <c r="I949" s="21">
        <f>IF(OR(H949="",H949=0),"",1/H949)</f>
        <v/>
      </c>
      <c r="J949" s="11">
        <f>IF(OR(G949="",H949=""),"",H949*G949-1)</f>
        <v/>
      </c>
      <c r="K949" s="10">
        <f>IF(OR(G949="",H949="",G949&lt;=1),"",IF(J949&lt;IF(D949="Builder",MinEdgeBuilder,IF(D949="Player",MinEdgePlayer,MinEdgeSingle)),0,ROUND(MIN(IF(D949="Single",KellySingle,KellyBuilder)*(StartBank+SUM(P$1:P948))*J949/(G949-1),IF(D949="Builder",CapBuilder,CapSingle)*Unit),2)))</f>
        <v/>
      </c>
      <c r="L949" s="10" t="n"/>
      <c r="N949" s="10" t="n"/>
      <c r="O949" s="10">
        <f>IF(L949="","",IF(M949="Won",L949*G949,IF(M949="Void",L949,IF(M949="Cash out",N(N949),IF(M949="Lost",0,"")))))</f>
        <v/>
      </c>
      <c r="P949" s="10">
        <f>IF(OR(L949="",M949="",M949="Pending"),"",O949-L949)</f>
        <v/>
      </c>
      <c r="Q949" s="21" t="n"/>
      <c r="R949" s="11">
        <f>IF(OR(G949="",Q949=""),"",G949/Q949-1)</f>
        <v/>
      </c>
      <c r="S949" s="10">
        <f>IF(OR(L949="",J949=""),"",L949*J949)</f>
        <v/>
      </c>
      <c r="T949" s="10">
        <f>IF(P949="","",StartBank+SUM(P$2:P949))</f>
        <v/>
      </c>
    </row>
    <row r="950">
      <c r="A950" s="22" t="n"/>
      <c r="G950" s="21" t="n"/>
      <c r="H950" s="11" t="n"/>
      <c r="I950" s="21">
        <f>IF(OR(H950="",H950=0),"",1/H950)</f>
        <v/>
      </c>
      <c r="J950" s="11">
        <f>IF(OR(G950="",H950=""),"",H950*G950-1)</f>
        <v/>
      </c>
      <c r="K950" s="10">
        <f>IF(OR(G950="",H950="",G950&lt;=1),"",IF(J950&lt;IF(D950="Builder",MinEdgeBuilder,IF(D950="Player",MinEdgePlayer,MinEdgeSingle)),0,ROUND(MIN(IF(D950="Single",KellySingle,KellyBuilder)*(StartBank+SUM(P$1:P949))*J950/(G950-1),IF(D950="Builder",CapBuilder,CapSingle)*Unit),2)))</f>
        <v/>
      </c>
      <c r="L950" s="10" t="n"/>
      <c r="N950" s="10" t="n"/>
      <c r="O950" s="10">
        <f>IF(L950="","",IF(M950="Won",L950*G950,IF(M950="Void",L950,IF(M950="Cash out",N(N950),IF(M950="Lost",0,"")))))</f>
        <v/>
      </c>
      <c r="P950" s="10">
        <f>IF(OR(L950="",M950="",M950="Pending"),"",O950-L950)</f>
        <v/>
      </c>
      <c r="Q950" s="21" t="n"/>
      <c r="R950" s="11">
        <f>IF(OR(G950="",Q950=""),"",G950/Q950-1)</f>
        <v/>
      </c>
      <c r="S950" s="10">
        <f>IF(OR(L950="",J950=""),"",L950*J950)</f>
        <v/>
      </c>
      <c r="T950" s="10">
        <f>IF(P950="","",StartBank+SUM(P$2:P950))</f>
        <v/>
      </c>
    </row>
    <row r="951">
      <c r="A951" s="22" t="n"/>
      <c r="G951" s="21" t="n"/>
      <c r="H951" s="11" t="n"/>
      <c r="I951" s="21">
        <f>IF(OR(H951="",H951=0),"",1/H951)</f>
        <v/>
      </c>
      <c r="J951" s="11">
        <f>IF(OR(G951="",H951=""),"",H951*G951-1)</f>
        <v/>
      </c>
      <c r="K951" s="10">
        <f>IF(OR(G951="",H951="",G951&lt;=1),"",IF(J951&lt;IF(D951="Builder",MinEdgeBuilder,IF(D951="Player",MinEdgePlayer,MinEdgeSingle)),0,ROUND(MIN(IF(D951="Single",KellySingle,KellyBuilder)*(StartBank+SUM(P$1:P950))*J951/(G951-1),IF(D951="Builder",CapBuilder,CapSingle)*Unit),2)))</f>
        <v/>
      </c>
      <c r="L951" s="10" t="n"/>
      <c r="N951" s="10" t="n"/>
      <c r="O951" s="10">
        <f>IF(L951="","",IF(M951="Won",L951*G951,IF(M951="Void",L951,IF(M951="Cash out",N(N951),IF(M951="Lost",0,"")))))</f>
        <v/>
      </c>
      <c r="P951" s="10">
        <f>IF(OR(L951="",M951="",M951="Pending"),"",O951-L951)</f>
        <v/>
      </c>
      <c r="Q951" s="21" t="n"/>
      <c r="R951" s="11">
        <f>IF(OR(G951="",Q951=""),"",G951/Q951-1)</f>
        <v/>
      </c>
      <c r="S951" s="10">
        <f>IF(OR(L951="",J951=""),"",L951*J951)</f>
        <v/>
      </c>
      <c r="T951" s="10">
        <f>IF(P951="","",StartBank+SUM(P$2:P951))</f>
        <v/>
      </c>
    </row>
    <row r="952">
      <c r="A952" s="22" t="n"/>
      <c r="G952" s="21" t="n"/>
      <c r="H952" s="11" t="n"/>
      <c r="I952" s="21">
        <f>IF(OR(H952="",H952=0),"",1/H952)</f>
        <v/>
      </c>
      <c r="J952" s="11">
        <f>IF(OR(G952="",H952=""),"",H952*G952-1)</f>
        <v/>
      </c>
      <c r="K952" s="10">
        <f>IF(OR(G952="",H952="",G952&lt;=1),"",IF(J952&lt;IF(D952="Builder",MinEdgeBuilder,IF(D952="Player",MinEdgePlayer,MinEdgeSingle)),0,ROUND(MIN(IF(D952="Single",KellySingle,KellyBuilder)*(StartBank+SUM(P$1:P951))*J952/(G952-1),IF(D952="Builder",CapBuilder,CapSingle)*Unit),2)))</f>
        <v/>
      </c>
      <c r="L952" s="10" t="n"/>
      <c r="N952" s="10" t="n"/>
      <c r="O952" s="10">
        <f>IF(L952="","",IF(M952="Won",L952*G952,IF(M952="Void",L952,IF(M952="Cash out",N(N952),IF(M952="Lost",0,"")))))</f>
        <v/>
      </c>
      <c r="P952" s="10">
        <f>IF(OR(L952="",M952="",M952="Pending"),"",O952-L952)</f>
        <v/>
      </c>
      <c r="Q952" s="21" t="n"/>
      <c r="R952" s="11">
        <f>IF(OR(G952="",Q952=""),"",G952/Q952-1)</f>
        <v/>
      </c>
      <c r="S952" s="10">
        <f>IF(OR(L952="",J952=""),"",L952*J952)</f>
        <v/>
      </c>
      <c r="T952" s="10">
        <f>IF(P952="","",StartBank+SUM(P$2:P952))</f>
        <v/>
      </c>
    </row>
    <row r="953">
      <c r="A953" s="22" t="n"/>
      <c r="G953" s="21" t="n"/>
      <c r="H953" s="11" t="n"/>
      <c r="I953" s="21">
        <f>IF(OR(H953="",H953=0),"",1/H953)</f>
        <v/>
      </c>
      <c r="J953" s="11">
        <f>IF(OR(G953="",H953=""),"",H953*G953-1)</f>
        <v/>
      </c>
      <c r="K953" s="10">
        <f>IF(OR(G953="",H953="",G953&lt;=1),"",IF(J953&lt;IF(D953="Builder",MinEdgeBuilder,IF(D953="Player",MinEdgePlayer,MinEdgeSingle)),0,ROUND(MIN(IF(D953="Single",KellySingle,KellyBuilder)*(StartBank+SUM(P$1:P952))*J953/(G953-1),IF(D953="Builder",CapBuilder,CapSingle)*Unit),2)))</f>
        <v/>
      </c>
      <c r="L953" s="10" t="n"/>
      <c r="N953" s="10" t="n"/>
      <c r="O953" s="10">
        <f>IF(L953="","",IF(M953="Won",L953*G953,IF(M953="Void",L953,IF(M953="Cash out",N(N953),IF(M953="Lost",0,"")))))</f>
        <v/>
      </c>
      <c r="P953" s="10">
        <f>IF(OR(L953="",M953="",M953="Pending"),"",O953-L953)</f>
        <v/>
      </c>
      <c r="Q953" s="21" t="n"/>
      <c r="R953" s="11">
        <f>IF(OR(G953="",Q953=""),"",G953/Q953-1)</f>
        <v/>
      </c>
      <c r="S953" s="10">
        <f>IF(OR(L953="",J953=""),"",L953*J953)</f>
        <v/>
      </c>
      <c r="T953" s="10">
        <f>IF(P953="","",StartBank+SUM(P$2:P953))</f>
        <v/>
      </c>
    </row>
    <row r="954">
      <c r="A954" s="22" t="n"/>
      <c r="G954" s="21" t="n"/>
      <c r="H954" s="11" t="n"/>
      <c r="I954" s="21">
        <f>IF(OR(H954="",H954=0),"",1/H954)</f>
        <v/>
      </c>
      <c r="J954" s="11">
        <f>IF(OR(G954="",H954=""),"",H954*G954-1)</f>
        <v/>
      </c>
      <c r="K954" s="10">
        <f>IF(OR(G954="",H954="",G954&lt;=1),"",IF(J954&lt;IF(D954="Builder",MinEdgeBuilder,IF(D954="Player",MinEdgePlayer,MinEdgeSingle)),0,ROUND(MIN(IF(D954="Single",KellySingle,KellyBuilder)*(StartBank+SUM(P$1:P953))*J954/(G954-1),IF(D954="Builder",CapBuilder,CapSingle)*Unit),2)))</f>
        <v/>
      </c>
      <c r="L954" s="10" t="n"/>
      <c r="N954" s="10" t="n"/>
      <c r="O954" s="10">
        <f>IF(L954="","",IF(M954="Won",L954*G954,IF(M954="Void",L954,IF(M954="Cash out",N(N954),IF(M954="Lost",0,"")))))</f>
        <v/>
      </c>
      <c r="P954" s="10">
        <f>IF(OR(L954="",M954="",M954="Pending"),"",O954-L954)</f>
        <v/>
      </c>
      <c r="Q954" s="21" t="n"/>
      <c r="R954" s="11">
        <f>IF(OR(G954="",Q954=""),"",G954/Q954-1)</f>
        <v/>
      </c>
      <c r="S954" s="10">
        <f>IF(OR(L954="",J954=""),"",L954*J954)</f>
        <v/>
      </c>
      <c r="T954" s="10">
        <f>IF(P954="","",StartBank+SUM(P$2:P954))</f>
        <v/>
      </c>
    </row>
    <row r="955">
      <c r="A955" s="22" t="n"/>
      <c r="G955" s="21" t="n"/>
      <c r="H955" s="11" t="n"/>
      <c r="I955" s="21">
        <f>IF(OR(H955="",H955=0),"",1/H955)</f>
        <v/>
      </c>
      <c r="J955" s="11">
        <f>IF(OR(G955="",H955=""),"",H955*G955-1)</f>
        <v/>
      </c>
      <c r="K955" s="10">
        <f>IF(OR(G955="",H955="",G955&lt;=1),"",IF(J955&lt;IF(D955="Builder",MinEdgeBuilder,IF(D955="Player",MinEdgePlayer,MinEdgeSingle)),0,ROUND(MIN(IF(D955="Single",KellySingle,KellyBuilder)*(StartBank+SUM(P$1:P954))*J955/(G955-1),IF(D955="Builder",CapBuilder,CapSingle)*Unit),2)))</f>
        <v/>
      </c>
      <c r="L955" s="10" t="n"/>
      <c r="N955" s="10" t="n"/>
      <c r="O955" s="10">
        <f>IF(L955="","",IF(M955="Won",L955*G955,IF(M955="Void",L955,IF(M955="Cash out",N(N955),IF(M955="Lost",0,"")))))</f>
        <v/>
      </c>
      <c r="P955" s="10">
        <f>IF(OR(L955="",M955="",M955="Pending"),"",O955-L955)</f>
        <v/>
      </c>
      <c r="Q955" s="21" t="n"/>
      <c r="R955" s="11">
        <f>IF(OR(G955="",Q955=""),"",G955/Q955-1)</f>
        <v/>
      </c>
      <c r="S955" s="10">
        <f>IF(OR(L955="",J955=""),"",L955*J955)</f>
        <v/>
      </c>
      <c r="T955" s="10">
        <f>IF(P955="","",StartBank+SUM(P$2:P955))</f>
        <v/>
      </c>
    </row>
    <row r="956">
      <c r="A956" s="22" t="n"/>
      <c r="G956" s="21" t="n"/>
      <c r="H956" s="11" t="n"/>
      <c r="I956" s="21">
        <f>IF(OR(H956="",H956=0),"",1/H956)</f>
        <v/>
      </c>
      <c r="J956" s="11">
        <f>IF(OR(G956="",H956=""),"",H956*G956-1)</f>
        <v/>
      </c>
      <c r="K956" s="10">
        <f>IF(OR(G956="",H956="",G956&lt;=1),"",IF(J956&lt;IF(D956="Builder",MinEdgeBuilder,IF(D956="Player",MinEdgePlayer,MinEdgeSingle)),0,ROUND(MIN(IF(D956="Single",KellySingle,KellyBuilder)*(StartBank+SUM(P$1:P955))*J956/(G956-1),IF(D956="Builder",CapBuilder,CapSingle)*Unit),2)))</f>
        <v/>
      </c>
      <c r="L956" s="10" t="n"/>
      <c r="N956" s="10" t="n"/>
      <c r="O956" s="10">
        <f>IF(L956="","",IF(M956="Won",L956*G956,IF(M956="Void",L956,IF(M956="Cash out",N(N956),IF(M956="Lost",0,"")))))</f>
        <v/>
      </c>
      <c r="P956" s="10">
        <f>IF(OR(L956="",M956="",M956="Pending"),"",O956-L956)</f>
        <v/>
      </c>
      <c r="Q956" s="21" t="n"/>
      <c r="R956" s="11">
        <f>IF(OR(G956="",Q956=""),"",G956/Q956-1)</f>
        <v/>
      </c>
      <c r="S956" s="10">
        <f>IF(OR(L956="",J956=""),"",L956*J956)</f>
        <v/>
      </c>
      <c r="T956" s="10">
        <f>IF(P956="","",StartBank+SUM(P$2:P956))</f>
        <v/>
      </c>
    </row>
    <row r="957">
      <c r="A957" s="22" t="n"/>
      <c r="G957" s="21" t="n"/>
      <c r="H957" s="11" t="n"/>
      <c r="I957" s="21">
        <f>IF(OR(H957="",H957=0),"",1/H957)</f>
        <v/>
      </c>
      <c r="J957" s="11">
        <f>IF(OR(G957="",H957=""),"",H957*G957-1)</f>
        <v/>
      </c>
      <c r="K957" s="10">
        <f>IF(OR(G957="",H957="",G957&lt;=1),"",IF(J957&lt;IF(D957="Builder",MinEdgeBuilder,IF(D957="Player",MinEdgePlayer,MinEdgeSingle)),0,ROUND(MIN(IF(D957="Single",KellySingle,KellyBuilder)*(StartBank+SUM(P$1:P956))*J957/(G957-1),IF(D957="Builder",CapBuilder,CapSingle)*Unit),2)))</f>
        <v/>
      </c>
      <c r="L957" s="10" t="n"/>
      <c r="N957" s="10" t="n"/>
      <c r="O957" s="10">
        <f>IF(L957="","",IF(M957="Won",L957*G957,IF(M957="Void",L957,IF(M957="Cash out",N(N957),IF(M957="Lost",0,"")))))</f>
        <v/>
      </c>
      <c r="P957" s="10">
        <f>IF(OR(L957="",M957="",M957="Pending"),"",O957-L957)</f>
        <v/>
      </c>
      <c r="Q957" s="21" t="n"/>
      <c r="R957" s="11">
        <f>IF(OR(G957="",Q957=""),"",G957/Q957-1)</f>
        <v/>
      </c>
      <c r="S957" s="10">
        <f>IF(OR(L957="",J957=""),"",L957*J957)</f>
        <v/>
      </c>
      <c r="T957" s="10">
        <f>IF(P957="","",StartBank+SUM(P$2:P957))</f>
        <v/>
      </c>
    </row>
    <row r="958">
      <c r="A958" s="22" t="n"/>
      <c r="G958" s="21" t="n"/>
      <c r="H958" s="11" t="n"/>
      <c r="I958" s="21">
        <f>IF(OR(H958="",H958=0),"",1/H958)</f>
        <v/>
      </c>
      <c r="J958" s="11">
        <f>IF(OR(G958="",H958=""),"",H958*G958-1)</f>
        <v/>
      </c>
      <c r="K958" s="10">
        <f>IF(OR(G958="",H958="",G958&lt;=1),"",IF(J958&lt;IF(D958="Builder",MinEdgeBuilder,IF(D958="Player",MinEdgePlayer,MinEdgeSingle)),0,ROUND(MIN(IF(D958="Single",KellySingle,KellyBuilder)*(StartBank+SUM(P$1:P957))*J958/(G958-1),IF(D958="Builder",CapBuilder,CapSingle)*Unit),2)))</f>
        <v/>
      </c>
      <c r="L958" s="10" t="n"/>
      <c r="N958" s="10" t="n"/>
      <c r="O958" s="10">
        <f>IF(L958="","",IF(M958="Won",L958*G958,IF(M958="Void",L958,IF(M958="Cash out",N(N958),IF(M958="Lost",0,"")))))</f>
        <v/>
      </c>
      <c r="P958" s="10">
        <f>IF(OR(L958="",M958="",M958="Pending"),"",O958-L958)</f>
        <v/>
      </c>
      <c r="Q958" s="21" t="n"/>
      <c r="R958" s="11">
        <f>IF(OR(G958="",Q958=""),"",G958/Q958-1)</f>
        <v/>
      </c>
      <c r="S958" s="10">
        <f>IF(OR(L958="",J958=""),"",L958*J958)</f>
        <v/>
      </c>
      <c r="T958" s="10">
        <f>IF(P958="","",StartBank+SUM(P$2:P958))</f>
        <v/>
      </c>
    </row>
    <row r="959">
      <c r="A959" s="22" t="n"/>
      <c r="G959" s="21" t="n"/>
      <c r="H959" s="11" t="n"/>
      <c r="I959" s="21">
        <f>IF(OR(H959="",H959=0),"",1/H959)</f>
        <v/>
      </c>
      <c r="J959" s="11">
        <f>IF(OR(G959="",H959=""),"",H959*G959-1)</f>
        <v/>
      </c>
      <c r="K959" s="10">
        <f>IF(OR(G959="",H959="",G959&lt;=1),"",IF(J959&lt;IF(D959="Builder",MinEdgeBuilder,IF(D959="Player",MinEdgePlayer,MinEdgeSingle)),0,ROUND(MIN(IF(D959="Single",KellySingle,KellyBuilder)*(StartBank+SUM(P$1:P958))*J959/(G959-1),IF(D959="Builder",CapBuilder,CapSingle)*Unit),2)))</f>
        <v/>
      </c>
      <c r="L959" s="10" t="n"/>
      <c r="N959" s="10" t="n"/>
      <c r="O959" s="10">
        <f>IF(L959="","",IF(M959="Won",L959*G959,IF(M959="Void",L959,IF(M959="Cash out",N(N959),IF(M959="Lost",0,"")))))</f>
        <v/>
      </c>
      <c r="P959" s="10">
        <f>IF(OR(L959="",M959="",M959="Pending"),"",O959-L959)</f>
        <v/>
      </c>
      <c r="Q959" s="21" t="n"/>
      <c r="R959" s="11">
        <f>IF(OR(G959="",Q959=""),"",G959/Q959-1)</f>
        <v/>
      </c>
      <c r="S959" s="10">
        <f>IF(OR(L959="",J959=""),"",L959*J959)</f>
        <v/>
      </c>
      <c r="T959" s="10">
        <f>IF(P959="","",StartBank+SUM(P$2:P959))</f>
        <v/>
      </c>
    </row>
    <row r="960">
      <c r="A960" s="22" t="n"/>
      <c r="G960" s="21" t="n"/>
      <c r="H960" s="11" t="n"/>
      <c r="I960" s="21">
        <f>IF(OR(H960="",H960=0),"",1/H960)</f>
        <v/>
      </c>
      <c r="J960" s="11">
        <f>IF(OR(G960="",H960=""),"",H960*G960-1)</f>
        <v/>
      </c>
      <c r="K960" s="10">
        <f>IF(OR(G960="",H960="",G960&lt;=1),"",IF(J960&lt;IF(D960="Builder",MinEdgeBuilder,IF(D960="Player",MinEdgePlayer,MinEdgeSingle)),0,ROUND(MIN(IF(D960="Single",KellySingle,KellyBuilder)*(StartBank+SUM(P$1:P959))*J960/(G960-1),IF(D960="Builder",CapBuilder,CapSingle)*Unit),2)))</f>
        <v/>
      </c>
      <c r="L960" s="10" t="n"/>
      <c r="N960" s="10" t="n"/>
      <c r="O960" s="10">
        <f>IF(L960="","",IF(M960="Won",L960*G960,IF(M960="Void",L960,IF(M960="Cash out",N(N960),IF(M960="Lost",0,"")))))</f>
        <v/>
      </c>
      <c r="P960" s="10">
        <f>IF(OR(L960="",M960="",M960="Pending"),"",O960-L960)</f>
        <v/>
      </c>
      <c r="Q960" s="21" t="n"/>
      <c r="R960" s="11">
        <f>IF(OR(G960="",Q960=""),"",G960/Q960-1)</f>
        <v/>
      </c>
      <c r="S960" s="10">
        <f>IF(OR(L960="",J960=""),"",L960*J960)</f>
        <v/>
      </c>
      <c r="T960" s="10">
        <f>IF(P960="","",StartBank+SUM(P$2:P960))</f>
        <v/>
      </c>
    </row>
    <row r="961">
      <c r="A961" s="22" t="n"/>
      <c r="G961" s="21" t="n"/>
      <c r="H961" s="11" t="n"/>
      <c r="I961" s="21">
        <f>IF(OR(H961="",H961=0),"",1/H961)</f>
        <v/>
      </c>
      <c r="J961" s="11">
        <f>IF(OR(G961="",H961=""),"",H961*G961-1)</f>
        <v/>
      </c>
      <c r="K961" s="10">
        <f>IF(OR(G961="",H961="",G961&lt;=1),"",IF(J961&lt;IF(D961="Builder",MinEdgeBuilder,IF(D961="Player",MinEdgePlayer,MinEdgeSingle)),0,ROUND(MIN(IF(D961="Single",KellySingle,KellyBuilder)*(StartBank+SUM(P$1:P960))*J961/(G961-1),IF(D961="Builder",CapBuilder,CapSingle)*Unit),2)))</f>
        <v/>
      </c>
      <c r="L961" s="10" t="n"/>
      <c r="N961" s="10" t="n"/>
      <c r="O961" s="10">
        <f>IF(L961="","",IF(M961="Won",L961*G961,IF(M961="Void",L961,IF(M961="Cash out",N(N961),IF(M961="Lost",0,"")))))</f>
        <v/>
      </c>
      <c r="P961" s="10">
        <f>IF(OR(L961="",M961="",M961="Pending"),"",O961-L961)</f>
        <v/>
      </c>
      <c r="Q961" s="21" t="n"/>
      <c r="R961" s="11">
        <f>IF(OR(G961="",Q961=""),"",G961/Q961-1)</f>
        <v/>
      </c>
      <c r="S961" s="10">
        <f>IF(OR(L961="",J961=""),"",L961*J961)</f>
        <v/>
      </c>
      <c r="T961" s="10">
        <f>IF(P961="","",StartBank+SUM(P$2:P961))</f>
        <v/>
      </c>
    </row>
    <row r="962">
      <c r="A962" s="22" t="n"/>
      <c r="G962" s="21" t="n"/>
      <c r="H962" s="11" t="n"/>
      <c r="I962" s="21">
        <f>IF(OR(H962="",H962=0),"",1/H962)</f>
        <v/>
      </c>
      <c r="J962" s="11">
        <f>IF(OR(G962="",H962=""),"",H962*G962-1)</f>
        <v/>
      </c>
      <c r="K962" s="10">
        <f>IF(OR(G962="",H962="",G962&lt;=1),"",IF(J962&lt;IF(D962="Builder",MinEdgeBuilder,IF(D962="Player",MinEdgePlayer,MinEdgeSingle)),0,ROUND(MIN(IF(D962="Single",KellySingle,KellyBuilder)*(StartBank+SUM(P$1:P961))*J962/(G962-1),IF(D962="Builder",CapBuilder,CapSingle)*Unit),2)))</f>
        <v/>
      </c>
      <c r="L962" s="10" t="n"/>
      <c r="N962" s="10" t="n"/>
      <c r="O962" s="10">
        <f>IF(L962="","",IF(M962="Won",L962*G962,IF(M962="Void",L962,IF(M962="Cash out",N(N962),IF(M962="Lost",0,"")))))</f>
        <v/>
      </c>
      <c r="P962" s="10">
        <f>IF(OR(L962="",M962="",M962="Pending"),"",O962-L962)</f>
        <v/>
      </c>
      <c r="Q962" s="21" t="n"/>
      <c r="R962" s="11">
        <f>IF(OR(G962="",Q962=""),"",G962/Q962-1)</f>
        <v/>
      </c>
      <c r="S962" s="10">
        <f>IF(OR(L962="",J962=""),"",L962*J962)</f>
        <v/>
      </c>
      <c r="T962" s="10">
        <f>IF(P962="","",StartBank+SUM(P$2:P962))</f>
        <v/>
      </c>
    </row>
    <row r="963">
      <c r="A963" s="22" t="n"/>
      <c r="G963" s="21" t="n"/>
      <c r="H963" s="11" t="n"/>
      <c r="I963" s="21">
        <f>IF(OR(H963="",H963=0),"",1/H963)</f>
        <v/>
      </c>
      <c r="J963" s="11">
        <f>IF(OR(G963="",H963=""),"",H963*G963-1)</f>
        <v/>
      </c>
      <c r="K963" s="10">
        <f>IF(OR(G963="",H963="",G963&lt;=1),"",IF(J963&lt;IF(D963="Builder",MinEdgeBuilder,IF(D963="Player",MinEdgePlayer,MinEdgeSingle)),0,ROUND(MIN(IF(D963="Single",KellySingle,KellyBuilder)*(StartBank+SUM(P$1:P962))*J963/(G963-1),IF(D963="Builder",CapBuilder,CapSingle)*Unit),2)))</f>
        <v/>
      </c>
      <c r="L963" s="10" t="n"/>
      <c r="N963" s="10" t="n"/>
      <c r="O963" s="10">
        <f>IF(L963="","",IF(M963="Won",L963*G963,IF(M963="Void",L963,IF(M963="Cash out",N(N963),IF(M963="Lost",0,"")))))</f>
        <v/>
      </c>
      <c r="P963" s="10">
        <f>IF(OR(L963="",M963="",M963="Pending"),"",O963-L963)</f>
        <v/>
      </c>
      <c r="Q963" s="21" t="n"/>
      <c r="R963" s="11">
        <f>IF(OR(G963="",Q963=""),"",G963/Q963-1)</f>
        <v/>
      </c>
      <c r="S963" s="10">
        <f>IF(OR(L963="",J963=""),"",L963*J963)</f>
        <v/>
      </c>
      <c r="T963" s="10">
        <f>IF(P963="","",StartBank+SUM(P$2:P963))</f>
        <v/>
      </c>
    </row>
    <row r="964">
      <c r="A964" s="22" t="n"/>
      <c r="G964" s="21" t="n"/>
      <c r="H964" s="11" t="n"/>
      <c r="I964" s="21">
        <f>IF(OR(H964="",H964=0),"",1/H964)</f>
        <v/>
      </c>
      <c r="J964" s="11">
        <f>IF(OR(G964="",H964=""),"",H964*G964-1)</f>
        <v/>
      </c>
      <c r="K964" s="10">
        <f>IF(OR(G964="",H964="",G964&lt;=1),"",IF(J964&lt;IF(D964="Builder",MinEdgeBuilder,IF(D964="Player",MinEdgePlayer,MinEdgeSingle)),0,ROUND(MIN(IF(D964="Single",KellySingle,KellyBuilder)*(StartBank+SUM(P$1:P963))*J964/(G964-1),IF(D964="Builder",CapBuilder,CapSingle)*Unit),2)))</f>
        <v/>
      </c>
      <c r="L964" s="10" t="n"/>
      <c r="N964" s="10" t="n"/>
      <c r="O964" s="10">
        <f>IF(L964="","",IF(M964="Won",L964*G964,IF(M964="Void",L964,IF(M964="Cash out",N(N964),IF(M964="Lost",0,"")))))</f>
        <v/>
      </c>
      <c r="P964" s="10">
        <f>IF(OR(L964="",M964="",M964="Pending"),"",O964-L964)</f>
        <v/>
      </c>
      <c r="Q964" s="21" t="n"/>
      <c r="R964" s="11">
        <f>IF(OR(G964="",Q964=""),"",G964/Q964-1)</f>
        <v/>
      </c>
      <c r="S964" s="10">
        <f>IF(OR(L964="",J964=""),"",L964*J964)</f>
        <v/>
      </c>
      <c r="T964" s="10">
        <f>IF(P964="","",StartBank+SUM(P$2:P964))</f>
        <v/>
      </c>
    </row>
    <row r="965">
      <c r="A965" s="22" t="n"/>
      <c r="G965" s="21" t="n"/>
      <c r="H965" s="11" t="n"/>
      <c r="I965" s="21">
        <f>IF(OR(H965="",H965=0),"",1/H965)</f>
        <v/>
      </c>
      <c r="J965" s="11">
        <f>IF(OR(G965="",H965=""),"",H965*G965-1)</f>
        <v/>
      </c>
      <c r="K965" s="10">
        <f>IF(OR(G965="",H965="",G965&lt;=1),"",IF(J965&lt;IF(D965="Builder",MinEdgeBuilder,IF(D965="Player",MinEdgePlayer,MinEdgeSingle)),0,ROUND(MIN(IF(D965="Single",KellySingle,KellyBuilder)*(StartBank+SUM(P$1:P964))*J965/(G965-1),IF(D965="Builder",CapBuilder,CapSingle)*Unit),2)))</f>
        <v/>
      </c>
      <c r="L965" s="10" t="n"/>
      <c r="N965" s="10" t="n"/>
      <c r="O965" s="10">
        <f>IF(L965="","",IF(M965="Won",L965*G965,IF(M965="Void",L965,IF(M965="Cash out",N(N965),IF(M965="Lost",0,"")))))</f>
        <v/>
      </c>
      <c r="P965" s="10">
        <f>IF(OR(L965="",M965="",M965="Pending"),"",O965-L965)</f>
        <v/>
      </c>
      <c r="Q965" s="21" t="n"/>
      <c r="R965" s="11">
        <f>IF(OR(G965="",Q965=""),"",G965/Q965-1)</f>
        <v/>
      </c>
      <c r="S965" s="10">
        <f>IF(OR(L965="",J965=""),"",L965*J965)</f>
        <v/>
      </c>
      <c r="T965" s="10">
        <f>IF(P965="","",StartBank+SUM(P$2:P965))</f>
        <v/>
      </c>
    </row>
    <row r="966">
      <c r="A966" s="22" t="n"/>
      <c r="G966" s="21" t="n"/>
      <c r="H966" s="11" t="n"/>
      <c r="I966" s="21">
        <f>IF(OR(H966="",H966=0),"",1/H966)</f>
        <v/>
      </c>
      <c r="J966" s="11">
        <f>IF(OR(G966="",H966=""),"",H966*G966-1)</f>
        <v/>
      </c>
      <c r="K966" s="10">
        <f>IF(OR(G966="",H966="",G966&lt;=1),"",IF(J966&lt;IF(D966="Builder",MinEdgeBuilder,IF(D966="Player",MinEdgePlayer,MinEdgeSingle)),0,ROUND(MIN(IF(D966="Single",KellySingle,KellyBuilder)*(StartBank+SUM(P$1:P965))*J966/(G966-1),IF(D966="Builder",CapBuilder,CapSingle)*Unit),2)))</f>
        <v/>
      </c>
      <c r="L966" s="10" t="n"/>
      <c r="N966" s="10" t="n"/>
      <c r="O966" s="10">
        <f>IF(L966="","",IF(M966="Won",L966*G966,IF(M966="Void",L966,IF(M966="Cash out",N(N966),IF(M966="Lost",0,"")))))</f>
        <v/>
      </c>
      <c r="P966" s="10">
        <f>IF(OR(L966="",M966="",M966="Pending"),"",O966-L966)</f>
        <v/>
      </c>
      <c r="Q966" s="21" t="n"/>
      <c r="R966" s="11">
        <f>IF(OR(G966="",Q966=""),"",G966/Q966-1)</f>
        <v/>
      </c>
      <c r="S966" s="10">
        <f>IF(OR(L966="",J966=""),"",L966*J966)</f>
        <v/>
      </c>
      <c r="T966" s="10">
        <f>IF(P966="","",StartBank+SUM(P$2:P966))</f>
        <v/>
      </c>
    </row>
    <row r="967">
      <c r="A967" s="22" t="n"/>
      <c r="G967" s="21" t="n"/>
      <c r="H967" s="11" t="n"/>
      <c r="I967" s="21">
        <f>IF(OR(H967="",H967=0),"",1/H967)</f>
        <v/>
      </c>
      <c r="J967" s="11">
        <f>IF(OR(G967="",H967=""),"",H967*G967-1)</f>
        <v/>
      </c>
      <c r="K967" s="10">
        <f>IF(OR(G967="",H967="",G967&lt;=1),"",IF(J967&lt;IF(D967="Builder",MinEdgeBuilder,IF(D967="Player",MinEdgePlayer,MinEdgeSingle)),0,ROUND(MIN(IF(D967="Single",KellySingle,KellyBuilder)*(StartBank+SUM(P$1:P966))*J967/(G967-1),IF(D967="Builder",CapBuilder,CapSingle)*Unit),2)))</f>
        <v/>
      </c>
      <c r="L967" s="10" t="n"/>
      <c r="N967" s="10" t="n"/>
      <c r="O967" s="10">
        <f>IF(L967="","",IF(M967="Won",L967*G967,IF(M967="Void",L967,IF(M967="Cash out",N(N967),IF(M967="Lost",0,"")))))</f>
        <v/>
      </c>
      <c r="P967" s="10">
        <f>IF(OR(L967="",M967="",M967="Pending"),"",O967-L967)</f>
        <v/>
      </c>
      <c r="Q967" s="21" t="n"/>
      <c r="R967" s="11">
        <f>IF(OR(G967="",Q967=""),"",G967/Q967-1)</f>
        <v/>
      </c>
      <c r="S967" s="10">
        <f>IF(OR(L967="",J967=""),"",L967*J967)</f>
        <v/>
      </c>
      <c r="T967" s="10">
        <f>IF(P967="","",StartBank+SUM(P$2:P967))</f>
        <v/>
      </c>
    </row>
    <row r="968">
      <c r="A968" s="22" t="n"/>
      <c r="G968" s="21" t="n"/>
      <c r="H968" s="11" t="n"/>
      <c r="I968" s="21">
        <f>IF(OR(H968="",H968=0),"",1/H968)</f>
        <v/>
      </c>
      <c r="J968" s="11">
        <f>IF(OR(G968="",H968=""),"",H968*G968-1)</f>
        <v/>
      </c>
      <c r="K968" s="10">
        <f>IF(OR(G968="",H968="",G968&lt;=1),"",IF(J968&lt;IF(D968="Builder",MinEdgeBuilder,IF(D968="Player",MinEdgePlayer,MinEdgeSingle)),0,ROUND(MIN(IF(D968="Single",KellySingle,KellyBuilder)*(StartBank+SUM(P$1:P967))*J968/(G968-1),IF(D968="Builder",CapBuilder,CapSingle)*Unit),2)))</f>
        <v/>
      </c>
      <c r="L968" s="10" t="n"/>
      <c r="N968" s="10" t="n"/>
      <c r="O968" s="10">
        <f>IF(L968="","",IF(M968="Won",L968*G968,IF(M968="Void",L968,IF(M968="Cash out",N(N968),IF(M968="Lost",0,"")))))</f>
        <v/>
      </c>
      <c r="P968" s="10">
        <f>IF(OR(L968="",M968="",M968="Pending"),"",O968-L968)</f>
        <v/>
      </c>
      <c r="Q968" s="21" t="n"/>
      <c r="R968" s="11">
        <f>IF(OR(G968="",Q968=""),"",G968/Q968-1)</f>
        <v/>
      </c>
      <c r="S968" s="10">
        <f>IF(OR(L968="",J968=""),"",L968*J968)</f>
        <v/>
      </c>
      <c r="T968" s="10">
        <f>IF(P968="","",StartBank+SUM(P$2:P968))</f>
        <v/>
      </c>
    </row>
    <row r="969">
      <c r="A969" s="22" t="n"/>
      <c r="G969" s="21" t="n"/>
      <c r="H969" s="11" t="n"/>
      <c r="I969" s="21">
        <f>IF(OR(H969="",H969=0),"",1/H969)</f>
        <v/>
      </c>
      <c r="J969" s="11">
        <f>IF(OR(G969="",H969=""),"",H969*G969-1)</f>
        <v/>
      </c>
      <c r="K969" s="10">
        <f>IF(OR(G969="",H969="",G969&lt;=1),"",IF(J969&lt;IF(D969="Builder",MinEdgeBuilder,IF(D969="Player",MinEdgePlayer,MinEdgeSingle)),0,ROUND(MIN(IF(D969="Single",KellySingle,KellyBuilder)*(StartBank+SUM(P$1:P968))*J969/(G969-1),IF(D969="Builder",CapBuilder,CapSingle)*Unit),2)))</f>
        <v/>
      </c>
      <c r="L969" s="10" t="n"/>
      <c r="N969" s="10" t="n"/>
      <c r="O969" s="10">
        <f>IF(L969="","",IF(M969="Won",L969*G969,IF(M969="Void",L969,IF(M969="Cash out",N(N969),IF(M969="Lost",0,"")))))</f>
        <v/>
      </c>
      <c r="P969" s="10">
        <f>IF(OR(L969="",M969="",M969="Pending"),"",O969-L969)</f>
        <v/>
      </c>
      <c r="Q969" s="21" t="n"/>
      <c r="R969" s="11">
        <f>IF(OR(G969="",Q969=""),"",G969/Q969-1)</f>
        <v/>
      </c>
      <c r="S969" s="10">
        <f>IF(OR(L969="",J969=""),"",L969*J969)</f>
        <v/>
      </c>
      <c r="T969" s="10">
        <f>IF(P969="","",StartBank+SUM(P$2:P969))</f>
        <v/>
      </c>
    </row>
    <row r="970">
      <c r="A970" s="22" t="n"/>
      <c r="G970" s="21" t="n"/>
      <c r="H970" s="11" t="n"/>
      <c r="I970" s="21">
        <f>IF(OR(H970="",H970=0),"",1/H970)</f>
        <v/>
      </c>
      <c r="J970" s="11">
        <f>IF(OR(G970="",H970=""),"",H970*G970-1)</f>
        <v/>
      </c>
      <c r="K970" s="10">
        <f>IF(OR(G970="",H970="",G970&lt;=1),"",IF(J970&lt;IF(D970="Builder",MinEdgeBuilder,IF(D970="Player",MinEdgePlayer,MinEdgeSingle)),0,ROUND(MIN(IF(D970="Single",KellySingle,KellyBuilder)*(StartBank+SUM(P$1:P969))*J970/(G970-1),IF(D970="Builder",CapBuilder,CapSingle)*Unit),2)))</f>
        <v/>
      </c>
      <c r="L970" s="10" t="n"/>
      <c r="N970" s="10" t="n"/>
      <c r="O970" s="10">
        <f>IF(L970="","",IF(M970="Won",L970*G970,IF(M970="Void",L970,IF(M970="Cash out",N(N970),IF(M970="Lost",0,"")))))</f>
        <v/>
      </c>
      <c r="P970" s="10">
        <f>IF(OR(L970="",M970="",M970="Pending"),"",O970-L970)</f>
        <v/>
      </c>
      <c r="Q970" s="21" t="n"/>
      <c r="R970" s="11">
        <f>IF(OR(G970="",Q970=""),"",G970/Q970-1)</f>
        <v/>
      </c>
      <c r="S970" s="10">
        <f>IF(OR(L970="",J970=""),"",L970*J970)</f>
        <v/>
      </c>
      <c r="T970" s="10">
        <f>IF(P970="","",StartBank+SUM(P$2:P970))</f>
        <v/>
      </c>
    </row>
    <row r="971">
      <c r="A971" s="22" t="n"/>
      <c r="G971" s="21" t="n"/>
      <c r="H971" s="11" t="n"/>
      <c r="I971" s="21">
        <f>IF(OR(H971="",H971=0),"",1/H971)</f>
        <v/>
      </c>
      <c r="J971" s="11">
        <f>IF(OR(G971="",H971=""),"",H971*G971-1)</f>
        <v/>
      </c>
      <c r="K971" s="10">
        <f>IF(OR(G971="",H971="",G971&lt;=1),"",IF(J971&lt;IF(D971="Builder",MinEdgeBuilder,IF(D971="Player",MinEdgePlayer,MinEdgeSingle)),0,ROUND(MIN(IF(D971="Single",KellySingle,KellyBuilder)*(StartBank+SUM(P$1:P970))*J971/(G971-1),IF(D971="Builder",CapBuilder,CapSingle)*Unit),2)))</f>
        <v/>
      </c>
      <c r="L971" s="10" t="n"/>
      <c r="N971" s="10" t="n"/>
      <c r="O971" s="10">
        <f>IF(L971="","",IF(M971="Won",L971*G971,IF(M971="Void",L971,IF(M971="Cash out",N(N971),IF(M971="Lost",0,"")))))</f>
        <v/>
      </c>
      <c r="P971" s="10">
        <f>IF(OR(L971="",M971="",M971="Pending"),"",O971-L971)</f>
        <v/>
      </c>
      <c r="Q971" s="21" t="n"/>
      <c r="R971" s="11">
        <f>IF(OR(G971="",Q971=""),"",G971/Q971-1)</f>
        <v/>
      </c>
      <c r="S971" s="10">
        <f>IF(OR(L971="",J971=""),"",L971*J971)</f>
        <v/>
      </c>
      <c r="T971" s="10">
        <f>IF(P971="","",StartBank+SUM(P$2:P971))</f>
        <v/>
      </c>
    </row>
    <row r="972">
      <c r="A972" s="22" t="n"/>
      <c r="G972" s="21" t="n"/>
      <c r="H972" s="11" t="n"/>
      <c r="I972" s="21">
        <f>IF(OR(H972="",H972=0),"",1/H972)</f>
        <v/>
      </c>
      <c r="J972" s="11">
        <f>IF(OR(G972="",H972=""),"",H972*G972-1)</f>
        <v/>
      </c>
      <c r="K972" s="10">
        <f>IF(OR(G972="",H972="",G972&lt;=1),"",IF(J972&lt;IF(D972="Builder",MinEdgeBuilder,IF(D972="Player",MinEdgePlayer,MinEdgeSingle)),0,ROUND(MIN(IF(D972="Single",KellySingle,KellyBuilder)*(StartBank+SUM(P$1:P971))*J972/(G972-1),IF(D972="Builder",CapBuilder,CapSingle)*Unit),2)))</f>
        <v/>
      </c>
      <c r="L972" s="10" t="n"/>
      <c r="N972" s="10" t="n"/>
      <c r="O972" s="10">
        <f>IF(L972="","",IF(M972="Won",L972*G972,IF(M972="Void",L972,IF(M972="Cash out",N(N972),IF(M972="Lost",0,"")))))</f>
        <v/>
      </c>
      <c r="P972" s="10">
        <f>IF(OR(L972="",M972="",M972="Pending"),"",O972-L972)</f>
        <v/>
      </c>
      <c r="Q972" s="21" t="n"/>
      <c r="R972" s="11">
        <f>IF(OR(G972="",Q972=""),"",G972/Q972-1)</f>
        <v/>
      </c>
      <c r="S972" s="10">
        <f>IF(OR(L972="",J972=""),"",L972*J972)</f>
        <v/>
      </c>
      <c r="T972" s="10">
        <f>IF(P972="","",StartBank+SUM(P$2:P972))</f>
        <v/>
      </c>
    </row>
    <row r="973">
      <c r="A973" s="22" t="n"/>
      <c r="G973" s="21" t="n"/>
      <c r="H973" s="11" t="n"/>
      <c r="I973" s="21">
        <f>IF(OR(H973="",H973=0),"",1/H973)</f>
        <v/>
      </c>
      <c r="J973" s="11">
        <f>IF(OR(G973="",H973=""),"",H973*G973-1)</f>
        <v/>
      </c>
      <c r="K973" s="10">
        <f>IF(OR(G973="",H973="",G973&lt;=1),"",IF(J973&lt;IF(D973="Builder",MinEdgeBuilder,IF(D973="Player",MinEdgePlayer,MinEdgeSingle)),0,ROUND(MIN(IF(D973="Single",KellySingle,KellyBuilder)*(StartBank+SUM(P$1:P972))*J973/(G973-1),IF(D973="Builder",CapBuilder,CapSingle)*Unit),2)))</f>
        <v/>
      </c>
      <c r="L973" s="10" t="n"/>
      <c r="N973" s="10" t="n"/>
      <c r="O973" s="10">
        <f>IF(L973="","",IF(M973="Won",L973*G973,IF(M973="Void",L973,IF(M973="Cash out",N(N973),IF(M973="Lost",0,"")))))</f>
        <v/>
      </c>
      <c r="P973" s="10">
        <f>IF(OR(L973="",M973="",M973="Pending"),"",O973-L973)</f>
        <v/>
      </c>
      <c r="Q973" s="21" t="n"/>
      <c r="R973" s="11">
        <f>IF(OR(G973="",Q973=""),"",G973/Q973-1)</f>
        <v/>
      </c>
      <c r="S973" s="10">
        <f>IF(OR(L973="",J973=""),"",L973*J973)</f>
        <v/>
      </c>
      <c r="T973" s="10">
        <f>IF(P973="","",StartBank+SUM(P$2:P973))</f>
        <v/>
      </c>
    </row>
    <row r="974">
      <c r="A974" s="22" t="n"/>
      <c r="G974" s="21" t="n"/>
      <c r="H974" s="11" t="n"/>
      <c r="I974" s="21">
        <f>IF(OR(H974="",H974=0),"",1/H974)</f>
        <v/>
      </c>
      <c r="J974" s="11">
        <f>IF(OR(G974="",H974=""),"",H974*G974-1)</f>
        <v/>
      </c>
      <c r="K974" s="10">
        <f>IF(OR(G974="",H974="",G974&lt;=1),"",IF(J974&lt;IF(D974="Builder",MinEdgeBuilder,IF(D974="Player",MinEdgePlayer,MinEdgeSingle)),0,ROUND(MIN(IF(D974="Single",KellySingle,KellyBuilder)*(StartBank+SUM(P$1:P973))*J974/(G974-1),IF(D974="Builder",CapBuilder,CapSingle)*Unit),2)))</f>
        <v/>
      </c>
      <c r="L974" s="10" t="n"/>
      <c r="N974" s="10" t="n"/>
      <c r="O974" s="10">
        <f>IF(L974="","",IF(M974="Won",L974*G974,IF(M974="Void",L974,IF(M974="Cash out",N(N974),IF(M974="Lost",0,"")))))</f>
        <v/>
      </c>
      <c r="P974" s="10">
        <f>IF(OR(L974="",M974="",M974="Pending"),"",O974-L974)</f>
        <v/>
      </c>
      <c r="Q974" s="21" t="n"/>
      <c r="R974" s="11">
        <f>IF(OR(G974="",Q974=""),"",G974/Q974-1)</f>
        <v/>
      </c>
      <c r="S974" s="10">
        <f>IF(OR(L974="",J974=""),"",L974*J974)</f>
        <v/>
      </c>
      <c r="T974" s="10">
        <f>IF(P974="","",StartBank+SUM(P$2:P974))</f>
        <v/>
      </c>
    </row>
    <row r="975">
      <c r="A975" s="22" t="n"/>
      <c r="G975" s="21" t="n"/>
      <c r="H975" s="11" t="n"/>
      <c r="I975" s="21">
        <f>IF(OR(H975="",H975=0),"",1/H975)</f>
        <v/>
      </c>
      <c r="J975" s="11">
        <f>IF(OR(G975="",H975=""),"",H975*G975-1)</f>
        <v/>
      </c>
      <c r="K975" s="10">
        <f>IF(OR(G975="",H975="",G975&lt;=1),"",IF(J975&lt;IF(D975="Builder",MinEdgeBuilder,IF(D975="Player",MinEdgePlayer,MinEdgeSingle)),0,ROUND(MIN(IF(D975="Single",KellySingle,KellyBuilder)*(StartBank+SUM(P$1:P974))*J975/(G975-1),IF(D975="Builder",CapBuilder,CapSingle)*Unit),2)))</f>
        <v/>
      </c>
      <c r="L975" s="10" t="n"/>
      <c r="N975" s="10" t="n"/>
      <c r="O975" s="10">
        <f>IF(L975="","",IF(M975="Won",L975*G975,IF(M975="Void",L975,IF(M975="Cash out",N(N975),IF(M975="Lost",0,"")))))</f>
        <v/>
      </c>
      <c r="P975" s="10">
        <f>IF(OR(L975="",M975="",M975="Pending"),"",O975-L975)</f>
        <v/>
      </c>
      <c r="Q975" s="21" t="n"/>
      <c r="R975" s="11">
        <f>IF(OR(G975="",Q975=""),"",G975/Q975-1)</f>
        <v/>
      </c>
      <c r="S975" s="10">
        <f>IF(OR(L975="",J975=""),"",L975*J975)</f>
        <v/>
      </c>
      <c r="T975" s="10">
        <f>IF(P975="","",StartBank+SUM(P$2:P975))</f>
        <v/>
      </c>
    </row>
    <row r="976">
      <c r="A976" s="22" t="n"/>
      <c r="G976" s="21" t="n"/>
      <c r="H976" s="11" t="n"/>
      <c r="I976" s="21">
        <f>IF(OR(H976="",H976=0),"",1/H976)</f>
        <v/>
      </c>
      <c r="J976" s="11">
        <f>IF(OR(G976="",H976=""),"",H976*G976-1)</f>
        <v/>
      </c>
      <c r="K976" s="10">
        <f>IF(OR(G976="",H976="",G976&lt;=1),"",IF(J976&lt;IF(D976="Builder",MinEdgeBuilder,IF(D976="Player",MinEdgePlayer,MinEdgeSingle)),0,ROUND(MIN(IF(D976="Single",KellySingle,KellyBuilder)*(StartBank+SUM(P$1:P975))*J976/(G976-1),IF(D976="Builder",CapBuilder,CapSingle)*Unit),2)))</f>
        <v/>
      </c>
      <c r="L976" s="10" t="n"/>
      <c r="N976" s="10" t="n"/>
      <c r="O976" s="10">
        <f>IF(L976="","",IF(M976="Won",L976*G976,IF(M976="Void",L976,IF(M976="Cash out",N(N976),IF(M976="Lost",0,"")))))</f>
        <v/>
      </c>
      <c r="P976" s="10">
        <f>IF(OR(L976="",M976="",M976="Pending"),"",O976-L976)</f>
        <v/>
      </c>
      <c r="Q976" s="21" t="n"/>
      <c r="R976" s="11">
        <f>IF(OR(G976="",Q976=""),"",G976/Q976-1)</f>
        <v/>
      </c>
      <c r="S976" s="10">
        <f>IF(OR(L976="",J976=""),"",L976*J976)</f>
        <v/>
      </c>
      <c r="T976" s="10">
        <f>IF(P976="","",StartBank+SUM(P$2:P976))</f>
        <v/>
      </c>
    </row>
    <row r="977">
      <c r="A977" s="22" t="n"/>
      <c r="G977" s="21" t="n"/>
      <c r="H977" s="11" t="n"/>
      <c r="I977" s="21">
        <f>IF(OR(H977="",H977=0),"",1/H977)</f>
        <v/>
      </c>
      <c r="J977" s="11">
        <f>IF(OR(G977="",H977=""),"",H977*G977-1)</f>
        <v/>
      </c>
      <c r="K977" s="10">
        <f>IF(OR(G977="",H977="",G977&lt;=1),"",IF(J977&lt;IF(D977="Builder",MinEdgeBuilder,IF(D977="Player",MinEdgePlayer,MinEdgeSingle)),0,ROUND(MIN(IF(D977="Single",KellySingle,KellyBuilder)*(StartBank+SUM(P$1:P976))*J977/(G977-1),IF(D977="Builder",CapBuilder,CapSingle)*Unit),2)))</f>
        <v/>
      </c>
      <c r="L977" s="10" t="n"/>
      <c r="N977" s="10" t="n"/>
      <c r="O977" s="10">
        <f>IF(L977="","",IF(M977="Won",L977*G977,IF(M977="Void",L977,IF(M977="Cash out",N(N977),IF(M977="Lost",0,"")))))</f>
        <v/>
      </c>
      <c r="P977" s="10">
        <f>IF(OR(L977="",M977="",M977="Pending"),"",O977-L977)</f>
        <v/>
      </c>
      <c r="Q977" s="21" t="n"/>
      <c r="R977" s="11">
        <f>IF(OR(G977="",Q977=""),"",G977/Q977-1)</f>
        <v/>
      </c>
      <c r="S977" s="10">
        <f>IF(OR(L977="",J977=""),"",L977*J977)</f>
        <v/>
      </c>
      <c r="T977" s="10">
        <f>IF(P977="","",StartBank+SUM(P$2:P977))</f>
        <v/>
      </c>
    </row>
    <row r="978">
      <c r="A978" s="22" t="n"/>
      <c r="G978" s="21" t="n"/>
      <c r="H978" s="11" t="n"/>
      <c r="I978" s="21">
        <f>IF(OR(H978="",H978=0),"",1/H978)</f>
        <v/>
      </c>
      <c r="J978" s="11">
        <f>IF(OR(G978="",H978=""),"",H978*G978-1)</f>
        <v/>
      </c>
      <c r="K978" s="10">
        <f>IF(OR(G978="",H978="",G978&lt;=1),"",IF(J978&lt;IF(D978="Builder",MinEdgeBuilder,IF(D978="Player",MinEdgePlayer,MinEdgeSingle)),0,ROUND(MIN(IF(D978="Single",KellySingle,KellyBuilder)*(StartBank+SUM(P$1:P977))*J978/(G978-1),IF(D978="Builder",CapBuilder,CapSingle)*Unit),2)))</f>
        <v/>
      </c>
      <c r="L978" s="10" t="n"/>
      <c r="N978" s="10" t="n"/>
      <c r="O978" s="10">
        <f>IF(L978="","",IF(M978="Won",L978*G978,IF(M978="Void",L978,IF(M978="Cash out",N(N978),IF(M978="Lost",0,"")))))</f>
        <v/>
      </c>
      <c r="P978" s="10">
        <f>IF(OR(L978="",M978="",M978="Pending"),"",O978-L978)</f>
        <v/>
      </c>
      <c r="Q978" s="21" t="n"/>
      <c r="R978" s="11">
        <f>IF(OR(G978="",Q978=""),"",G978/Q978-1)</f>
        <v/>
      </c>
      <c r="S978" s="10">
        <f>IF(OR(L978="",J978=""),"",L978*J978)</f>
        <v/>
      </c>
      <c r="T978" s="10">
        <f>IF(P978="","",StartBank+SUM(P$2:P978))</f>
        <v/>
      </c>
    </row>
    <row r="979">
      <c r="A979" s="22" t="n"/>
      <c r="G979" s="21" t="n"/>
      <c r="H979" s="11" t="n"/>
      <c r="I979" s="21">
        <f>IF(OR(H979="",H979=0),"",1/H979)</f>
        <v/>
      </c>
      <c r="J979" s="11">
        <f>IF(OR(G979="",H979=""),"",H979*G979-1)</f>
        <v/>
      </c>
      <c r="K979" s="10">
        <f>IF(OR(G979="",H979="",G979&lt;=1),"",IF(J979&lt;IF(D979="Builder",MinEdgeBuilder,IF(D979="Player",MinEdgePlayer,MinEdgeSingle)),0,ROUND(MIN(IF(D979="Single",KellySingle,KellyBuilder)*(StartBank+SUM(P$1:P978))*J979/(G979-1),IF(D979="Builder",CapBuilder,CapSingle)*Unit),2)))</f>
        <v/>
      </c>
      <c r="L979" s="10" t="n"/>
      <c r="N979" s="10" t="n"/>
      <c r="O979" s="10">
        <f>IF(L979="","",IF(M979="Won",L979*G979,IF(M979="Void",L979,IF(M979="Cash out",N(N979),IF(M979="Lost",0,"")))))</f>
        <v/>
      </c>
      <c r="P979" s="10">
        <f>IF(OR(L979="",M979="",M979="Pending"),"",O979-L979)</f>
        <v/>
      </c>
      <c r="Q979" s="21" t="n"/>
      <c r="R979" s="11">
        <f>IF(OR(G979="",Q979=""),"",G979/Q979-1)</f>
        <v/>
      </c>
      <c r="S979" s="10">
        <f>IF(OR(L979="",J979=""),"",L979*J979)</f>
        <v/>
      </c>
      <c r="T979" s="10">
        <f>IF(P979="","",StartBank+SUM(P$2:P979))</f>
        <v/>
      </c>
    </row>
    <row r="980">
      <c r="A980" s="22" t="n"/>
      <c r="G980" s="21" t="n"/>
      <c r="H980" s="11" t="n"/>
      <c r="I980" s="21">
        <f>IF(OR(H980="",H980=0),"",1/H980)</f>
        <v/>
      </c>
      <c r="J980" s="11">
        <f>IF(OR(G980="",H980=""),"",H980*G980-1)</f>
        <v/>
      </c>
      <c r="K980" s="10">
        <f>IF(OR(G980="",H980="",G980&lt;=1),"",IF(J980&lt;IF(D980="Builder",MinEdgeBuilder,IF(D980="Player",MinEdgePlayer,MinEdgeSingle)),0,ROUND(MIN(IF(D980="Single",KellySingle,KellyBuilder)*(StartBank+SUM(P$1:P979))*J980/(G980-1),IF(D980="Builder",CapBuilder,CapSingle)*Unit),2)))</f>
        <v/>
      </c>
      <c r="L980" s="10" t="n"/>
      <c r="N980" s="10" t="n"/>
      <c r="O980" s="10">
        <f>IF(L980="","",IF(M980="Won",L980*G980,IF(M980="Void",L980,IF(M980="Cash out",N(N980),IF(M980="Lost",0,"")))))</f>
        <v/>
      </c>
      <c r="P980" s="10">
        <f>IF(OR(L980="",M980="",M980="Pending"),"",O980-L980)</f>
        <v/>
      </c>
      <c r="Q980" s="21" t="n"/>
      <c r="R980" s="11">
        <f>IF(OR(G980="",Q980=""),"",G980/Q980-1)</f>
        <v/>
      </c>
      <c r="S980" s="10">
        <f>IF(OR(L980="",J980=""),"",L980*J980)</f>
        <v/>
      </c>
      <c r="T980" s="10">
        <f>IF(P980="","",StartBank+SUM(P$2:P980))</f>
        <v/>
      </c>
    </row>
    <row r="981">
      <c r="A981" s="22" t="n"/>
      <c r="G981" s="21" t="n"/>
      <c r="H981" s="11" t="n"/>
      <c r="I981" s="21">
        <f>IF(OR(H981="",H981=0),"",1/H981)</f>
        <v/>
      </c>
      <c r="J981" s="11">
        <f>IF(OR(G981="",H981=""),"",H981*G981-1)</f>
        <v/>
      </c>
      <c r="K981" s="10">
        <f>IF(OR(G981="",H981="",G981&lt;=1),"",IF(J981&lt;IF(D981="Builder",MinEdgeBuilder,IF(D981="Player",MinEdgePlayer,MinEdgeSingle)),0,ROUND(MIN(IF(D981="Single",KellySingle,KellyBuilder)*(StartBank+SUM(P$1:P980))*J981/(G981-1),IF(D981="Builder",CapBuilder,CapSingle)*Unit),2)))</f>
        <v/>
      </c>
      <c r="L981" s="10" t="n"/>
      <c r="N981" s="10" t="n"/>
      <c r="O981" s="10">
        <f>IF(L981="","",IF(M981="Won",L981*G981,IF(M981="Void",L981,IF(M981="Cash out",N(N981),IF(M981="Lost",0,"")))))</f>
        <v/>
      </c>
      <c r="P981" s="10">
        <f>IF(OR(L981="",M981="",M981="Pending"),"",O981-L981)</f>
        <v/>
      </c>
      <c r="Q981" s="21" t="n"/>
      <c r="R981" s="11">
        <f>IF(OR(G981="",Q981=""),"",G981/Q981-1)</f>
        <v/>
      </c>
      <c r="S981" s="10">
        <f>IF(OR(L981="",J981=""),"",L981*J981)</f>
        <v/>
      </c>
      <c r="T981" s="10">
        <f>IF(P981="","",StartBank+SUM(P$2:P981))</f>
        <v/>
      </c>
    </row>
    <row r="982">
      <c r="A982" s="22" t="n"/>
      <c r="G982" s="21" t="n"/>
      <c r="H982" s="11" t="n"/>
      <c r="I982" s="21">
        <f>IF(OR(H982="",H982=0),"",1/H982)</f>
        <v/>
      </c>
      <c r="J982" s="11">
        <f>IF(OR(G982="",H982=""),"",H982*G982-1)</f>
        <v/>
      </c>
      <c r="K982" s="10">
        <f>IF(OR(G982="",H982="",G982&lt;=1),"",IF(J982&lt;IF(D982="Builder",MinEdgeBuilder,IF(D982="Player",MinEdgePlayer,MinEdgeSingle)),0,ROUND(MIN(IF(D982="Single",KellySingle,KellyBuilder)*(StartBank+SUM(P$1:P981))*J982/(G982-1),IF(D982="Builder",CapBuilder,CapSingle)*Unit),2)))</f>
        <v/>
      </c>
      <c r="L982" s="10" t="n"/>
      <c r="N982" s="10" t="n"/>
      <c r="O982" s="10">
        <f>IF(L982="","",IF(M982="Won",L982*G982,IF(M982="Void",L982,IF(M982="Cash out",N(N982),IF(M982="Lost",0,"")))))</f>
        <v/>
      </c>
      <c r="P982" s="10">
        <f>IF(OR(L982="",M982="",M982="Pending"),"",O982-L982)</f>
        <v/>
      </c>
      <c r="Q982" s="21" t="n"/>
      <c r="R982" s="11">
        <f>IF(OR(G982="",Q982=""),"",G982/Q982-1)</f>
        <v/>
      </c>
      <c r="S982" s="10">
        <f>IF(OR(L982="",J982=""),"",L982*J982)</f>
        <v/>
      </c>
      <c r="T982" s="10">
        <f>IF(P982="","",StartBank+SUM(P$2:P982))</f>
        <v/>
      </c>
    </row>
    <row r="983">
      <c r="A983" s="22" t="n"/>
      <c r="G983" s="21" t="n"/>
      <c r="H983" s="11" t="n"/>
      <c r="I983" s="21">
        <f>IF(OR(H983="",H983=0),"",1/H983)</f>
        <v/>
      </c>
      <c r="J983" s="11">
        <f>IF(OR(G983="",H983=""),"",H983*G983-1)</f>
        <v/>
      </c>
      <c r="K983" s="10">
        <f>IF(OR(G983="",H983="",G983&lt;=1),"",IF(J983&lt;IF(D983="Builder",MinEdgeBuilder,IF(D983="Player",MinEdgePlayer,MinEdgeSingle)),0,ROUND(MIN(IF(D983="Single",KellySingle,KellyBuilder)*(StartBank+SUM(P$1:P982))*J983/(G983-1),IF(D983="Builder",CapBuilder,CapSingle)*Unit),2)))</f>
        <v/>
      </c>
      <c r="L983" s="10" t="n"/>
      <c r="N983" s="10" t="n"/>
      <c r="O983" s="10">
        <f>IF(L983="","",IF(M983="Won",L983*G983,IF(M983="Void",L983,IF(M983="Cash out",N(N983),IF(M983="Lost",0,"")))))</f>
        <v/>
      </c>
      <c r="P983" s="10">
        <f>IF(OR(L983="",M983="",M983="Pending"),"",O983-L983)</f>
        <v/>
      </c>
      <c r="Q983" s="21" t="n"/>
      <c r="R983" s="11">
        <f>IF(OR(G983="",Q983=""),"",G983/Q983-1)</f>
        <v/>
      </c>
      <c r="S983" s="10">
        <f>IF(OR(L983="",J983=""),"",L983*J983)</f>
        <v/>
      </c>
      <c r="T983" s="10">
        <f>IF(P983="","",StartBank+SUM(P$2:P983))</f>
        <v/>
      </c>
    </row>
    <row r="984">
      <c r="A984" s="22" t="n"/>
      <c r="G984" s="21" t="n"/>
      <c r="H984" s="11" t="n"/>
      <c r="I984" s="21">
        <f>IF(OR(H984="",H984=0),"",1/H984)</f>
        <v/>
      </c>
      <c r="J984" s="11">
        <f>IF(OR(G984="",H984=""),"",H984*G984-1)</f>
        <v/>
      </c>
      <c r="K984" s="10">
        <f>IF(OR(G984="",H984="",G984&lt;=1),"",IF(J984&lt;IF(D984="Builder",MinEdgeBuilder,IF(D984="Player",MinEdgePlayer,MinEdgeSingle)),0,ROUND(MIN(IF(D984="Single",KellySingle,KellyBuilder)*(StartBank+SUM(P$1:P983))*J984/(G984-1),IF(D984="Builder",CapBuilder,CapSingle)*Unit),2)))</f>
        <v/>
      </c>
      <c r="L984" s="10" t="n"/>
      <c r="N984" s="10" t="n"/>
      <c r="O984" s="10">
        <f>IF(L984="","",IF(M984="Won",L984*G984,IF(M984="Void",L984,IF(M984="Cash out",N(N984),IF(M984="Lost",0,"")))))</f>
        <v/>
      </c>
      <c r="P984" s="10">
        <f>IF(OR(L984="",M984="",M984="Pending"),"",O984-L984)</f>
        <v/>
      </c>
      <c r="Q984" s="21" t="n"/>
      <c r="R984" s="11">
        <f>IF(OR(G984="",Q984=""),"",G984/Q984-1)</f>
        <v/>
      </c>
      <c r="S984" s="10">
        <f>IF(OR(L984="",J984=""),"",L984*J984)</f>
        <v/>
      </c>
      <c r="T984" s="10">
        <f>IF(P984="","",StartBank+SUM(P$2:P984))</f>
        <v/>
      </c>
    </row>
    <row r="985">
      <c r="A985" s="22" t="n"/>
      <c r="G985" s="21" t="n"/>
      <c r="H985" s="11" t="n"/>
      <c r="I985" s="21">
        <f>IF(OR(H985="",H985=0),"",1/H985)</f>
        <v/>
      </c>
      <c r="J985" s="11">
        <f>IF(OR(G985="",H985=""),"",H985*G985-1)</f>
        <v/>
      </c>
      <c r="K985" s="10">
        <f>IF(OR(G985="",H985="",G985&lt;=1),"",IF(J985&lt;IF(D985="Builder",MinEdgeBuilder,IF(D985="Player",MinEdgePlayer,MinEdgeSingle)),0,ROUND(MIN(IF(D985="Single",KellySingle,KellyBuilder)*(StartBank+SUM(P$1:P984))*J985/(G985-1),IF(D985="Builder",CapBuilder,CapSingle)*Unit),2)))</f>
        <v/>
      </c>
      <c r="L985" s="10" t="n"/>
      <c r="N985" s="10" t="n"/>
      <c r="O985" s="10">
        <f>IF(L985="","",IF(M985="Won",L985*G985,IF(M985="Void",L985,IF(M985="Cash out",N(N985),IF(M985="Lost",0,"")))))</f>
        <v/>
      </c>
      <c r="P985" s="10">
        <f>IF(OR(L985="",M985="",M985="Pending"),"",O985-L985)</f>
        <v/>
      </c>
      <c r="Q985" s="21" t="n"/>
      <c r="R985" s="11">
        <f>IF(OR(G985="",Q985=""),"",G985/Q985-1)</f>
        <v/>
      </c>
      <c r="S985" s="10">
        <f>IF(OR(L985="",J985=""),"",L985*J985)</f>
        <v/>
      </c>
      <c r="T985" s="10">
        <f>IF(P985="","",StartBank+SUM(P$2:P985))</f>
        <v/>
      </c>
    </row>
    <row r="986">
      <c r="A986" s="22" t="n"/>
      <c r="G986" s="21" t="n"/>
      <c r="H986" s="11" t="n"/>
      <c r="I986" s="21">
        <f>IF(OR(H986="",H986=0),"",1/H986)</f>
        <v/>
      </c>
      <c r="J986" s="11">
        <f>IF(OR(G986="",H986=""),"",H986*G986-1)</f>
        <v/>
      </c>
      <c r="K986" s="10">
        <f>IF(OR(G986="",H986="",G986&lt;=1),"",IF(J986&lt;IF(D986="Builder",MinEdgeBuilder,IF(D986="Player",MinEdgePlayer,MinEdgeSingle)),0,ROUND(MIN(IF(D986="Single",KellySingle,KellyBuilder)*(StartBank+SUM(P$1:P985))*J986/(G986-1),IF(D986="Builder",CapBuilder,CapSingle)*Unit),2)))</f>
        <v/>
      </c>
      <c r="L986" s="10" t="n"/>
      <c r="N986" s="10" t="n"/>
      <c r="O986" s="10">
        <f>IF(L986="","",IF(M986="Won",L986*G986,IF(M986="Void",L986,IF(M986="Cash out",N(N986),IF(M986="Lost",0,"")))))</f>
        <v/>
      </c>
      <c r="P986" s="10">
        <f>IF(OR(L986="",M986="",M986="Pending"),"",O986-L986)</f>
        <v/>
      </c>
      <c r="Q986" s="21" t="n"/>
      <c r="R986" s="11">
        <f>IF(OR(G986="",Q986=""),"",G986/Q986-1)</f>
        <v/>
      </c>
      <c r="S986" s="10">
        <f>IF(OR(L986="",J986=""),"",L986*J986)</f>
        <v/>
      </c>
      <c r="T986" s="10">
        <f>IF(P986="","",StartBank+SUM(P$2:P986))</f>
        <v/>
      </c>
    </row>
    <row r="987">
      <c r="A987" s="22" t="n"/>
      <c r="G987" s="21" t="n"/>
      <c r="H987" s="11" t="n"/>
      <c r="I987" s="21">
        <f>IF(OR(H987="",H987=0),"",1/H987)</f>
        <v/>
      </c>
      <c r="J987" s="11">
        <f>IF(OR(G987="",H987=""),"",H987*G987-1)</f>
        <v/>
      </c>
      <c r="K987" s="10">
        <f>IF(OR(G987="",H987="",G987&lt;=1),"",IF(J987&lt;IF(D987="Builder",MinEdgeBuilder,IF(D987="Player",MinEdgePlayer,MinEdgeSingle)),0,ROUND(MIN(IF(D987="Single",KellySingle,KellyBuilder)*(StartBank+SUM(P$1:P986))*J987/(G987-1),IF(D987="Builder",CapBuilder,CapSingle)*Unit),2)))</f>
        <v/>
      </c>
      <c r="L987" s="10" t="n"/>
      <c r="N987" s="10" t="n"/>
      <c r="O987" s="10">
        <f>IF(L987="","",IF(M987="Won",L987*G987,IF(M987="Void",L987,IF(M987="Cash out",N(N987),IF(M987="Lost",0,"")))))</f>
        <v/>
      </c>
      <c r="P987" s="10">
        <f>IF(OR(L987="",M987="",M987="Pending"),"",O987-L987)</f>
        <v/>
      </c>
      <c r="Q987" s="21" t="n"/>
      <c r="R987" s="11">
        <f>IF(OR(G987="",Q987=""),"",G987/Q987-1)</f>
        <v/>
      </c>
      <c r="S987" s="10">
        <f>IF(OR(L987="",J987=""),"",L987*J987)</f>
        <v/>
      </c>
      <c r="T987" s="10">
        <f>IF(P987="","",StartBank+SUM(P$2:P987))</f>
        <v/>
      </c>
    </row>
    <row r="988">
      <c r="A988" s="22" t="n"/>
      <c r="G988" s="21" t="n"/>
      <c r="H988" s="11" t="n"/>
      <c r="I988" s="21">
        <f>IF(OR(H988="",H988=0),"",1/H988)</f>
        <v/>
      </c>
      <c r="J988" s="11">
        <f>IF(OR(G988="",H988=""),"",H988*G988-1)</f>
        <v/>
      </c>
      <c r="K988" s="10">
        <f>IF(OR(G988="",H988="",G988&lt;=1),"",IF(J988&lt;IF(D988="Builder",MinEdgeBuilder,IF(D988="Player",MinEdgePlayer,MinEdgeSingle)),0,ROUND(MIN(IF(D988="Single",KellySingle,KellyBuilder)*(StartBank+SUM(P$1:P987))*J988/(G988-1),IF(D988="Builder",CapBuilder,CapSingle)*Unit),2)))</f>
        <v/>
      </c>
      <c r="L988" s="10" t="n"/>
      <c r="N988" s="10" t="n"/>
      <c r="O988" s="10">
        <f>IF(L988="","",IF(M988="Won",L988*G988,IF(M988="Void",L988,IF(M988="Cash out",N(N988),IF(M988="Lost",0,"")))))</f>
        <v/>
      </c>
      <c r="P988" s="10">
        <f>IF(OR(L988="",M988="",M988="Pending"),"",O988-L988)</f>
        <v/>
      </c>
      <c r="Q988" s="21" t="n"/>
      <c r="R988" s="11">
        <f>IF(OR(G988="",Q988=""),"",G988/Q988-1)</f>
        <v/>
      </c>
      <c r="S988" s="10">
        <f>IF(OR(L988="",J988=""),"",L988*J988)</f>
        <v/>
      </c>
      <c r="T988" s="10">
        <f>IF(P988="","",StartBank+SUM(P$2:P988))</f>
        <v/>
      </c>
    </row>
    <row r="989">
      <c r="A989" s="22" t="n"/>
      <c r="G989" s="21" t="n"/>
      <c r="H989" s="11" t="n"/>
      <c r="I989" s="21">
        <f>IF(OR(H989="",H989=0),"",1/H989)</f>
        <v/>
      </c>
      <c r="J989" s="11">
        <f>IF(OR(G989="",H989=""),"",H989*G989-1)</f>
        <v/>
      </c>
      <c r="K989" s="10">
        <f>IF(OR(G989="",H989="",G989&lt;=1),"",IF(J989&lt;IF(D989="Builder",MinEdgeBuilder,IF(D989="Player",MinEdgePlayer,MinEdgeSingle)),0,ROUND(MIN(IF(D989="Single",KellySingle,KellyBuilder)*(StartBank+SUM(P$1:P988))*J989/(G989-1),IF(D989="Builder",CapBuilder,CapSingle)*Unit),2)))</f>
        <v/>
      </c>
      <c r="L989" s="10" t="n"/>
      <c r="N989" s="10" t="n"/>
      <c r="O989" s="10">
        <f>IF(L989="","",IF(M989="Won",L989*G989,IF(M989="Void",L989,IF(M989="Cash out",N(N989),IF(M989="Lost",0,"")))))</f>
        <v/>
      </c>
      <c r="P989" s="10">
        <f>IF(OR(L989="",M989="",M989="Pending"),"",O989-L989)</f>
        <v/>
      </c>
      <c r="Q989" s="21" t="n"/>
      <c r="R989" s="11">
        <f>IF(OR(G989="",Q989=""),"",G989/Q989-1)</f>
        <v/>
      </c>
      <c r="S989" s="10">
        <f>IF(OR(L989="",J989=""),"",L989*J989)</f>
        <v/>
      </c>
      <c r="T989" s="10">
        <f>IF(P989="","",StartBank+SUM(P$2:P989))</f>
        <v/>
      </c>
    </row>
    <row r="990">
      <c r="A990" s="22" t="n"/>
      <c r="G990" s="21" t="n"/>
      <c r="H990" s="11" t="n"/>
      <c r="I990" s="21">
        <f>IF(OR(H990="",H990=0),"",1/H990)</f>
        <v/>
      </c>
      <c r="J990" s="11">
        <f>IF(OR(G990="",H990=""),"",H990*G990-1)</f>
        <v/>
      </c>
      <c r="K990" s="10">
        <f>IF(OR(G990="",H990="",G990&lt;=1),"",IF(J990&lt;IF(D990="Builder",MinEdgeBuilder,IF(D990="Player",MinEdgePlayer,MinEdgeSingle)),0,ROUND(MIN(IF(D990="Single",KellySingle,KellyBuilder)*(StartBank+SUM(P$1:P989))*J990/(G990-1),IF(D990="Builder",CapBuilder,CapSingle)*Unit),2)))</f>
        <v/>
      </c>
      <c r="L990" s="10" t="n"/>
      <c r="N990" s="10" t="n"/>
      <c r="O990" s="10">
        <f>IF(L990="","",IF(M990="Won",L990*G990,IF(M990="Void",L990,IF(M990="Cash out",N(N990),IF(M990="Lost",0,"")))))</f>
        <v/>
      </c>
      <c r="P990" s="10">
        <f>IF(OR(L990="",M990="",M990="Pending"),"",O990-L990)</f>
        <v/>
      </c>
      <c r="Q990" s="21" t="n"/>
      <c r="R990" s="11">
        <f>IF(OR(G990="",Q990=""),"",G990/Q990-1)</f>
        <v/>
      </c>
      <c r="S990" s="10">
        <f>IF(OR(L990="",J990=""),"",L990*J990)</f>
        <v/>
      </c>
      <c r="T990" s="10">
        <f>IF(P990="","",StartBank+SUM(P$2:P990))</f>
        <v/>
      </c>
    </row>
    <row r="991">
      <c r="A991" s="22" t="n"/>
      <c r="G991" s="21" t="n"/>
      <c r="H991" s="11" t="n"/>
      <c r="I991" s="21">
        <f>IF(OR(H991="",H991=0),"",1/H991)</f>
        <v/>
      </c>
      <c r="J991" s="11">
        <f>IF(OR(G991="",H991=""),"",H991*G991-1)</f>
        <v/>
      </c>
      <c r="K991" s="10">
        <f>IF(OR(G991="",H991="",G991&lt;=1),"",IF(J991&lt;IF(D991="Builder",MinEdgeBuilder,IF(D991="Player",MinEdgePlayer,MinEdgeSingle)),0,ROUND(MIN(IF(D991="Single",KellySingle,KellyBuilder)*(StartBank+SUM(P$1:P990))*J991/(G991-1),IF(D991="Builder",CapBuilder,CapSingle)*Unit),2)))</f>
        <v/>
      </c>
      <c r="L991" s="10" t="n"/>
      <c r="N991" s="10" t="n"/>
      <c r="O991" s="10">
        <f>IF(L991="","",IF(M991="Won",L991*G991,IF(M991="Void",L991,IF(M991="Cash out",N(N991),IF(M991="Lost",0,"")))))</f>
        <v/>
      </c>
      <c r="P991" s="10">
        <f>IF(OR(L991="",M991="",M991="Pending"),"",O991-L991)</f>
        <v/>
      </c>
      <c r="Q991" s="21" t="n"/>
      <c r="R991" s="11">
        <f>IF(OR(G991="",Q991=""),"",G991/Q991-1)</f>
        <v/>
      </c>
      <c r="S991" s="10">
        <f>IF(OR(L991="",J991=""),"",L991*J991)</f>
        <v/>
      </c>
      <c r="T991" s="10">
        <f>IF(P991="","",StartBank+SUM(P$2:P991))</f>
        <v/>
      </c>
    </row>
    <row r="992">
      <c r="A992" s="22" t="n"/>
      <c r="G992" s="21" t="n"/>
      <c r="H992" s="11" t="n"/>
      <c r="I992" s="21">
        <f>IF(OR(H992="",H992=0),"",1/H992)</f>
        <v/>
      </c>
      <c r="J992" s="11">
        <f>IF(OR(G992="",H992=""),"",H992*G992-1)</f>
        <v/>
      </c>
      <c r="K992" s="10">
        <f>IF(OR(G992="",H992="",G992&lt;=1),"",IF(J992&lt;IF(D992="Builder",MinEdgeBuilder,IF(D992="Player",MinEdgePlayer,MinEdgeSingle)),0,ROUND(MIN(IF(D992="Single",KellySingle,KellyBuilder)*(StartBank+SUM(P$1:P991))*J992/(G992-1),IF(D992="Builder",CapBuilder,CapSingle)*Unit),2)))</f>
        <v/>
      </c>
      <c r="L992" s="10" t="n"/>
      <c r="N992" s="10" t="n"/>
      <c r="O992" s="10">
        <f>IF(L992="","",IF(M992="Won",L992*G992,IF(M992="Void",L992,IF(M992="Cash out",N(N992),IF(M992="Lost",0,"")))))</f>
        <v/>
      </c>
      <c r="P992" s="10">
        <f>IF(OR(L992="",M992="",M992="Pending"),"",O992-L992)</f>
        <v/>
      </c>
      <c r="Q992" s="21" t="n"/>
      <c r="R992" s="11">
        <f>IF(OR(G992="",Q992=""),"",G992/Q992-1)</f>
        <v/>
      </c>
      <c r="S992" s="10">
        <f>IF(OR(L992="",J992=""),"",L992*J992)</f>
        <v/>
      </c>
      <c r="T992" s="10">
        <f>IF(P992="","",StartBank+SUM(P$2:P992))</f>
        <v/>
      </c>
    </row>
    <row r="993">
      <c r="A993" s="22" t="n"/>
      <c r="G993" s="21" t="n"/>
      <c r="H993" s="11" t="n"/>
      <c r="I993" s="21">
        <f>IF(OR(H993="",H993=0),"",1/H993)</f>
        <v/>
      </c>
      <c r="J993" s="11">
        <f>IF(OR(G993="",H993=""),"",H993*G993-1)</f>
        <v/>
      </c>
      <c r="K993" s="10">
        <f>IF(OR(G993="",H993="",G993&lt;=1),"",IF(J993&lt;IF(D993="Builder",MinEdgeBuilder,IF(D993="Player",MinEdgePlayer,MinEdgeSingle)),0,ROUND(MIN(IF(D993="Single",KellySingle,KellyBuilder)*(StartBank+SUM(P$1:P992))*J993/(G993-1),IF(D993="Builder",CapBuilder,CapSingle)*Unit),2)))</f>
        <v/>
      </c>
      <c r="L993" s="10" t="n"/>
      <c r="N993" s="10" t="n"/>
      <c r="O993" s="10">
        <f>IF(L993="","",IF(M993="Won",L993*G993,IF(M993="Void",L993,IF(M993="Cash out",N(N993),IF(M993="Lost",0,"")))))</f>
        <v/>
      </c>
      <c r="P993" s="10">
        <f>IF(OR(L993="",M993="",M993="Pending"),"",O993-L993)</f>
        <v/>
      </c>
      <c r="Q993" s="21" t="n"/>
      <c r="R993" s="11">
        <f>IF(OR(G993="",Q993=""),"",G993/Q993-1)</f>
        <v/>
      </c>
      <c r="S993" s="10">
        <f>IF(OR(L993="",J993=""),"",L993*J993)</f>
        <v/>
      </c>
      <c r="T993" s="10">
        <f>IF(P993="","",StartBank+SUM(P$2:P993))</f>
        <v/>
      </c>
    </row>
    <row r="994">
      <c r="A994" s="22" t="n"/>
      <c r="G994" s="21" t="n"/>
      <c r="H994" s="11" t="n"/>
      <c r="I994" s="21">
        <f>IF(OR(H994="",H994=0),"",1/H994)</f>
        <v/>
      </c>
      <c r="J994" s="11">
        <f>IF(OR(G994="",H994=""),"",H994*G994-1)</f>
        <v/>
      </c>
      <c r="K994" s="10">
        <f>IF(OR(G994="",H994="",G994&lt;=1),"",IF(J994&lt;IF(D994="Builder",MinEdgeBuilder,IF(D994="Player",MinEdgePlayer,MinEdgeSingle)),0,ROUND(MIN(IF(D994="Single",KellySingle,KellyBuilder)*(StartBank+SUM(P$1:P993))*J994/(G994-1),IF(D994="Builder",CapBuilder,CapSingle)*Unit),2)))</f>
        <v/>
      </c>
      <c r="L994" s="10" t="n"/>
      <c r="N994" s="10" t="n"/>
      <c r="O994" s="10">
        <f>IF(L994="","",IF(M994="Won",L994*G994,IF(M994="Void",L994,IF(M994="Cash out",N(N994),IF(M994="Lost",0,"")))))</f>
        <v/>
      </c>
      <c r="P994" s="10">
        <f>IF(OR(L994="",M994="",M994="Pending"),"",O994-L994)</f>
        <v/>
      </c>
      <c r="Q994" s="21" t="n"/>
      <c r="R994" s="11">
        <f>IF(OR(G994="",Q994=""),"",G994/Q994-1)</f>
        <v/>
      </c>
      <c r="S994" s="10">
        <f>IF(OR(L994="",J994=""),"",L994*J994)</f>
        <v/>
      </c>
      <c r="T994" s="10">
        <f>IF(P994="","",StartBank+SUM(P$2:P994))</f>
        <v/>
      </c>
    </row>
    <row r="995">
      <c r="A995" s="22" t="n"/>
      <c r="G995" s="21" t="n"/>
      <c r="H995" s="11" t="n"/>
      <c r="I995" s="21">
        <f>IF(OR(H995="",H995=0),"",1/H995)</f>
        <v/>
      </c>
      <c r="J995" s="11">
        <f>IF(OR(G995="",H995=""),"",H995*G995-1)</f>
        <v/>
      </c>
      <c r="K995" s="10">
        <f>IF(OR(G995="",H995="",G995&lt;=1),"",IF(J995&lt;IF(D995="Builder",MinEdgeBuilder,IF(D995="Player",MinEdgePlayer,MinEdgeSingle)),0,ROUND(MIN(IF(D995="Single",KellySingle,KellyBuilder)*(StartBank+SUM(P$1:P994))*J995/(G995-1),IF(D995="Builder",CapBuilder,CapSingle)*Unit),2)))</f>
        <v/>
      </c>
      <c r="L995" s="10" t="n"/>
      <c r="N995" s="10" t="n"/>
      <c r="O995" s="10">
        <f>IF(L995="","",IF(M995="Won",L995*G995,IF(M995="Void",L995,IF(M995="Cash out",N(N995),IF(M995="Lost",0,"")))))</f>
        <v/>
      </c>
      <c r="P995" s="10">
        <f>IF(OR(L995="",M995="",M995="Pending"),"",O995-L995)</f>
        <v/>
      </c>
      <c r="Q995" s="21" t="n"/>
      <c r="R995" s="11">
        <f>IF(OR(G995="",Q995=""),"",G995/Q995-1)</f>
        <v/>
      </c>
      <c r="S995" s="10">
        <f>IF(OR(L995="",J995=""),"",L995*J995)</f>
        <v/>
      </c>
      <c r="T995" s="10">
        <f>IF(P995="","",StartBank+SUM(P$2:P995))</f>
        <v/>
      </c>
    </row>
    <row r="996">
      <c r="A996" s="22" t="n"/>
      <c r="G996" s="21" t="n"/>
      <c r="H996" s="11" t="n"/>
      <c r="I996" s="21">
        <f>IF(OR(H996="",H996=0),"",1/H996)</f>
        <v/>
      </c>
      <c r="J996" s="11">
        <f>IF(OR(G996="",H996=""),"",H996*G996-1)</f>
        <v/>
      </c>
      <c r="K996" s="10">
        <f>IF(OR(G996="",H996="",G996&lt;=1),"",IF(J996&lt;IF(D996="Builder",MinEdgeBuilder,IF(D996="Player",MinEdgePlayer,MinEdgeSingle)),0,ROUND(MIN(IF(D996="Single",KellySingle,KellyBuilder)*(StartBank+SUM(P$1:P995))*J996/(G996-1),IF(D996="Builder",CapBuilder,CapSingle)*Unit),2)))</f>
        <v/>
      </c>
      <c r="L996" s="10" t="n"/>
      <c r="N996" s="10" t="n"/>
      <c r="O996" s="10">
        <f>IF(L996="","",IF(M996="Won",L996*G996,IF(M996="Void",L996,IF(M996="Cash out",N(N996),IF(M996="Lost",0,"")))))</f>
        <v/>
      </c>
      <c r="P996" s="10">
        <f>IF(OR(L996="",M996="",M996="Pending"),"",O996-L996)</f>
        <v/>
      </c>
      <c r="Q996" s="21" t="n"/>
      <c r="R996" s="11">
        <f>IF(OR(G996="",Q996=""),"",G996/Q996-1)</f>
        <v/>
      </c>
      <c r="S996" s="10">
        <f>IF(OR(L996="",J996=""),"",L996*J996)</f>
        <v/>
      </c>
      <c r="T996" s="10">
        <f>IF(P996="","",StartBank+SUM(P$2:P996))</f>
        <v/>
      </c>
    </row>
    <row r="997">
      <c r="A997" s="22" t="n"/>
      <c r="G997" s="21" t="n"/>
      <c r="H997" s="11" t="n"/>
      <c r="I997" s="21">
        <f>IF(OR(H997="",H997=0),"",1/H997)</f>
        <v/>
      </c>
      <c r="J997" s="11">
        <f>IF(OR(G997="",H997=""),"",H997*G997-1)</f>
        <v/>
      </c>
      <c r="K997" s="10">
        <f>IF(OR(G997="",H997="",G997&lt;=1),"",IF(J997&lt;IF(D997="Builder",MinEdgeBuilder,IF(D997="Player",MinEdgePlayer,MinEdgeSingle)),0,ROUND(MIN(IF(D997="Single",KellySingle,KellyBuilder)*(StartBank+SUM(P$1:P996))*J997/(G997-1),IF(D997="Builder",CapBuilder,CapSingle)*Unit),2)))</f>
        <v/>
      </c>
      <c r="L997" s="10" t="n"/>
      <c r="N997" s="10" t="n"/>
      <c r="O997" s="10">
        <f>IF(L997="","",IF(M997="Won",L997*G997,IF(M997="Void",L997,IF(M997="Cash out",N(N997),IF(M997="Lost",0,"")))))</f>
        <v/>
      </c>
      <c r="P997" s="10">
        <f>IF(OR(L997="",M997="",M997="Pending"),"",O997-L997)</f>
        <v/>
      </c>
      <c r="Q997" s="21" t="n"/>
      <c r="R997" s="11">
        <f>IF(OR(G997="",Q997=""),"",G997/Q997-1)</f>
        <v/>
      </c>
      <c r="S997" s="10">
        <f>IF(OR(L997="",J997=""),"",L997*J997)</f>
        <v/>
      </c>
      <c r="T997" s="10">
        <f>IF(P997="","",StartBank+SUM(P$2:P997))</f>
        <v/>
      </c>
    </row>
    <row r="998">
      <c r="A998" s="22" t="n"/>
      <c r="G998" s="21" t="n"/>
      <c r="H998" s="11" t="n"/>
      <c r="I998" s="21">
        <f>IF(OR(H998="",H998=0),"",1/H998)</f>
        <v/>
      </c>
      <c r="J998" s="11">
        <f>IF(OR(G998="",H998=""),"",H998*G998-1)</f>
        <v/>
      </c>
      <c r="K998" s="10">
        <f>IF(OR(G998="",H998="",G998&lt;=1),"",IF(J998&lt;IF(D998="Builder",MinEdgeBuilder,IF(D998="Player",MinEdgePlayer,MinEdgeSingle)),0,ROUND(MIN(IF(D998="Single",KellySingle,KellyBuilder)*(StartBank+SUM(P$1:P997))*J998/(G998-1),IF(D998="Builder",CapBuilder,CapSingle)*Unit),2)))</f>
        <v/>
      </c>
      <c r="L998" s="10" t="n"/>
      <c r="N998" s="10" t="n"/>
      <c r="O998" s="10">
        <f>IF(L998="","",IF(M998="Won",L998*G998,IF(M998="Void",L998,IF(M998="Cash out",N(N998),IF(M998="Lost",0,"")))))</f>
        <v/>
      </c>
      <c r="P998" s="10">
        <f>IF(OR(L998="",M998="",M998="Pending"),"",O998-L998)</f>
        <v/>
      </c>
      <c r="Q998" s="21" t="n"/>
      <c r="R998" s="11">
        <f>IF(OR(G998="",Q998=""),"",G998/Q998-1)</f>
        <v/>
      </c>
      <c r="S998" s="10">
        <f>IF(OR(L998="",J998=""),"",L998*J998)</f>
        <v/>
      </c>
      <c r="T998" s="10">
        <f>IF(P998="","",StartBank+SUM(P$2:P998))</f>
        <v/>
      </c>
    </row>
    <row r="999">
      <c r="A999" s="22" t="n"/>
      <c r="G999" s="21" t="n"/>
      <c r="H999" s="11" t="n"/>
      <c r="I999" s="21">
        <f>IF(OR(H999="",H999=0),"",1/H999)</f>
        <v/>
      </c>
      <c r="J999" s="11">
        <f>IF(OR(G999="",H999=""),"",H999*G999-1)</f>
        <v/>
      </c>
      <c r="K999" s="10">
        <f>IF(OR(G999="",H999="",G999&lt;=1),"",IF(J999&lt;IF(D999="Builder",MinEdgeBuilder,IF(D999="Player",MinEdgePlayer,MinEdgeSingle)),0,ROUND(MIN(IF(D999="Single",KellySingle,KellyBuilder)*(StartBank+SUM(P$1:P998))*J999/(G999-1),IF(D999="Builder",CapBuilder,CapSingle)*Unit),2)))</f>
        <v/>
      </c>
      <c r="L999" s="10" t="n"/>
      <c r="N999" s="10" t="n"/>
      <c r="O999" s="10">
        <f>IF(L999="","",IF(M999="Won",L999*G999,IF(M999="Void",L999,IF(M999="Cash out",N(N999),IF(M999="Lost",0,"")))))</f>
        <v/>
      </c>
      <c r="P999" s="10">
        <f>IF(OR(L999="",M999="",M999="Pending"),"",O999-L999)</f>
        <v/>
      </c>
      <c r="Q999" s="21" t="n"/>
      <c r="R999" s="11">
        <f>IF(OR(G999="",Q999=""),"",G999/Q999-1)</f>
        <v/>
      </c>
      <c r="S999" s="10">
        <f>IF(OR(L999="",J999=""),"",L999*J999)</f>
        <v/>
      </c>
      <c r="T999" s="10">
        <f>IF(P999="","",StartBank+SUM(P$2:P999))</f>
        <v/>
      </c>
    </row>
    <row r="1000">
      <c r="A1000" s="22" t="n"/>
      <c r="G1000" s="21" t="n"/>
      <c r="H1000" s="11" t="n"/>
      <c r="I1000" s="21">
        <f>IF(OR(H1000="",H1000=0),"",1/H1000)</f>
        <v/>
      </c>
      <c r="J1000" s="11">
        <f>IF(OR(G1000="",H1000=""),"",H1000*G1000-1)</f>
        <v/>
      </c>
      <c r="K1000" s="10">
        <f>IF(OR(G1000="",H1000="",G1000&lt;=1),"",IF(J1000&lt;IF(D1000="Builder",MinEdgeBuilder,IF(D1000="Player",MinEdgePlayer,MinEdgeSingle)),0,ROUND(MIN(IF(D1000="Single",KellySingle,KellyBuilder)*(StartBank+SUM(P$1:P999))*J1000/(G1000-1),IF(D1000="Builder",CapBuilder,CapSingle)*Unit),2)))</f>
        <v/>
      </c>
      <c r="L1000" s="10" t="n"/>
      <c r="N1000" s="10" t="n"/>
      <c r="O1000" s="10">
        <f>IF(L1000="","",IF(M1000="Won",L1000*G1000,IF(M1000="Void",L1000,IF(M1000="Cash out",N(N1000),IF(M1000="Lost",0,"")))))</f>
        <v/>
      </c>
      <c r="P1000" s="10">
        <f>IF(OR(L1000="",M1000="",M1000="Pending"),"",O1000-L1000)</f>
        <v/>
      </c>
      <c r="Q1000" s="21" t="n"/>
      <c r="R1000" s="11">
        <f>IF(OR(G1000="",Q1000=""),"",G1000/Q1000-1)</f>
        <v/>
      </c>
      <c r="S1000" s="10">
        <f>IF(OR(L1000="",J1000=""),"",L1000*J1000)</f>
        <v/>
      </c>
      <c r="T1000" s="10">
        <f>IF(P1000="","",StartBank+SUM(P$2:P1000))</f>
        <v/>
      </c>
    </row>
    <row r="1001">
      <c r="A1001" s="22" t="n"/>
      <c r="G1001" s="21" t="n"/>
      <c r="H1001" s="11" t="n"/>
      <c r="I1001" s="21">
        <f>IF(OR(H1001="",H1001=0),"",1/H1001)</f>
        <v/>
      </c>
      <c r="J1001" s="11">
        <f>IF(OR(G1001="",H1001=""),"",H1001*G1001-1)</f>
        <v/>
      </c>
      <c r="K1001" s="10">
        <f>IF(OR(G1001="",H1001="",G1001&lt;=1),"",IF(J1001&lt;IF(D1001="Builder",MinEdgeBuilder,IF(D1001="Player",MinEdgePlayer,MinEdgeSingle)),0,ROUND(MIN(IF(D1001="Single",KellySingle,KellyBuilder)*(StartBank+SUM(P$1:P1000))*J1001/(G1001-1),IF(D1001="Builder",CapBuilder,CapSingle)*Unit),2)))</f>
        <v/>
      </c>
      <c r="L1001" s="10" t="n"/>
      <c r="N1001" s="10" t="n"/>
      <c r="O1001" s="10">
        <f>IF(L1001="","",IF(M1001="Won",L1001*G1001,IF(M1001="Void",L1001,IF(M1001="Cash out",N(N1001),IF(M1001="Lost",0,"")))))</f>
        <v/>
      </c>
      <c r="P1001" s="10">
        <f>IF(OR(L1001="",M1001="",M1001="Pending"),"",O1001-L1001)</f>
        <v/>
      </c>
      <c r="Q1001" s="21" t="n"/>
      <c r="R1001" s="11">
        <f>IF(OR(G1001="",Q1001=""),"",G1001/Q1001-1)</f>
        <v/>
      </c>
      <c r="S1001" s="10">
        <f>IF(OR(L1001="",J1001=""),"",L1001*J1001)</f>
        <v/>
      </c>
      <c r="T1001" s="10">
        <f>IF(P1001="","",StartBank+SUM(P$2:P1001))</f>
        <v/>
      </c>
    </row>
    <row r="1002">
      <c r="A1002" s="22" t="n"/>
      <c r="G1002" s="21" t="n"/>
      <c r="H1002" s="11" t="n"/>
      <c r="I1002" s="21">
        <f>IF(OR(H1002="",H1002=0),"",1/H1002)</f>
        <v/>
      </c>
      <c r="J1002" s="11">
        <f>IF(OR(G1002="",H1002=""),"",H1002*G1002-1)</f>
        <v/>
      </c>
      <c r="K1002" s="10">
        <f>IF(OR(G1002="",H1002="",G1002&lt;=1),"",IF(J1002&lt;IF(D1002="Builder",MinEdgeBuilder,IF(D1002="Player",MinEdgePlayer,MinEdgeSingle)),0,ROUND(MIN(IF(D1002="Single",KellySingle,KellyBuilder)*(StartBank+SUM(P$1:P1001))*J1002/(G1002-1),IF(D1002="Builder",CapBuilder,CapSingle)*Unit),2)))</f>
        <v/>
      </c>
      <c r="L1002" s="10" t="n"/>
      <c r="N1002" s="10" t="n"/>
      <c r="O1002" s="10">
        <f>IF(L1002="","",IF(M1002="Won",L1002*G1002,IF(M1002="Void",L1002,IF(M1002="Cash out",N(N1002),IF(M1002="Lost",0,"")))))</f>
        <v/>
      </c>
      <c r="P1002" s="10">
        <f>IF(OR(L1002="",M1002="",M1002="Pending"),"",O1002-L1002)</f>
        <v/>
      </c>
      <c r="Q1002" s="21" t="n"/>
      <c r="R1002" s="11">
        <f>IF(OR(G1002="",Q1002=""),"",G1002/Q1002-1)</f>
        <v/>
      </c>
      <c r="S1002" s="10">
        <f>IF(OR(L1002="",J1002=""),"",L1002*J1002)</f>
        <v/>
      </c>
      <c r="T1002" s="10">
        <f>IF(P1002="","",StartBank+SUM(P$2:P1002))</f>
        <v/>
      </c>
    </row>
    <row r="1003">
      <c r="A1003" s="22" t="n"/>
      <c r="G1003" s="21" t="n"/>
      <c r="H1003" s="11" t="n"/>
      <c r="I1003" s="21">
        <f>IF(OR(H1003="",H1003=0),"",1/H1003)</f>
        <v/>
      </c>
      <c r="J1003" s="11">
        <f>IF(OR(G1003="",H1003=""),"",H1003*G1003-1)</f>
        <v/>
      </c>
      <c r="K1003" s="10">
        <f>IF(OR(G1003="",H1003="",G1003&lt;=1),"",IF(J1003&lt;IF(D1003="Builder",MinEdgeBuilder,IF(D1003="Player",MinEdgePlayer,MinEdgeSingle)),0,ROUND(MIN(IF(D1003="Single",KellySingle,KellyBuilder)*(StartBank+SUM(P$1:P1002))*J1003/(G1003-1),IF(D1003="Builder",CapBuilder,CapSingle)*Unit),2)))</f>
        <v/>
      </c>
      <c r="L1003" s="10" t="n"/>
      <c r="N1003" s="10" t="n"/>
      <c r="O1003" s="10">
        <f>IF(L1003="","",IF(M1003="Won",L1003*G1003,IF(M1003="Void",L1003,IF(M1003="Cash out",N(N1003),IF(M1003="Lost",0,"")))))</f>
        <v/>
      </c>
      <c r="P1003" s="10">
        <f>IF(OR(L1003="",M1003="",M1003="Pending"),"",O1003-L1003)</f>
        <v/>
      </c>
      <c r="Q1003" s="21" t="n"/>
      <c r="R1003" s="11">
        <f>IF(OR(G1003="",Q1003=""),"",G1003/Q1003-1)</f>
        <v/>
      </c>
      <c r="S1003" s="10">
        <f>IF(OR(L1003="",J1003=""),"",L1003*J1003)</f>
        <v/>
      </c>
      <c r="T1003" s="10">
        <f>IF(P1003="","",StartBank+SUM(P$2:P1003))</f>
        <v/>
      </c>
    </row>
    <row r="1004">
      <c r="A1004" s="22" t="n"/>
      <c r="G1004" s="21" t="n"/>
      <c r="H1004" s="11" t="n"/>
      <c r="I1004" s="21">
        <f>IF(OR(H1004="",H1004=0),"",1/H1004)</f>
        <v/>
      </c>
      <c r="J1004" s="11">
        <f>IF(OR(G1004="",H1004=""),"",H1004*G1004-1)</f>
        <v/>
      </c>
      <c r="K1004" s="10">
        <f>IF(OR(G1004="",H1004="",G1004&lt;=1),"",IF(J1004&lt;IF(D1004="Builder",MinEdgeBuilder,IF(D1004="Player",MinEdgePlayer,MinEdgeSingle)),0,ROUND(MIN(IF(D1004="Single",KellySingle,KellyBuilder)*(StartBank+SUM(P$1:P1003))*J1004/(G1004-1),IF(D1004="Builder",CapBuilder,CapSingle)*Unit),2)))</f>
        <v/>
      </c>
      <c r="L1004" s="10" t="n"/>
      <c r="N1004" s="10" t="n"/>
      <c r="O1004" s="10">
        <f>IF(L1004="","",IF(M1004="Won",L1004*G1004,IF(M1004="Void",L1004,IF(M1004="Cash out",N(N1004),IF(M1004="Lost",0,"")))))</f>
        <v/>
      </c>
      <c r="P1004" s="10">
        <f>IF(OR(L1004="",M1004="",M1004="Pending"),"",O1004-L1004)</f>
        <v/>
      </c>
      <c r="Q1004" s="21" t="n"/>
      <c r="R1004" s="11">
        <f>IF(OR(G1004="",Q1004=""),"",G1004/Q1004-1)</f>
        <v/>
      </c>
      <c r="S1004" s="10">
        <f>IF(OR(L1004="",J1004=""),"",L1004*J1004)</f>
        <v/>
      </c>
      <c r="T1004" s="10">
        <f>IF(P1004="","",StartBank+SUM(P$2:P1004))</f>
        <v/>
      </c>
    </row>
    <row r="1005">
      <c r="A1005" s="22" t="n"/>
      <c r="G1005" s="21" t="n"/>
      <c r="H1005" s="11" t="n"/>
      <c r="I1005" s="21">
        <f>IF(OR(H1005="",H1005=0),"",1/H1005)</f>
        <v/>
      </c>
      <c r="J1005" s="11">
        <f>IF(OR(G1005="",H1005=""),"",H1005*G1005-1)</f>
        <v/>
      </c>
      <c r="K1005" s="10">
        <f>IF(OR(G1005="",H1005="",G1005&lt;=1),"",IF(J1005&lt;IF(D1005="Builder",MinEdgeBuilder,IF(D1005="Player",MinEdgePlayer,MinEdgeSingle)),0,ROUND(MIN(IF(D1005="Single",KellySingle,KellyBuilder)*(StartBank+SUM(P$1:P1004))*J1005/(G1005-1),IF(D1005="Builder",CapBuilder,CapSingle)*Unit),2)))</f>
        <v/>
      </c>
      <c r="L1005" s="10" t="n"/>
      <c r="N1005" s="10" t="n"/>
      <c r="O1005" s="10">
        <f>IF(L1005="","",IF(M1005="Won",L1005*G1005,IF(M1005="Void",L1005,IF(M1005="Cash out",N(N1005),IF(M1005="Lost",0,"")))))</f>
        <v/>
      </c>
      <c r="P1005" s="10">
        <f>IF(OR(L1005="",M1005="",M1005="Pending"),"",O1005-L1005)</f>
        <v/>
      </c>
      <c r="Q1005" s="21" t="n"/>
      <c r="R1005" s="11">
        <f>IF(OR(G1005="",Q1005=""),"",G1005/Q1005-1)</f>
        <v/>
      </c>
      <c r="S1005" s="10">
        <f>IF(OR(L1005="",J1005=""),"",L1005*J1005)</f>
        <v/>
      </c>
      <c r="T1005" s="10">
        <f>IF(P1005="","",StartBank+SUM(P$2:P1005))</f>
        <v/>
      </c>
    </row>
    <row r="1006">
      <c r="A1006" s="22" t="n"/>
      <c r="G1006" s="21" t="n"/>
      <c r="H1006" s="11" t="n"/>
      <c r="I1006" s="21">
        <f>IF(OR(H1006="",H1006=0),"",1/H1006)</f>
        <v/>
      </c>
      <c r="J1006" s="11">
        <f>IF(OR(G1006="",H1006=""),"",H1006*G1006-1)</f>
        <v/>
      </c>
      <c r="K1006" s="10">
        <f>IF(OR(G1006="",H1006="",G1006&lt;=1),"",IF(J1006&lt;IF(D1006="Builder",MinEdgeBuilder,IF(D1006="Player",MinEdgePlayer,MinEdgeSingle)),0,ROUND(MIN(IF(D1006="Single",KellySingle,KellyBuilder)*(StartBank+SUM(P$1:P1005))*J1006/(G1006-1),IF(D1006="Builder",CapBuilder,CapSingle)*Unit),2)))</f>
        <v/>
      </c>
      <c r="L1006" s="10" t="n"/>
      <c r="N1006" s="10" t="n"/>
      <c r="O1006" s="10">
        <f>IF(L1006="","",IF(M1006="Won",L1006*G1006,IF(M1006="Void",L1006,IF(M1006="Cash out",N(N1006),IF(M1006="Lost",0,"")))))</f>
        <v/>
      </c>
      <c r="P1006" s="10">
        <f>IF(OR(L1006="",M1006="",M1006="Pending"),"",O1006-L1006)</f>
        <v/>
      </c>
      <c r="Q1006" s="21" t="n"/>
      <c r="R1006" s="11">
        <f>IF(OR(G1006="",Q1006=""),"",G1006/Q1006-1)</f>
        <v/>
      </c>
      <c r="S1006" s="10">
        <f>IF(OR(L1006="",J1006=""),"",L1006*J1006)</f>
        <v/>
      </c>
      <c r="T1006" s="10">
        <f>IF(P1006="","",StartBank+SUM(P$2:P1006))</f>
        <v/>
      </c>
    </row>
    <row r="1007">
      <c r="A1007" s="22" t="n"/>
      <c r="G1007" s="21" t="n"/>
      <c r="H1007" s="11" t="n"/>
      <c r="I1007" s="21">
        <f>IF(OR(H1007="",H1007=0),"",1/H1007)</f>
        <v/>
      </c>
      <c r="J1007" s="11">
        <f>IF(OR(G1007="",H1007=""),"",H1007*G1007-1)</f>
        <v/>
      </c>
      <c r="K1007" s="10">
        <f>IF(OR(G1007="",H1007="",G1007&lt;=1),"",IF(J1007&lt;IF(D1007="Builder",MinEdgeBuilder,IF(D1007="Player",MinEdgePlayer,MinEdgeSingle)),0,ROUND(MIN(IF(D1007="Single",KellySingle,KellyBuilder)*(StartBank+SUM(P$1:P1006))*J1007/(G1007-1),IF(D1007="Builder",CapBuilder,CapSingle)*Unit),2)))</f>
        <v/>
      </c>
      <c r="L1007" s="10" t="n"/>
      <c r="N1007" s="10" t="n"/>
      <c r="O1007" s="10">
        <f>IF(L1007="","",IF(M1007="Won",L1007*G1007,IF(M1007="Void",L1007,IF(M1007="Cash out",N(N1007),IF(M1007="Lost",0,"")))))</f>
        <v/>
      </c>
      <c r="P1007" s="10">
        <f>IF(OR(L1007="",M1007="",M1007="Pending"),"",O1007-L1007)</f>
        <v/>
      </c>
      <c r="Q1007" s="21" t="n"/>
      <c r="R1007" s="11">
        <f>IF(OR(G1007="",Q1007=""),"",G1007/Q1007-1)</f>
        <v/>
      </c>
      <c r="S1007" s="10">
        <f>IF(OR(L1007="",J1007=""),"",L1007*J1007)</f>
        <v/>
      </c>
      <c r="T1007" s="10">
        <f>IF(P1007="","",StartBank+SUM(P$2:P1007))</f>
        <v/>
      </c>
    </row>
    <row r="1008">
      <c r="A1008" s="22" t="n"/>
      <c r="G1008" s="21" t="n"/>
      <c r="H1008" s="11" t="n"/>
      <c r="I1008" s="21">
        <f>IF(OR(H1008="",H1008=0),"",1/H1008)</f>
        <v/>
      </c>
      <c r="J1008" s="11">
        <f>IF(OR(G1008="",H1008=""),"",H1008*G1008-1)</f>
        <v/>
      </c>
      <c r="K1008" s="10">
        <f>IF(OR(G1008="",H1008="",G1008&lt;=1),"",IF(J1008&lt;IF(D1008="Builder",MinEdgeBuilder,IF(D1008="Player",MinEdgePlayer,MinEdgeSingle)),0,ROUND(MIN(IF(D1008="Single",KellySingle,KellyBuilder)*(StartBank+SUM(P$1:P1007))*J1008/(G1008-1),IF(D1008="Builder",CapBuilder,CapSingle)*Unit),2)))</f>
        <v/>
      </c>
      <c r="L1008" s="10" t="n"/>
      <c r="N1008" s="10" t="n"/>
      <c r="O1008" s="10">
        <f>IF(L1008="","",IF(M1008="Won",L1008*G1008,IF(M1008="Void",L1008,IF(M1008="Cash out",N(N1008),IF(M1008="Lost",0,"")))))</f>
        <v/>
      </c>
      <c r="P1008" s="10">
        <f>IF(OR(L1008="",M1008="",M1008="Pending"),"",O1008-L1008)</f>
        <v/>
      </c>
      <c r="Q1008" s="21" t="n"/>
      <c r="R1008" s="11">
        <f>IF(OR(G1008="",Q1008=""),"",G1008/Q1008-1)</f>
        <v/>
      </c>
      <c r="S1008" s="10">
        <f>IF(OR(L1008="",J1008=""),"",L1008*J1008)</f>
        <v/>
      </c>
      <c r="T1008" s="10">
        <f>IF(P1008="","",StartBank+SUM(P$2:P1008))</f>
        <v/>
      </c>
    </row>
    <row r="1009">
      <c r="A1009" s="22" t="n"/>
      <c r="G1009" s="21" t="n"/>
      <c r="H1009" s="11" t="n"/>
      <c r="I1009" s="21">
        <f>IF(OR(H1009="",H1009=0),"",1/H1009)</f>
        <v/>
      </c>
      <c r="J1009" s="11">
        <f>IF(OR(G1009="",H1009=""),"",H1009*G1009-1)</f>
        <v/>
      </c>
      <c r="K1009" s="10">
        <f>IF(OR(G1009="",H1009="",G1009&lt;=1),"",IF(J1009&lt;IF(D1009="Builder",MinEdgeBuilder,IF(D1009="Player",MinEdgePlayer,MinEdgeSingle)),0,ROUND(MIN(IF(D1009="Single",KellySingle,KellyBuilder)*(StartBank+SUM(P$1:P1008))*J1009/(G1009-1),IF(D1009="Builder",CapBuilder,CapSingle)*Unit),2)))</f>
        <v/>
      </c>
      <c r="L1009" s="10" t="n"/>
      <c r="N1009" s="10" t="n"/>
      <c r="O1009" s="10">
        <f>IF(L1009="","",IF(M1009="Won",L1009*G1009,IF(M1009="Void",L1009,IF(M1009="Cash out",N(N1009),IF(M1009="Lost",0,"")))))</f>
        <v/>
      </c>
      <c r="P1009" s="10">
        <f>IF(OR(L1009="",M1009="",M1009="Pending"),"",O1009-L1009)</f>
        <v/>
      </c>
      <c r="Q1009" s="21" t="n"/>
      <c r="R1009" s="11">
        <f>IF(OR(G1009="",Q1009=""),"",G1009/Q1009-1)</f>
        <v/>
      </c>
      <c r="S1009" s="10">
        <f>IF(OR(L1009="",J1009=""),"",L1009*J1009)</f>
        <v/>
      </c>
      <c r="T1009" s="10">
        <f>IF(P1009="","",StartBank+SUM(P$2:P1009))</f>
        <v/>
      </c>
    </row>
    <row r="1010">
      <c r="A1010" s="22" t="n"/>
      <c r="G1010" s="21" t="n"/>
      <c r="H1010" s="11" t="n"/>
      <c r="I1010" s="21">
        <f>IF(OR(H1010="",H1010=0),"",1/H1010)</f>
        <v/>
      </c>
      <c r="J1010" s="11">
        <f>IF(OR(G1010="",H1010=""),"",H1010*G1010-1)</f>
        <v/>
      </c>
      <c r="K1010" s="10">
        <f>IF(OR(G1010="",H1010="",G1010&lt;=1),"",IF(J1010&lt;IF(D1010="Builder",MinEdgeBuilder,IF(D1010="Player",MinEdgePlayer,MinEdgeSingle)),0,ROUND(MIN(IF(D1010="Single",KellySingle,KellyBuilder)*(StartBank+SUM(P$1:P1009))*J1010/(G1010-1),IF(D1010="Builder",CapBuilder,CapSingle)*Unit),2)))</f>
        <v/>
      </c>
      <c r="L1010" s="10" t="n"/>
      <c r="N1010" s="10" t="n"/>
      <c r="O1010" s="10">
        <f>IF(L1010="","",IF(M1010="Won",L1010*G1010,IF(M1010="Void",L1010,IF(M1010="Cash out",N(N1010),IF(M1010="Lost",0,"")))))</f>
        <v/>
      </c>
      <c r="P1010" s="10">
        <f>IF(OR(L1010="",M1010="",M1010="Pending"),"",O1010-L1010)</f>
        <v/>
      </c>
      <c r="Q1010" s="21" t="n"/>
      <c r="R1010" s="11">
        <f>IF(OR(G1010="",Q1010=""),"",G1010/Q1010-1)</f>
        <v/>
      </c>
      <c r="S1010" s="10">
        <f>IF(OR(L1010="",J1010=""),"",L1010*J1010)</f>
        <v/>
      </c>
      <c r="T1010" s="10">
        <f>IF(P1010="","",StartBank+SUM(P$2:P1010))</f>
        <v/>
      </c>
    </row>
    <row r="1011">
      <c r="A1011" s="22" t="n"/>
      <c r="G1011" s="21" t="n"/>
      <c r="H1011" s="11" t="n"/>
      <c r="I1011" s="21">
        <f>IF(OR(H1011="",H1011=0),"",1/H1011)</f>
        <v/>
      </c>
      <c r="J1011" s="11">
        <f>IF(OR(G1011="",H1011=""),"",H1011*G1011-1)</f>
        <v/>
      </c>
      <c r="K1011" s="10">
        <f>IF(OR(G1011="",H1011="",G1011&lt;=1),"",IF(J1011&lt;IF(D1011="Builder",MinEdgeBuilder,IF(D1011="Player",MinEdgePlayer,MinEdgeSingle)),0,ROUND(MIN(IF(D1011="Single",KellySingle,KellyBuilder)*(StartBank+SUM(P$1:P1010))*J1011/(G1011-1),IF(D1011="Builder",CapBuilder,CapSingle)*Unit),2)))</f>
        <v/>
      </c>
      <c r="L1011" s="10" t="n"/>
      <c r="N1011" s="10" t="n"/>
      <c r="O1011" s="10">
        <f>IF(L1011="","",IF(M1011="Won",L1011*G1011,IF(M1011="Void",L1011,IF(M1011="Cash out",N(N1011),IF(M1011="Lost",0,"")))))</f>
        <v/>
      </c>
      <c r="P1011" s="10">
        <f>IF(OR(L1011="",M1011="",M1011="Pending"),"",O1011-L1011)</f>
        <v/>
      </c>
      <c r="Q1011" s="21" t="n"/>
      <c r="R1011" s="11">
        <f>IF(OR(G1011="",Q1011=""),"",G1011/Q1011-1)</f>
        <v/>
      </c>
      <c r="S1011" s="10">
        <f>IF(OR(L1011="",J1011=""),"",L1011*J1011)</f>
        <v/>
      </c>
      <c r="T1011" s="10">
        <f>IF(P1011="","",StartBank+SUM(P$2:P1011))</f>
        <v/>
      </c>
    </row>
    <row r="1012">
      <c r="A1012" s="22" t="n"/>
      <c r="G1012" s="21" t="n"/>
      <c r="H1012" s="11" t="n"/>
      <c r="I1012" s="21">
        <f>IF(OR(H1012="",H1012=0),"",1/H1012)</f>
        <v/>
      </c>
      <c r="J1012" s="11">
        <f>IF(OR(G1012="",H1012=""),"",H1012*G1012-1)</f>
        <v/>
      </c>
      <c r="K1012" s="10">
        <f>IF(OR(G1012="",H1012="",G1012&lt;=1),"",IF(J1012&lt;IF(D1012="Builder",MinEdgeBuilder,IF(D1012="Player",MinEdgePlayer,MinEdgeSingle)),0,ROUND(MIN(IF(D1012="Single",KellySingle,KellyBuilder)*(StartBank+SUM(P$1:P1011))*J1012/(G1012-1),IF(D1012="Builder",CapBuilder,CapSingle)*Unit),2)))</f>
        <v/>
      </c>
      <c r="L1012" s="10" t="n"/>
      <c r="N1012" s="10" t="n"/>
      <c r="O1012" s="10">
        <f>IF(L1012="","",IF(M1012="Won",L1012*G1012,IF(M1012="Void",L1012,IF(M1012="Cash out",N(N1012),IF(M1012="Lost",0,"")))))</f>
        <v/>
      </c>
      <c r="P1012" s="10">
        <f>IF(OR(L1012="",M1012="",M1012="Pending"),"",O1012-L1012)</f>
        <v/>
      </c>
      <c r="Q1012" s="21" t="n"/>
      <c r="R1012" s="11">
        <f>IF(OR(G1012="",Q1012=""),"",G1012/Q1012-1)</f>
        <v/>
      </c>
      <c r="S1012" s="10">
        <f>IF(OR(L1012="",J1012=""),"",L1012*J1012)</f>
        <v/>
      </c>
      <c r="T1012" s="10">
        <f>IF(P1012="","",StartBank+SUM(P$2:P1012))</f>
        <v/>
      </c>
    </row>
    <row r="1013">
      <c r="A1013" s="22" t="n"/>
      <c r="G1013" s="21" t="n"/>
      <c r="H1013" s="11" t="n"/>
      <c r="I1013" s="21">
        <f>IF(OR(H1013="",H1013=0),"",1/H1013)</f>
        <v/>
      </c>
      <c r="J1013" s="11">
        <f>IF(OR(G1013="",H1013=""),"",H1013*G1013-1)</f>
        <v/>
      </c>
      <c r="K1013" s="10">
        <f>IF(OR(G1013="",H1013="",G1013&lt;=1),"",IF(J1013&lt;IF(D1013="Builder",MinEdgeBuilder,IF(D1013="Player",MinEdgePlayer,MinEdgeSingle)),0,ROUND(MIN(IF(D1013="Single",KellySingle,KellyBuilder)*(StartBank+SUM(P$1:P1012))*J1013/(G1013-1),IF(D1013="Builder",CapBuilder,CapSingle)*Unit),2)))</f>
        <v/>
      </c>
      <c r="L1013" s="10" t="n"/>
      <c r="N1013" s="10" t="n"/>
      <c r="O1013" s="10">
        <f>IF(L1013="","",IF(M1013="Won",L1013*G1013,IF(M1013="Void",L1013,IF(M1013="Cash out",N(N1013),IF(M1013="Lost",0,"")))))</f>
        <v/>
      </c>
      <c r="P1013" s="10">
        <f>IF(OR(L1013="",M1013="",M1013="Pending"),"",O1013-L1013)</f>
        <v/>
      </c>
      <c r="Q1013" s="21" t="n"/>
      <c r="R1013" s="11">
        <f>IF(OR(G1013="",Q1013=""),"",G1013/Q1013-1)</f>
        <v/>
      </c>
      <c r="S1013" s="10">
        <f>IF(OR(L1013="",J1013=""),"",L1013*J1013)</f>
        <v/>
      </c>
      <c r="T1013" s="10">
        <f>IF(P1013="","",StartBank+SUM(P$2:P1013))</f>
        <v/>
      </c>
    </row>
    <row r="1014">
      <c r="A1014" s="22" t="n"/>
      <c r="G1014" s="21" t="n"/>
      <c r="H1014" s="11" t="n"/>
      <c r="I1014" s="21">
        <f>IF(OR(H1014="",H1014=0),"",1/H1014)</f>
        <v/>
      </c>
      <c r="J1014" s="11">
        <f>IF(OR(G1014="",H1014=""),"",H1014*G1014-1)</f>
        <v/>
      </c>
      <c r="K1014" s="10">
        <f>IF(OR(G1014="",H1014="",G1014&lt;=1),"",IF(J1014&lt;IF(D1014="Builder",MinEdgeBuilder,IF(D1014="Player",MinEdgePlayer,MinEdgeSingle)),0,ROUND(MIN(IF(D1014="Single",KellySingle,KellyBuilder)*(StartBank+SUM(P$1:P1013))*J1014/(G1014-1),IF(D1014="Builder",CapBuilder,CapSingle)*Unit),2)))</f>
        <v/>
      </c>
      <c r="L1014" s="10" t="n"/>
      <c r="N1014" s="10" t="n"/>
      <c r="O1014" s="10">
        <f>IF(L1014="","",IF(M1014="Won",L1014*G1014,IF(M1014="Void",L1014,IF(M1014="Cash out",N(N1014),IF(M1014="Lost",0,"")))))</f>
        <v/>
      </c>
      <c r="P1014" s="10">
        <f>IF(OR(L1014="",M1014="",M1014="Pending"),"",O1014-L1014)</f>
        <v/>
      </c>
      <c r="Q1014" s="21" t="n"/>
      <c r="R1014" s="11">
        <f>IF(OR(G1014="",Q1014=""),"",G1014/Q1014-1)</f>
        <v/>
      </c>
      <c r="S1014" s="10">
        <f>IF(OR(L1014="",J1014=""),"",L1014*J1014)</f>
        <v/>
      </c>
      <c r="T1014" s="10">
        <f>IF(P1014="","",StartBank+SUM(P$2:P1014))</f>
        <v/>
      </c>
    </row>
    <row r="1015">
      <c r="A1015" s="22" t="n"/>
      <c r="G1015" s="21" t="n"/>
      <c r="H1015" s="11" t="n"/>
      <c r="I1015" s="21">
        <f>IF(OR(H1015="",H1015=0),"",1/H1015)</f>
        <v/>
      </c>
      <c r="J1015" s="11">
        <f>IF(OR(G1015="",H1015=""),"",H1015*G1015-1)</f>
        <v/>
      </c>
      <c r="K1015" s="10">
        <f>IF(OR(G1015="",H1015="",G1015&lt;=1),"",IF(J1015&lt;IF(D1015="Builder",MinEdgeBuilder,IF(D1015="Player",MinEdgePlayer,MinEdgeSingle)),0,ROUND(MIN(IF(D1015="Single",KellySingle,KellyBuilder)*(StartBank+SUM(P$1:P1014))*J1015/(G1015-1),IF(D1015="Builder",CapBuilder,CapSingle)*Unit),2)))</f>
        <v/>
      </c>
      <c r="L1015" s="10" t="n"/>
      <c r="N1015" s="10" t="n"/>
      <c r="O1015" s="10">
        <f>IF(L1015="","",IF(M1015="Won",L1015*G1015,IF(M1015="Void",L1015,IF(M1015="Cash out",N(N1015),IF(M1015="Lost",0,"")))))</f>
        <v/>
      </c>
      <c r="P1015" s="10">
        <f>IF(OR(L1015="",M1015="",M1015="Pending"),"",O1015-L1015)</f>
        <v/>
      </c>
      <c r="Q1015" s="21" t="n"/>
      <c r="R1015" s="11">
        <f>IF(OR(G1015="",Q1015=""),"",G1015/Q1015-1)</f>
        <v/>
      </c>
      <c r="S1015" s="10">
        <f>IF(OR(L1015="",J1015=""),"",L1015*J1015)</f>
        <v/>
      </c>
      <c r="T1015" s="10">
        <f>IF(P1015="","",StartBank+SUM(P$2:P1015))</f>
        <v/>
      </c>
    </row>
    <row r="1016">
      <c r="A1016" s="22" t="n"/>
      <c r="G1016" s="21" t="n"/>
      <c r="H1016" s="11" t="n"/>
      <c r="I1016" s="21">
        <f>IF(OR(H1016="",H1016=0),"",1/H1016)</f>
        <v/>
      </c>
      <c r="J1016" s="11">
        <f>IF(OR(G1016="",H1016=""),"",H1016*G1016-1)</f>
        <v/>
      </c>
      <c r="K1016" s="10">
        <f>IF(OR(G1016="",H1016="",G1016&lt;=1),"",IF(J1016&lt;IF(D1016="Builder",MinEdgeBuilder,IF(D1016="Player",MinEdgePlayer,MinEdgeSingle)),0,ROUND(MIN(IF(D1016="Single",KellySingle,KellyBuilder)*(StartBank+SUM(P$1:P1015))*J1016/(G1016-1),IF(D1016="Builder",CapBuilder,CapSingle)*Unit),2)))</f>
        <v/>
      </c>
      <c r="L1016" s="10" t="n"/>
      <c r="N1016" s="10" t="n"/>
      <c r="O1016" s="10">
        <f>IF(L1016="","",IF(M1016="Won",L1016*G1016,IF(M1016="Void",L1016,IF(M1016="Cash out",N(N1016),IF(M1016="Lost",0,"")))))</f>
        <v/>
      </c>
      <c r="P1016" s="10">
        <f>IF(OR(L1016="",M1016="",M1016="Pending"),"",O1016-L1016)</f>
        <v/>
      </c>
      <c r="Q1016" s="21" t="n"/>
      <c r="R1016" s="11">
        <f>IF(OR(G1016="",Q1016=""),"",G1016/Q1016-1)</f>
        <v/>
      </c>
      <c r="S1016" s="10">
        <f>IF(OR(L1016="",J1016=""),"",L1016*J1016)</f>
        <v/>
      </c>
      <c r="T1016" s="10">
        <f>IF(P1016="","",StartBank+SUM(P$2:P1016))</f>
        <v/>
      </c>
    </row>
    <row r="1017">
      <c r="A1017" s="22" t="n"/>
      <c r="G1017" s="21" t="n"/>
      <c r="H1017" s="11" t="n"/>
      <c r="I1017" s="21">
        <f>IF(OR(H1017="",H1017=0),"",1/H1017)</f>
        <v/>
      </c>
      <c r="J1017" s="11">
        <f>IF(OR(G1017="",H1017=""),"",H1017*G1017-1)</f>
        <v/>
      </c>
      <c r="K1017" s="10">
        <f>IF(OR(G1017="",H1017="",G1017&lt;=1),"",IF(J1017&lt;IF(D1017="Builder",MinEdgeBuilder,IF(D1017="Player",MinEdgePlayer,MinEdgeSingle)),0,ROUND(MIN(IF(D1017="Single",KellySingle,KellyBuilder)*(StartBank+SUM(P$1:P1016))*J1017/(G1017-1),IF(D1017="Builder",CapBuilder,CapSingle)*Unit),2)))</f>
        <v/>
      </c>
      <c r="L1017" s="10" t="n"/>
      <c r="N1017" s="10" t="n"/>
      <c r="O1017" s="10">
        <f>IF(L1017="","",IF(M1017="Won",L1017*G1017,IF(M1017="Void",L1017,IF(M1017="Cash out",N(N1017),IF(M1017="Lost",0,"")))))</f>
        <v/>
      </c>
      <c r="P1017" s="10">
        <f>IF(OR(L1017="",M1017="",M1017="Pending"),"",O1017-L1017)</f>
        <v/>
      </c>
      <c r="Q1017" s="21" t="n"/>
      <c r="R1017" s="11">
        <f>IF(OR(G1017="",Q1017=""),"",G1017/Q1017-1)</f>
        <v/>
      </c>
      <c r="S1017" s="10">
        <f>IF(OR(L1017="",J1017=""),"",L1017*J1017)</f>
        <v/>
      </c>
      <c r="T1017" s="10">
        <f>IF(P1017="","",StartBank+SUM(P$2:P1017))</f>
        <v/>
      </c>
    </row>
    <row r="1018">
      <c r="A1018" s="22" t="n"/>
      <c r="G1018" s="21" t="n"/>
      <c r="H1018" s="11" t="n"/>
      <c r="I1018" s="21">
        <f>IF(OR(H1018="",H1018=0),"",1/H1018)</f>
        <v/>
      </c>
      <c r="J1018" s="11">
        <f>IF(OR(G1018="",H1018=""),"",H1018*G1018-1)</f>
        <v/>
      </c>
      <c r="K1018" s="10">
        <f>IF(OR(G1018="",H1018="",G1018&lt;=1),"",IF(J1018&lt;IF(D1018="Builder",MinEdgeBuilder,IF(D1018="Player",MinEdgePlayer,MinEdgeSingle)),0,ROUND(MIN(IF(D1018="Single",KellySingle,KellyBuilder)*(StartBank+SUM(P$1:P1017))*J1018/(G1018-1),IF(D1018="Builder",CapBuilder,CapSingle)*Unit),2)))</f>
        <v/>
      </c>
      <c r="L1018" s="10" t="n"/>
      <c r="N1018" s="10" t="n"/>
      <c r="O1018" s="10">
        <f>IF(L1018="","",IF(M1018="Won",L1018*G1018,IF(M1018="Void",L1018,IF(M1018="Cash out",N(N1018),IF(M1018="Lost",0,"")))))</f>
        <v/>
      </c>
      <c r="P1018" s="10">
        <f>IF(OR(L1018="",M1018="",M1018="Pending"),"",O1018-L1018)</f>
        <v/>
      </c>
      <c r="Q1018" s="21" t="n"/>
      <c r="R1018" s="11">
        <f>IF(OR(G1018="",Q1018=""),"",G1018/Q1018-1)</f>
        <v/>
      </c>
      <c r="S1018" s="10">
        <f>IF(OR(L1018="",J1018=""),"",L1018*J1018)</f>
        <v/>
      </c>
      <c r="T1018" s="10">
        <f>IF(P1018="","",StartBank+SUM(P$2:P1018))</f>
        <v/>
      </c>
    </row>
    <row r="1019">
      <c r="A1019" s="22" t="n"/>
      <c r="G1019" s="21" t="n"/>
      <c r="H1019" s="11" t="n"/>
      <c r="I1019" s="21">
        <f>IF(OR(H1019="",H1019=0),"",1/H1019)</f>
        <v/>
      </c>
      <c r="J1019" s="11">
        <f>IF(OR(G1019="",H1019=""),"",H1019*G1019-1)</f>
        <v/>
      </c>
      <c r="K1019" s="10">
        <f>IF(OR(G1019="",H1019="",G1019&lt;=1),"",IF(J1019&lt;IF(D1019="Builder",MinEdgeBuilder,IF(D1019="Player",MinEdgePlayer,MinEdgeSingle)),0,ROUND(MIN(IF(D1019="Single",KellySingle,KellyBuilder)*(StartBank+SUM(P$1:P1018))*J1019/(G1019-1),IF(D1019="Builder",CapBuilder,CapSingle)*Unit),2)))</f>
        <v/>
      </c>
      <c r="L1019" s="10" t="n"/>
      <c r="N1019" s="10" t="n"/>
      <c r="O1019" s="10">
        <f>IF(L1019="","",IF(M1019="Won",L1019*G1019,IF(M1019="Void",L1019,IF(M1019="Cash out",N(N1019),IF(M1019="Lost",0,"")))))</f>
        <v/>
      </c>
      <c r="P1019" s="10">
        <f>IF(OR(L1019="",M1019="",M1019="Pending"),"",O1019-L1019)</f>
        <v/>
      </c>
      <c r="Q1019" s="21" t="n"/>
      <c r="R1019" s="11">
        <f>IF(OR(G1019="",Q1019=""),"",G1019/Q1019-1)</f>
        <v/>
      </c>
      <c r="S1019" s="10">
        <f>IF(OR(L1019="",J1019=""),"",L1019*J1019)</f>
        <v/>
      </c>
      <c r="T1019" s="10">
        <f>IF(P1019="","",StartBank+SUM(P$2:P1019))</f>
        <v/>
      </c>
    </row>
    <row r="1020">
      <c r="A1020" s="22" t="n"/>
      <c r="G1020" s="21" t="n"/>
      <c r="H1020" s="11" t="n"/>
      <c r="I1020" s="21">
        <f>IF(OR(H1020="",H1020=0),"",1/H1020)</f>
        <v/>
      </c>
      <c r="J1020" s="11">
        <f>IF(OR(G1020="",H1020=""),"",H1020*G1020-1)</f>
        <v/>
      </c>
      <c r="K1020" s="10">
        <f>IF(OR(G1020="",H1020="",G1020&lt;=1),"",IF(J1020&lt;IF(D1020="Builder",MinEdgeBuilder,IF(D1020="Player",MinEdgePlayer,MinEdgeSingle)),0,ROUND(MIN(IF(D1020="Single",KellySingle,KellyBuilder)*(StartBank+SUM(P$1:P1019))*J1020/(G1020-1),IF(D1020="Builder",CapBuilder,CapSingle)*Unit),2)))</f>
        <v/>
      </c>
      <c r="L1020" s="10" t="n"/>
      <c r="N1020" s="10" t="n"/>
      <c r="O1020" s="10">
        <f>IF(L1020="","",IF(M1020="Won",L1020*G1020,IF(M1020="Void",L1020,IF(M1020="Cash out",N(N1020),IF(M1020="Lost",0,"")))))</f>
        <v/>
      </c>
      <c r="P1020" s="10">
        <f>IF(OR(L1020="",M1020="",M1020="Pending"),"",O1020-L1020)</f>
        <v/>
      </c>
      <c r="Q1020" s="21" t="n"/>
      <c r="R1020" s="11">
        <f>IF(OR(G1020="",Q1020=""),"",G1020/Q1020-1)</f>
        <v/>
      </c>
      <c r="S1020" s="10">
        <f>IF(OR(L1020="",J1020=""),"",L1020*J1020)</f>
        <v/>
      </c>
      <c r="T1020" s="10">
        <f>IF(P1020="","",StartBank+SUM(P$2:P1020))</f>
        <v/>
      </c>
    </row>
    <row r="1021">
      <c r="A1021" s="22" t="n"/>
      <c r="G1021" s="21" t="n"/>
      <c r="H1021" s="11" t="n"/>
      <c r="I1021" s="21">
        <f>IF(OR(H1021="",H1021=0),"",1/H1021)</f>
        <v/>
      </c>
      <c r="J1021" s="11">
        <f>IF(OR(G1021="",H1021=""),"",H1021*G1021-1)</f>
        <v/>
      </c>
      <c r="K1021" s="10">
        <f>IF(OR(G1021="",H1021="",G1021&lt;=1),"",IF(J1021&lt;IF(D1021="Builder",MinEdgeBuilder,IF(D1021="Player",MinEdgePlayer,MinEdgeSingle)),0,ROUND(MIN(IF(D1021="Single",KellySingle,KellyBuilder)*(StartBank+SUM(P$1:P1020))*J1021/(G1021-1),IF(D1021="Builder",CapBuilder,CapSingle)*Unit),2)))</f>
        <v/>
      </c>
      <c r="L1021" s="10" t="n"/>
      <c r="N1021" s="10" t="n"/>
      <c r="O1021" s="10">
        <f>IF(L1021="","",IF(M1021="Won",L1021*G1021,IF(M1021="Void",L1021,IF(M1021="Cash out",N(N1021),IF(M1021="Lost",0,"")))))</f>
        <v/>
      </c>
      <c r="P1021" s="10">
        <f>IF(OR(L1021="",M1021="",M1021="Pending"),"",O1021-L1021)</f>
        <v/>
      </c>
      <c r="Q1021" s="21" t="n"/>
      <c r="R1021" s="11">
        <f>IF(OR(G1021="",Q1021=""),"",G1021/Q1021-1)</f>
        <v/>
      </c>
      <c r="S1021" s="10">
        <f>IF(OR(L1021="",J1021=""),"",L1021*J1021)</f>
        <v/>
      </c>
      <c r="T1021" s="10">
        <f>IF(P1021="","",StartBank+SUM(P$2:P1021))</f>
        <v/>
      </c>
    </row>
    <row r="1022">
      <c r="A1022" s="22" t="n"/>
      <c r="G1022" s="21" t="n"/>
      <c r="H1022" s="11" t="n"/>
      <c r="I1022" s="21">
        <f>IF(OR(H1022="",H1022=0),"",1/H1022)</f>
        <v/>
      </c>
      <c r="J1022" s="11">
        <f>IF(OR(G1022="",H1022=""),"",H1022*G1022-1)</f>
        <v/>
      </c>
      <c r="K1022" s="10">
        <f>IF(OR(G1022="",H1022="",G1022&lt;=1),"",IF(J1022&lt;IF(D1022="Builder",MinEdgeBuilder,IF(D1022="Player",MinEdgePlayer,MinEdgeSingle)),0,ROUND(MIN(IF(D1022="Single",KellySingle,KellyBuilder)*(StartBank+SUM(P$1:P1021))*J1022/(G1022-1),IF(D1022="Builder",CapBuilder,CapSingle)*Unit),2)))</f>
        <v/>
      </c>
      <c r="L1022" s="10" t="n"/>
      <c r="N1022" s="10" t="n"/>
      <c r="O1022" s="10">
        <f>IF(L1022="","",IF(M1022="Won",L1022*G1022,IF(M1022="Void",L1022,IF(M1022="Cash out",N(N1022),IF(M1022="Lost",0,"")))))</f>
        <v/>
      </c>
      <c r="P1022" s="10">
        <f>IF(OR(L1022="",M1022="",M1022="Pending"),"",O1022-L1022)</f>
        <v/>
      </c>
      <c r="Q1022" s="21" t="n"/>
      <c r="R1022" s="11">
        <f>IF(OR(G1022="",Q1022=""),"",G1022/Q1022-1)</f>
        <v/>
      </c>
      <c r="S1022" s="10">
        <f>IF(OR(L1022="",J1022=""),"",L1022*J1022)</f>
        <v/>
      </c>
      <c r="T1022" s="10">
        <f>IF(P1022="","",StartBank+SUM(P$2:P1022))</f>
        <v/>
      </c>
    </row>
    <row r="1023">
      <c r="A1023" s="22" t="n"/>
      <c r="G1023" s="21" t="n"/>
      <c r="H1023" s="11" t="n"/>
      <c r="I1023" s="21">
        <f>IF(OR(H1023="",H1023=0),"",1/H1023)</f>
        <v/>
      </c>
      <c r="J1023" s="11">
        <f>IF(OR(G1023="",H1023=""),"",H1023*G1023-1)</f>
        <v/>
      </c>
      <c r="K1023" s="10">
        <f>IF(OR(G1023="",H1023="",G1023&lt;=1),"",IF(J1023&lt;IF(D1023="Builder",MinEdgeBuilder,IF(D1023="Player",MinEdgePlayer,MinEdgeSingle)),0,ROUND(MIN(IF(D1023="Single",KellySingle,KellyBuilder)*(StartBank+SUM(P$1:P1022))*J1023/(G1023-1),IF(D1023="Builder",CapBuilder,CapSingle)*Unit),2)))</f>
        <v/>
      </c>
      <c r="L1023" s="10" t="n"/>
      <c r="N1023" s="10" t="n"/>
      <c r="O1023" s="10">
        <f>IF(L1023="","",IF(M1023="Won",L1023*G1023,IF(M1023="Void",L1023,IF(M1023="Cash out",N(N1023),IF(M1023="Lost",0,"")))))</f>
        <v/>
      </c>
      <c r="P1023" s="10">
        <f>IF(OR(L1023="",M1023="",M1023="Pending"),"",O1023-L1023)</f>
        <v/>
      </c>
      <c r="Q1023" s="21" t="n"/>
      <c r="R1023" s="11">
        <f>IF(OR(G1023="",Q1023=""),"",G1023/Q1023-1)</f>
        <v/>
      </c>
      <c r="S1023" s="10">
        <f>IF(OR(L1023="",J1023=""),"",L1023*J1023)</f>
        <v/>
      </c>
      <c r="T1023" s="10">
        <f>IF(P1023="","",StartBank+SUM(P$2:P1023))</f>
        <v/>
      </c>
    </row>
    <row r="1024">
      <c r="A1024" s="22" t="n"/>
      <c r="G1024" s="21" t="n"/>
      <c r="H1024" s="11" t="n"/>
      <c r="I1024" s="21">
        <f>IF(OR(H1024="",H1024=0),"",1/H1024)</f>
        <v/>
      </c>
      <c r="J1024" s="11">
        <f>IF(OR(G1024="",H1024=""),"",H1024*G1024-1)</f>
        <v/>
      </c>
      <c r="K1024" s="10">
        <f>IF(OR(G1024="",H1024="",G1024&lt;=1),"",IF(J1024&lt;IF(D1024="Builder",MinEdgeBuilder,IF(D1024="Player",MinEdgePlayer,MinEdgeSingle)),0,ROUND(MIN(IF(D1024="Single",KellySingle,KellyBuilder)*(StartBank+SUM(P$1:P1023))*J1024/(G1024-1),IF(D1024="Builder",CapBuilder,CapSingle)*Unit),2)))</f>
        <v/>
      </c>
      <c r="L1024" s="10" t="n"/>
      <c r="N1024" s="10" t="n"/>
      <c r="O1024" s="10">
        <f>IF(L1024="","",IF(M1024="Won",L1024*G1024,IF(M1024="Void",L1024,IF(M1024="Cash out",N(N1024),IF(M1024="Lost",0,"")))))</f>
        <v/>
      </c>
      <c r="P1024" s="10">
        <f>IF(OR(L1024="",M1024="",M1024="Pending"),"",O1024-L1024)</f>
        <v/>
      </c>
      <c r="Q1024" s="21" t="n"/>
      <c r="R1024" s="11">
        <f>IF(OR(G1024="",Q1024=""),"",G1024/Q1024-1)</f>
        <v/>
      </c>
      <c r="S1024" s="10">
        <f>IF(OR(L1024="",J1024=""),"",L1024*J1024)</f>
        <v/>
      </c>
      <c r="T1024" s="10">
        <f>IF(P1024="","",StartBank+SUM(P$2:P1024))</f>
        <v/>
      </c>
    </row>
    <row r="1025">
      <c r="A1025" s="22" t="n"/>
      <c r="G1025" s="21" t="n"/>
      <c r="H1025" s="11" t="n"/>
      <c r="I1025" s="21">
        <f>IF(OR(H1025="",H1025=0),"",1/H1025)</f>
        <v/>
      </c>
      <c r="J1025" s="11">
        <f>IF(OR(G1025="",H1025=""),"",H1025*G1025-1)</f>
        <v/>
      </c>
      <c r="K1025" s="10">
        <f>IF(OR(G1025="",H1025="",G1025&lt;=1),"",IF(J1025&lt;IF(D1025="Builder",MinEdgeBuilder,IF(D1025="Player",MinEdgePlayer,MinEdgeSingle)),0,ROUND(MIN(IF(D1025="Single",KellySingle,KellyBuilder)*(StartBank+SUM(P$1:P1024))*J1025/(G1025-1),IF(D1025="Builder",CapBuilder,CapSingle)*Unit),2)))</f>
        <v/>
      </c>
      <c r="L1025" s="10" t="n"/>
      <c r="N1025" s="10" t="n"/>
      <c r="O1025" s="10">
        <f>IF(L1025="","",IF(M1025="Won",L1025*G1025,IF(M1025="Void",L1025,IF(M1025="Cash out",N(N1025),IF(M1025="Lost",0,"")))))</f>
        <v/>
      </c>
      <c r="P1025" s="10">
        <f>IF(OR(L1025="",M1025="",M1025="Pending"),"",O1025-L1025)</f>
        <v/>
      </c>
      <c r="Q1025" s="21" t="n"/>
      <c r="R1025" s="11">
        <f>IF(OR(G1025="",Q1025=""),"",G1025/Q1025-1)</f>
        <v/>
      </c>
      <c r="S1025" s="10">
        <f>IF(OR(L1025="",J1025=""),"",L1025*J1025)</f>
        <v/>
      </c>
      <c r="T1025" s="10">
        <f>IF(P1025="","",StartBank+SUM(P$2:P1025))</f>
        <v/>
      </c>
    </row>
    <row r="1026">
      <c r="A1026" s="22" t="n"/>
      <c r="G1026" s="21" t="n"/>
      <c r="H1026" s="11" t="n"/>
      <c r="I1026" s="21">
        <f>IF(OR(H1026="",H1026=0),"",1/H1026)</f>
        <v/>
      </c>
      <c r="J1026" s="11">
        <f>IF(OR(G1026="",H1026=""),"",H1026*G1026-1)</f>
        <v/>
      </c>
      <c r="K1026" s="10">
        <f>IF(OR(G1026="",H1026="",G1026&lt;=1),"",IF(J1026&lt;IF(D1026="Builder",MinEdgeBuilder,IF(D1026="Player",MinEdgePlayer,MinEdgeSingle)),0,ROUND(MIN(IF(D1026="Single",KellySingle,KellyBuilder)*(StartBank+SUM(P$1:P1025))*J1026/(G1026-1),IF(D1026="Builder",CapBuilder,CapSingle)*Unit),2)))</f>
        <v/>
      </c>
      <c r="L1026" s="10" t="n"/>
      <c r="N1026" s="10" t="n"/>
      <c r="O1026" s="10">
        <f>IF(L1026="","",IF(M1026="Won",L1026*G1026,IF(M1026="Void",L1026,IF(M1026="Cash out",N(N1026),IF(M1026="Lost",0,"")))))</f>
        <v/>
      </c>
      <c r="P1026" s="10">
        <f>IF(OR(L1026="",M1026="",M1026="Pending"),"",O1026-L1026)</f>
        <v/>
      </c>
      <c r="Q1026" s="21" t="n"/>
      <c r="R1026" s="11">
        <f>IF(OR(G1026="",Q1026=""),"",G1026/Q1026-1)</f>
        <v/>
      </c>
      <c r="S1026" s="10">
        <f>IF(OR(L1026="",J1026=""),"",L1026*J1026)</f>
        <v/>
      </c>
      <c r="T1026" s="10">
        <f>IF(P1026="","",StartBank+SUM(P$2:P1026))</f>
        <v/>
      </c>
    </row>
    <row r="1027">
      <c r="A1027" s="22" t="n"/>
      <c r="G1027" s="21" t="n"/>
      <c r="H1027" s="11" t="n"/>
      <c r="I1027" s="21">
        <f>IF(OR(H1027="",H1027=0),"",1/H1027)</f>
        <v/>
      </c>
      <c r="J1027" s="11">
        <f>IF(OR(G1027="",H1027=""),"",H1027*G1027-1)</f>
        <v/>
      </c>
      <c r="K1027" s="10">
        <f>IF(OR(G1027="",H1027="",G1027&lt;=1),"",IF(J1027&lt;IF(D1027="Builder",MinEdgeBuilder,IF(D1027="Player",MinEdgePlayer,MinEdgeSingle)),0,ROUND(MIN(IF(D1027="Single",KellySingle,KellyBuilder)*(StartBank+SUM(P$1:P1026))*J1027/(G1027-1),IF(D1027="Builder",CapBuilder,CapSingle)*Unit),2)))</f>
        <v/>
      </c>
      <c r="L1027" s="10" t="n"/>
      <c r="N1027" s="10" t="n"/>
      <c r="O1027" s="10">
        <f>IF(L1027="","",IF(M1027="Won",L1027*G1027,IF(M1027="Void",L1027,IF(M1027="Cash out",N(N1027),IF(M1027="Lost",0,"")))))</f>
        <v/>
      </c>
      <c r="P1027" s="10">
        <f>IF(OR(L1027="",M1027="",M1027="Pending"),"",O1027-L1027)</f>
        <v/>
      </c>
      <c r="Q1027" s="21" t="n"/>
      <c r="R1027" s="11">
        <f>IF(OR(G1027="",Q1027=""),"",G1027/Q1027-1)</f>
        <v/>
      </c>
      <c r="S1027" s="10">
        <f>IF(OR(L1027="",J1027=""),"",L1027*J1027)</f>
        <v/>
      </c>
      <c r="T1027" s="10">
        <f>IF(P1027="","",StartBank+SUM(P$2:P1027))</f>
        <v/>
      </c>
    </row>
    <row r="1028">
      <c r="A1028" s="22" t="n"/>
      <c r="G1028" s="21" t="n"/>
      <c r="H1028" s="11" t="n"/>
      <c r="I1028" s="21">
        <f>IF(OR(H1028="",H1028=0),"",1/H1028)</f>
        <v/>
      </c>
      <c r="J1028" s="11">
        <f>IF(OR(G1028="",H1028=""),"",H1028*G1028-1)</f>
        <v/>
      </c>
      <c r="K1028" s="10">
        <f>IF(OR(G1028="",H1028="",G1028&lt;=1),"",IF(J1028&lt;IF(D1028="Builder",MinEdgeBuilder,IF(D1028="Player",MinEdgePlayer,MinEdgeSingle)),0,ROUND(MIN(IF(D1028="Single",KellySingle,KellyBuilder)*(StartBank+SUM(P$1:P1027))*J1028/(G1028-1),IF(D1028="Builder",CapBuilder,CapSingle)*Unit),2)))</f>
        <v/>
      </c>
      <c r="L1028" s="10" t="n"/>
      <c r="N1028" s="10" t="n"/>
      <c r="O1028" s="10">
        <f>IF(L1028="","",IF(M1028="Won",L1028*G1028,IF(M1028="Void",L1028,IF(M1028="Cash out",N(N1028),IF(M1028="Lost",0,"")))))</f>
        <v/>
      </c>
      <c r="P1028" s="10">
        <f>IF(OR(L1028="",M1028="",M1028="Pending"),"",O1028-L1028)</f>
        <v/>
      </c>
      <c r="Q1028" s="21" t="n"/>
      <c r="R1028" s="11">
        <f>IF(OR(G1028="",Q1028=""),"",G1028/Q1028-1)</f>
        <v/>
      </c>
      <c r="S1028" s="10">
        <f>IF(OR(L1028="",J1028=""),"",L1028*J1028)</f>
        <v/>
      </c>
      <c r="T1028" s="10">
        <f>IF(P1028="","",StartBank+SUM(P$2:P1028))</f>
        <v/>
      </c>
    </row>
    <row r="1029">
      <c r="A1029" s="22" t="n"/>
      <c r="G1029" s="21" t="n"/>
      <c r="H1029" s="11" t="n"/>
      <c r="I1029" s="21">
        <f>IF(OR(H1029="",H1029=0),"",1/H1029)</f>
        <v/>
      </c>
      <c r="J1029" s="11">
        <f>IF(OR(G1029="",H1029=""),"",H1029*G1029-1)</f>
        <v/>
      </c>
      <c r="K1029" s="10">
        <f>IF(OR(G1029="",H1029="",G1029&lt;=1),"",IF(J1029&lt;IF(D1029="Builder",MinEdgeBuilder,IF(D1029="Player",MinEdgePlayer,MinEdgeSingle)),0,ROUND(MIN(IF(D1029="Single",KellySingle,KellyBuilder)*(StartBank+SUM(P$1:P1028))*J1029/(G1029-1),IF(D1029="Builder",CapBuilder,CapSingle)*Unit),2)))</f>
        <v/>
      </c>
      <c r="L1029" s="10" t="n"/>
      <c r="N1029" s="10" t="n"/>
      <c r="O1029" s="10">
        <f>IF(L1029="","",IF(M1029="Won",L1029*G1029,IF(M1029="Void",L1029,IF(M1029="Cash out",N(N1029),IF(M1029="Lost",0,"")))))</f>
        <v/>
      </c>
      <c r="P1029" s="10">
        <f>IF(OR(L1029="",M1029="",M1029="Pending"),"",O1029-L1029)</f>
        <v/>
      </c>
      <c r="Q1029" s="21" t="n"/>
      <c r="R1029" s="11">
        <f>IF(OR(G1029="",Q1029=""),"",G1029/Q1029-1)</f>
        <v/>
      </c>
      <c r="S1029" s="10">
        <f>IF(OR(L1029="",J1029=""),"",L1029*J1029)</f>
        <v/>
      </c>
      <c r="T1029" s="10">
        <f>IF(P1029="","",StartBank+SUM(P$2:P1029))</f>
        <v/>
      </c>
    </row>
    <row r="1030">
      <c r="A1030" s="22" t="n"/>
      <c r="G1030" s="21" t="n"/>
      <c r="H1030" s="11" t="n"/>
      <c r="I1030" s="21">
        <f>IF(OR(H1030="",H1030=0),"",1/H1030)</f>
        <v/>
      </c>
      <c r="J1030" s="11">
        <f>IF(OR(G1030="",H1030=""),"",H1030*G1030-1)</f>
        <v/>
      </c>
      <c r="K1030" s="10">
        <f>IF(OR(G1030="",H1030="",G1030&lt;=1),"",IF(J1030&lt;IF(D1030="Builder",MinEdgeBuilder,IF(D1030="Player",MinEdgePlayer,MinEdgeSingle)),0,ROUND(MIN(IF(D1030="Single",KellySingle,KellyBuilder)*(StartBank+SUM(P$1:P1029))*J1030/(G1030-1),IF(D1030="Builder",CapBuilder,CapSingle)*Unit),2)))</f>
        <v/>
      </c>
      <c r="L1030" s="10" t="n"/>
      <c r="N1030" s="10" t="n"/>
      <c r="O1030" s="10">
        <f>IF(L1030="","",IF(M1030="Won",L1030*G1030,IF(M1030="Void",L1030,IF(M1030="Cash out",N(N1030),IF(M1030="Lost",0,"")))))</f>
        <v/>
      </c>
      <c r="P1030" s="10">
        <f>IF(OR(L1030="",M1030="",M1030="Pending"),"",O1030-L1030)</f>
        <v/>
      </c>
      <c r="Q1030" s="21" t="n"/>
      <c r="R1030" s="11">
        <f>IF(OR(G1030="",Q1030=""),"",G1030/Q1030-1)</f>
        <v/>
      </c>
      <c r="S1030" s="10">
        <f>IF(OR(L1030="",J1030=""),"",L1030*J1030)</f>
        <v/>
      </c>
      <c r="T1030" s="10">
        <f>IF(P1030="","",StartBank+SUM(P$2:P1030))</f>
        <v/>
      </c>
    </row>
    <row r="1031">
      <c r="A1031" s="22" t="n"/>
      <c r="G1031" s="21" t="n"/>
      <c r="H1031" s="11" t="n"/>
      <c r="I1031" s="21">
        <f>IF(OR(H1031="",H1031=0),"",1/H1031)</f>
        <v/>
      </c>
      <c r="J1031" s="11">
        <f>IF(OR(G1031="",H1031=""),"",H1031*G1031-1)</f>
        <v/>
      </c>
      <c r="K1031" s="10">
        <f>IF(OR(G1031="",H1031="",G1031&lt;=1),"",IF(J1031&lt;IF(D1031="Builder",MinEdgeBuilder,IF(D1031="Player",MinEdgePlayer,MinEdgeSingle)),0,ROUND(MIN(IF(D1031="Single",KellySingle,KellyBuilder)*(StartBank+SUM(P$1:P1030))*J1031/(G1031-1),IF(D1031="Builder",CapBuilder,CapSingle)*Unit),2)))</f>
        <v/>
      </c>
      <c r="L1031" s="10" t="n"/>
      <c r="N1031" s="10" t="n"/>
      <c r="O1031" s="10">
        <f>IF(L1031="","",IF(M1031="Won",L1031*G1031,IF(M1031="Void",L1031,IF(M1031="Cash out",N(N1031),IF(M1031="Lost",0,"")))))</f>
        <v/>
      </c>
      <c r="P1031" s="10">
        <f>IF(OR(L1031="",M1031="",M1031="Pending"),"",O1031-L1031)</f>
        <v/>
      </c>
      <c r="Q1031" s="21" t="n"/>
      <c r="R1031" s="11">
        <f>IF(OR(G1031="",Q1031=""),"",G1031/Q1031-1)</f>
        <v/>
      </c>
      <c r="S1031" s="10">
        <f>IF(OR(L1031="",J1031=""),"",L1031*J1031)</f>
        <v/>
      </c>
      <c r="T1031" s="10">
        <f>IF(P1031="","",StartBank+SUM(P$2:P1031))</f>
        <v/>
      </c>
    </row>
    <row r="1032">
      <c r="A1032" s="22" t="n"/>
      <c r="G1032" s="21" t="n"/>
      <c r="H1032" s="11" t="n"/>
      <c r="I1032" s="21">
        <f>IF(OR(H1032="",H1032=0),"",1/H1032)</f>
        <v/>
      </c>
      <c r="J1032" s="11">
        <f>IF(OR(G1032="",H1032=""),"",H1032*G1032-1)</f>
        <v/>
      </c>
      <c r="K1032" s="10">
        <f>IF(OR(G1032="",H1032="",G1032&lt;=1),"",IF(J1032&lt;IF(D1032="Builder",MinEdgeBuilder,IF(D1032="Player",MinEdgePlayer,MinEdgeSingle)),0,ROUND(MIN(IF(D1032="Single",KellySingle,KellyBuilder)*(StartBank+SUM(P$1:P1031))*J1032/(G1032-1),IF(D1032="Builder",CapBuilder,CapSingle)*Unit),2)))</f>
        <v/>
      </c>
      <c r="L1032" s="10" t="n"/>
      <c r="N1032" s="10" t="n"/>
      <c r="O1032" s="10">
        <f>IF(L1032="","",IF(M1032="Won",L1032*G1032,IF(M1032="Void",L1032,IF(M1032="Cash out",N(N1032),IF(M1032="Lost",0,"")))))</f>
        <v/>
      </c>
      <c r="P1032" s="10">
        <f>IF(OR(L1032="",M1032="",M1032="Pending"),"",O1032-L1032)</f>
        <v/>
      </c>
      <c r="Q1032" s="21" t="n"/>
      <c r="R1032" s="11">
        <f>IF(OR(G1032="",Q1032=""),"",G1032/Q1032-1)</f>
        <v/>
      </c>
      <c r="S1032" s="10">
        <f>IF(OR(L1032="",J1032=""),"",L1032*J1032)</f>
        <v/>
      </c>
      <c r="T1032" s="10">
        <f>IF(P1032="","",StartBank+SUM(P$2:P1032))</f>
        <v/>
      </c>
    </row>
    <row r="1033">
      <c r="A1033" s="22" t="n"/>
      <c r="G1033" s="21" t="n"/>
      <c r="H1033" s="11" t="n"/>
      <c r="I1033" s="21">
        <f>IF(OR(H1033="",H1033=0),"",1/H1033)</f>
        <v/>
      </c>
      <c r="J1033" s="11">
        <f>IF(OR(G1033="",H1033=""),"",H1033*G1033-1)</f>
        <v/>
      </c>
      <c r="K1033" s="10">
        <f>IF(OR(G1033="",H1033="",G1033&lt;=1),"",IF(J1033&lt;IF(D1033="Builder",MinEdgeBuilder,IF(D1033="Player",MinEdgePlayer,MinEdgeSingle)),0,ROUND(MIN(IF(D1033="Single",KellySingle,KellyBuilder)*(StartBank+SUM(P$1:P1032))*J1033/(G1033-1),IF(D1033="Builder",CapBuilder,CapSingle)*Unit),2)))</f>
        <v/>
      </c>
      <c r="L1033" s="10" t="n"/>
      <c r="N1033" s="10" t="n"/>
      <c r="O1033" s="10">
        <f>IF(L1033="","",IF(M1033="Won",L1033*G1033,IF(M1033="Void",L1033,IF(M1033="Cash out",N(N1033),IF(M1033="Lost",0,"")))))</f>
        <v/>
      </c>
      <c r="P1033" s="10">
        <f>IF(OR(L1033="",M1033="",M1033="Pending"),"",O1033-L1033)</f>
        <v/>
      </c>
      <c r="Q1033" s="21" t="n"/>
      <c r="R1033" s="11">
        <f>IF(OR(G1033="",Q1033=""),"",G1033/Q1033-1)</f>
        <v/>
      </c>
      <c r="S1033" s="10">
        <f>IF(OR(L1033="",J1033=""),"",L1033*J1033)</f>
        <v/>
      </c>
      <c r="T1033" s="10">
        <f>IF(P1033="","",StartBank+SUM(P$2:P1033))</f>
        <v/>
      </c>
    </row>
    <row r="1034">
      <c r="A1034" s="22" t="n"/>
      <c r="G1034" s="21" t="n"/>
      <c r="H1034" s="11" t="n"/>
      <c r="I1034" s="21">
        <f>IF(OR(H1034="",H1034=0),"",1/H1034)</f>
        <v/>
      </c>
      <c r="J1034" s="11">
        <f>IF(OR(G1034="",H1034=""),"",H1034*G1034-1)</f>
        <v/>
      </c>
      <c r="K1034" s="10">
        <f>IF(OR(G1034="",H1034="",G1034&lt;=1),"",IF(J1034&lt;IF(D1034="Builder",MinEdgeBuilder,IF(D1034="Player",MinEdgePlayer,MinEdgeSingle)),0,ROUND(MIN(IF(D1034="Single",KellySingle,KellyBuilder)*(StartBank+SUM(P$1:P1033))*J1034/(G1034-1),IF(D1034="Builder",CapBuilder,CapSingle)*Unit),2)))</f>
        <v/>
      </c>
      <c r="L1034" s="10" t="n"/>
      <c r="N1034" s="10" t="n"/>
      <c r="O1034" s="10">
        <f>IF(L1034="","",IF(M1034="Won",L1034*G1034,IF(M1034="Void",L1034,IF(M1034="Cash out",N(N1034),IF(M1034="Lost",0,"")))))</f>
        <v/>
      </c>
      <c r="P1034" s="10">
        <f>IF(OR(L1034="",M1034="",M1034="Pending"),"",O1034-L1034)</f>
        <v/>
      </c>
      <c r="Q1034" s="21" t="n"/>
      <c r="R1034" s="11">
        <f>IF(OR(G1034="",Q1034=""),"",G1034/Q1034-1)</f>
        <v/>
      </c>
      <c r="S1034" s="10">
        <f>IF(OR(L1034="",J1034=""),"",L1034*J1034)</f>
        <v/>
      </c>
      <c r="T1034" s="10">
        <f>IF(P1034="","",StartBank+SUM(P$2:P1034))</f>
        <v/>
      </c>
    </row>
    <row r="1035">
      <c r="A1035" s="22" t="n"/>
      <c r="G1035" s="21" t="n"/>
      <c r="H1035" s="11" t="n"/>
      <c r="I1035" s="21">
        <f>IF(OR(H1035="",H1035=0),"",1/H1035)</f>
        <v/>
      </c>
      <c r="J1035" s="11">
        <f>IF(OR(G1035="",H1035=""),"",H1035*G1035-1)</f>
        <v/>
      </c>
      <c r="K1035" s="10">
        <f>IF(OR(G1035="",H1035="",G1035&lt;=1),"",IF(J1035&lt;IF(D1035="Builder",MinEdgeBuilder,IF(D1035="Player",MinEdgePlayer,MinEdgeSingle)),0,ROUND(MIN(IF(D1035="Single",KellySingle,KellyBuilder)*(StartBank+SUM(P$1:P1034))*J1035/(G1035-1),IF(D1035="Builder",CapBuilder,CapSingle)*Unit),2)))</f>
        <v/>
      </c>
      <c r="L1035" s="10" t="n"/>
      <c r="N1035" s="10" t="n"/>
      <c r="O1035" s="10">
        <f>IF(L1035="","",IF(M1035="Won",L1035*G1035,IF(M1035="Void",L1035,IF(M1035="Cash out",N(N1035),IF(M1035="Lost",0,"")))))</f>
        <v/>
      </c>
      <c r="P1035" s="10">
        <f>IF(OR(L1035="",M1035="",M1035="Pending"),"",O1035-L1035)</f>
        <v/>
      </c>
      <c r="Q1035" s="21" t="n"/>
      <c r="R1035" s="11">
        <f>IF(OR(G1035="",Q1035=""),"",G1035/Q1035-1)</f>
        <v/>
      </c>
      <c r="S1035" s="10">
        <f>IF(OR(L1035="",J1035=""),"",L1035*J1035)</f>
        <v/>
      </c>
      <c r="T1035" s="10">
        <f>IF(P1035="","",StartBank+SUM(P$2:P1035))</f>
        <v/>
      </c>
    </row>
    <row r="1036">
      <c r="A1036" s="22" t="n"/>
      <c r="G1036" s="21" t="n"/>
      <c r="H1036" s="11" t="n"/>
      <c r="I1036" s="21">
        <f>IF(OR(H1036="",H1036=0),"",1/H1036)</f>
        <v/>
      </c>
      <c r="J1036" s="11">
        <f>IF(OR(G1036="",H1036=""),"",H1036*G1036-1)</f>
        <v/>
      </c>
      <c r="K1036" s="10">
        <f>IF(OR(G1036="",H1036="",G1036&lt;=1),"",IF(J1036&lt;IF(D1036="Builder",MinEdgeBuilder,IF(D1036="Player",MinEdgePlayer,MinEdgeSingle)),0,ROUND(MIN(IF(D1036="Single",KellySingle,KellyBuilder)*(StartBank+SUM(P$1:P1035))*J1036/(G1036-1),IF(D1036="Builder",CapBuilder,CapSingle)*Unit),2)))</f>
        <v/>
      </c>
      <c r="L1036" s="10" t="n"/>
      <c r="N1036" s="10" t="n"/>
      <c r="O1036" s="10">
        <f>IF(L1036="","",IF(M1036="Won",L1036*G1036,IF(M1036="Void",L1036,IF(M1036="Cash out",N(N1036),IF(M1036="Lost",0,"")))))</f>
        <v/>
      </c>
      <c r="P1036" s="10">
        <f>IF(OR(L1036="",M1036="",M1036="Pending"),"",O1036-L1036)</f>
        <v/>
      </c>
      <c r="Q1036" s="21" t="n"/>
      <c r="R1036" s="11">
        <f>IF(OR(G1036="",Q1036=""),"",G1036/Q1036-1)</f>
        <v/>
      </c>
      <c r="S1036" s="10">
        <f>IF(OR(L1036="",J1036=""),"",L1036*J1036)</f>
        <v/>
      </c>
      <c r="T1036" s="10">
        <f>IF(P1036="","",StartBank+SUM(P$2:P1036))</f>
        <v/>
      </c>
    </row>
    <row r="1037">
      <c r="A1037" s="22" t="n"/>
      <c r="G1037" s="21" t="n"/>
      <c r="H1037" s="11" t="n"/>
      <c r="I1037" s="21">
        <f>IF(OR(H1037="",H1037=0),"",1/H1037)</f>
        <v/>
      </c>
      <c r="J1037" s="11">
        <f>IF(OR(G1037="",H1037=""),"",H1037*G1037-1)</f>
        <v/>
      </c>
      <c r="K1037" s="10">
        <f>IF(OR(G1037="",H1037="",G1037&lt;=1),"",IF(J1037&lt;IF(D1037="Builder",MinEdgeBuilder,IF(D1037="Player",MinEdgePlayer,MinEdgeSingle)),0,ROUND(MIN(IF(D1037="Single",KellySingle,KellyBuilder)*(StartBank+SUM(P$1:P1036))*J1037/(G1037-1),IF(D1037="Builder",CapBuilder,CapSingle)*Unit),2)))</f>
        <v/>
      </c>
      <c r="L1037" s="10" t="n"/>
      <c r="N1037" s="10" t="n"/>
      <c r="O1037" s="10">
        <f>IF(L1037="","",IF(M1037="Won",L1037*G1037,IF(M1037="Void",L1037,IF(M1037="Cash out",N(N1037),IF(M1037="Lost",0,"")))))</f>
        <v/>
      </c>
      <c r="P1037" s="10">
        <f>IF(OR(L1037="",M1037="",M1037="Pending"),"",O1037-L1037)</f>
        <v/>
      </c>
      <c r="Q1037" s="21" t="n"/>
      <c r="R1037" s="11">
        <f>IF(OR(G1037="",Q1037=""),"",G1037/Q1037-1)</f>
        <v/>
      </c>
      <c r="S1037" s="10">
        <f>IF(OR(L1037="",J1037=""),"",L1037*J1037)</f>
        <v/>
      </c>
      <c r="T1037" s="10">
        <f>IF(P1037="","",StartBank+SUM(P$2:P1037))</f>
        <v/>
      </c>
    </row>
    <row r="1038">
      <c r="A1038" s="22" t="n"/>
      <c r="G1038" s="21" t="n"/>
      <c r="H1038" s="11" t="n"/>
      <c r="I1038" s="21">
        <f>IF(OR(H1038="",H1038=0),"",1/H1038)</f>
        <v/>
      </c>
      <c r="J1038" s="11">
        <f>IF(OR(G1038="",H1038=""),"",H1038*G1038-1)</f>
        <v/>
      </c>
      <c r="K1038" s="10">
        <f>IF(OR(G1038="",H1038="",G1038&lt;=1),"",IF(J1038&lt;IF(D1038="Builder",MinEdgeBuilder,IF(D1038="Player",MinEdgePlayer,MinEdgeSingle)),0,ROUND(MIN(IF(D1038="Single",KellySingle,KellyBuilder)*(StartBank+SUM(P$1:P1037))*J1038/(G1038-1),IF(D1038="Builder",CapBuilder,CapSingle)*Unit),2)))</f>
        <v/>
      </c>
      <c r="L1038" s="10" t="n"/>
      <c r="N1038" s="10" t="n"/>
      <c r="O1038" s="10">
        <f>IF(L1038="","",IF(M1038="Won",L1038*G1038,IF(M1038="Void",L1038,IF(M1038="Cash out",N(N1038),IF(M1038="Lost",0,"")))))</f>
        <v/>
      </c>
      <c r="P1038" s="10">
        <f>IF(OR(L1038="",M1038="",M1038="Pending"),"",O1038-L1038)</f>
        <v/>
      </c>
      <c r="Q1038" s="21" t="n"/>
      <c r="R1038" s="11">
        <f>IF(OR(G1038="",Q1038=""),"",G1038/Q1038-1)</f>
        <v/>
      </c>
      <c r="S1038" s="10">
        <f>IF(OR(L1038="",J1038=""),"",L1038*J1038)</f>
        <v/>
      </c>
      <c r="T1038" s="10">
        <f>IF(P1038="","",StartBank+SUM(P$2:P1038))</f>
        <v/>
      </c>
    </row>
    <row r="1039">
      <c r="A1039" s="22" t="n"/>
      <c r="G1039" s="21" t="n"/>
      <c r="H1039" s="11" t="n"/>
      <c r="I1039" s="21">
        <f>IF(OR(H1039="",H1039=0),"",1/H1039)</f>
        <v/>
      </c>
      <c r="J1039" s="11">
        <f>IF(OR(G1039="",H1039=""),"",H1039*G1039-1)</f>
        <v/>
      </c>
      <c r="K1039" s="10">
        <f>IF(OR(G1039="",H1039="",G1039&lt;=1),"",IF(J1039&lt;IF(D1039="Builder",MinEdgeBuilder,IF(D1039="Player",MinEdgePlayer,MinEdgeSingle)),0,ROUND(MIN(IF(D1039="Single",KellySingle,KellyBuilder)*(StartBank+SUM(P$1:P1038))*J1039/(G1039-1),IF(D1039="Builder",CapBuilder,CapSingle)*Unit),2)))</f>
        <v/>
      </c>
      <c r="L1039" s="10" t="n"/>
      <c r="N1039" s="10" t="n"/>
      <c r="O1039" s="10">
        <f>IF(L1039="","",IF(M1039="Won",L1039*G1039,IF(M1039="Void",L1039,IF(M1039="Cash out",N(N1039),IF(M1039="Lost",0,"")))))</f>
        <v/>
      </c>
      <c r="P1039" s="10">
        <f>IF(OR(L1039="",M1039="",M1039="Pending"),"",O1039-L1039)</f>
        <v/>
      </c>
      <c r="Q1039" s="21" t="n"/>
      <c r="R1039" s="11">
        <f>IF(OR(G1039="",Q1039=""),"",G1039/Q1039-1)</f>
        <v/>
      </c>
      <c r="S1039" s="10">
        <f>IF(OR(L1039="",J1039=""),"",L1039*J1039)</f>
        <v/>
      </c>
      <c r="T1039" s="10">
        <f>IF(P1039="","",StartBank+SUM(P$2:P1039))</f>
        <v/>
      </c>
    </row>
    <row r="1040">
      <c r="A1040" s="22" t="n"/>
      <c r="G1040" s="21" t="n"/>
      <c r="H1040" s="11" t="n"/>
      <c r="I1040" s="21">
        <f>IF(OR(H1040="",H1040=0),"",1/H1040)</f>
        <v/>
      </c>
      <c r="J1040" s="11">
        <f>IF(OR(G1040="",H1040=""),"",H1040*G1040-1)</f>
        <v/>
      </c>
      <c r="K1040" s="10">
        <f>IF(OR(G1040="",H1040="",G1040&lt;=1),"",IF(J1040&lt;IF(D1040="Builder",MinEdgeBuilder,IF(D1040="Player",MinEdgePlayer,MinEdgeSingle)),0,ROUND(MIN(IF(D1040="Single",KellySingle,KellyBuilder)*(StartBank+SUM(P$1:P1039))*J1040/(G1040-1),IF(D1040="Builder",CapBuilder,CapSingle)*Unit),2)))</f>
        <v/>
      </c>
      <c r="L1040" s="10" t="n"/>
      <c r="N1040" s="10" t="n"/>
      <c r="O1040" s="10">
        <f>IF(L1040="","",IF(M1040="Won",L1040*G1040,IF(M1040="Void",L1040,IF(M1040="Cash out",N(N1040),IF(M1040="Lost",0,"")))))</f>
        <v/>
      </c>
      <c r="P1040" s="10">
        <f>IF(OR(L1040="",M1040="",M1040="Pending"),"",O1040-L1040)</f>
        <v/>
      </c>
      <c r="Q1040" s="21" t="n"/>
      <c r="R1040" s="11">
        <f>IF(OR(G1040="",Q1040=""),"",G1040/Q1040-1)</f>
        <v/>
      </c>
      <c r="S1040" s="10">
        <f>IF(OR(L1040="",J1040=""),"",L1040*J1040)</f>
        <v/>
      </c>
      <c r="T1040" s="10">
        <f>IF(P1040="","",StartBank+SUM(P$2:P1040))</f>
        <v/>
      </c>
    </row>
    <row r="1041">
      <c r="A1041" s="22" t="n"/>
      <c r="G1041" s="21" t="n"/>
      <c r="H1041" s="11" t="n"/>
      <c r="I1041" s="21">
        <f>IF(OR(H1041="",H1041=0),"",1/H1041)</f>
        <v/>
      </c>
      <c r="J1041" s="11">
        <f>IF(OR(G1041="",H1041=""),"",H1041*G1041-1)</f>
        <v/>
      </c>
      <c r="K1041" s="10">
        <f>IF(OR(G1041="",H1041="",G1041&lt;=1),"",IF(J1041&lt;IF(D1041="Builder",MinEdgeBuilder,IF(D1041="Player",MinEdgePlayer,MinEdgeSingle)),0,ROUND(MIN(IF(D1041="Single",KellySingle,KellyBuilder)*(StartBank+SUM(P$1:P1040))*J1041/(G1041-1),IF(D1041="Builder",CapBuilder,CapSingle)*Unit),2)))</f>
        <v/>
      </c>
      <c r="L1041" s="10" t="n"/>
      <c r="N1041" s="10" t="n"/>
      <c r="O1041" s="10">
        <f>IF(L1041="","",IF(M1041="Won",L1041*G1041,IF(M1041="Void",L1041,IF(M1041="Cash out",N(N1041),IF(M1041="Lost",0,"")))))</f>
        <v/>
      </c>
      <c r="P1041" s="10">
        <f>IF(OR(L1041="",M1041="",M1041="Pending"),"",O1041-L1041)</f>
        <v/>
      </c>
      <c r="Q1041" s="21" t="n"/>
      <c r="R1041" s="11">
        <f>IF(OR(G1041="",Q1041=""),"",G1041/Q1041-1)</f>
        <v/>
      </c>
      <c r="S1041" s="10">
        <f>IF(OR(L1041="",J1041=""),"",L1041*J1041)</f>
        <v/>
      </c>
      <c r="T1041" s="10">
        <f>IF(P1041="","",StartBank+SUM(P$2:P1041))</f>
        <v/>
      </c>
    </row>
    <row r="1042">
      <c r="A1042" s="22" t="n"/>
      <c r="G1042" s="21" t="n"/>
      <c r="H1042" s="11" t="n"/>
      <c r="I1042" s="21">
        <f>IF(OR(H1042="",H1042=0),"",1/H1042)</f>
        <v/>
      </c>
      <c r="J1042" s="11">
        <f>IF(OR(G1042="",H1042=""),"",H1042*G1042-1)</f>
        <v/>
      </c>
      <c r="K1042" s="10">
        <f>IF(OR(G1042="",H1042="",G1042&lt;=1),"",IF(J1042&lt;IF(D1042="Builder",MinEdgeBuilder,IF(D1042="Player",MinEdgePlayer,MinEdgeSingle)),0,ROUND(MIN(IF(D1042="Single",KellySingle,KellyBuilder)*(StartBank+SUM(P$1:P1041))*J1042/(G1042-1),IF(D1042="Builder",CapBuilder,CapSingle)*Unit),2)))</f>
        <v/>
      </c>
      <c r="L1042" s="10" t="n"/>
      <c r="N1042" s="10" t="n"/>
      <c r="O1042" s="10">
        <f>IF(L1042="","",IF(M1042="Won",L1042*G1042,IF(M1042="Void",L1042,IF(M1042="Cash out",N(N1042),IF(M1042="Lost",0,"")))))</f>
        <v/>
      </c>
      <c r="P1042" s="10">
        <f>IF(OR(L1042="",M1042="",M1042="Pending"),"",O1042-L1042)</f>
        <v/>
      </c>
      <c r="Q1042" s="21" t="n"/>
      <c r="R1042" s="11">
        <f>IF(OR(G1042="",Q1042=""),"",G1042/Q1042-1)</f>
        <v/>
      </c>
      <c r="S1042" s="10">
        <f>IF(OR(L1042="",J1042=""),"",L1042*J1042)</f>
        <v/>
      </c>
      <c r="T1042" s="10">
        <f>IF(P1042="","",StartBank+SUM(P$2:P1042))</f>
        <v/>
      </c>
    </row>
    <row r="1043">
      <c r="A1043" s="22" t="n"/>
      <c r="G1043" s="21" t="n"/>
      <c r="H1043" s="11" t="n"/>
      <c r="I1043" s="21">
        <f>IF(OR(H1043="",H1043=0),"",1/H1043)</f>
        <v/>
      </c>
      <c r="J1043" s="11">
        <f>IF(OR(G1043="",H1043=""),"",H1043*G1043-1)</f>
        <v/>
      </c>
      <c r="K1043" s="10">
        <f>IF(OR(G1043="",H1043="",G1043&lt;=1),"",IF(J1043&lt;IF(D1043="Builder",MinEdgeBuilder,IF(D1043="Player",MinEdgePlayer,MinEdgeSingle)),0,ROUND(MIN(IF(D1043="Single",KellySingle,KellyBuilder)*(StartBank+SUM(P$1:P1042))*J1043/(G1043-1),IF(D1043="Builder",CapBuilder,CapSingle)*Unit),2)))</f>
        <v/>
      </c>
      <c r="L1043" s="10" t="n"/>
      <c r="N1043" s="10" t="n"/>
      <c r="O1043" s="10">
        <f>IF(L1043="","",IF(M1043="Won",L1043*G1043,IF(M1043="Void",L1043,IF(M1043="Cash out",N(N1043),IF(M1043="Lost",0,"")))))</f>
        <v/>
      </c>
      <c r="P1043" s="10">
        <f>IF(OR(L1043="",M1043="",M1043="Pending"),"",O1043-L1043)</f>
        <v/>
      </c>
      <c r="Q1043" s="21" t="n"/>
      <c r="R1043" s="11">
        <f>IF(OR(G1043="",Q1043=""),"",G1043/Q1043-1)</f>
        <v/>
      </c>
      <c r="S1043" s="10">
        <f>IF(OR(L1043="",J1043=""),"",L1043*J1043)</f>
        <v/>
      </c>
      <c r="T1043" s="10">
        <f>IF(P1043="","",StartBank+SUM(P$2:P1043))</f>
        <v/>
      </c>
    </row>
    <row r="1044">
      <c r="A1044" s="22" t="n"/>
      <c r="G1044" s="21" t="n"/>
      <c r="H1044" s="11" t="n"/>
      <c r="I1044" s="21">
        <f>IF(OR(H1044="",H1044=0),"",1/H1044)</f>
        <v/>
      </c>
      <c r="J1044" s="11">
        <f>IF(OR(G1044="",H1044=""),"",H1044*G1044-1)</f>
        <v/>
      </c>
      <c r="K1044" s="10">
        <f>IF(OR(G1044="",H1044="",G1044&lt;=1),"",IF(J1044&lt;IF(D1044="Builder",MinEdgeBuilder,IF(D1044="Player",MinEdgePlayer,MinEdgeSingle)),0,ROUND(MIN(IF(D1044="Single",KellySingle,KellyBuilder)*(StartBank+SUM(P$1:P1043))*J1044/(G1044-1),IF(D1044="Builder",CapBuilder,CapSingle)*Unit),2)))</f>
        <v/>
      </c>
      <c r="L1044" s="10" t="n"/>
      <c r="N1044" s="10" t="n"/>
      <c r="O1044" s="10">
        <f>IF(L1044="","",IF(M1044="Won",L1044*G1044,IF(M1044="Void",L1044,IF(M1044="Cash out",N(N1044),IF(M1044="Lost",0,"")))))</f>
        <v/>
      </c>
      <c r="P1044" s="10">
        <f>IF(OR(L1044="",M1044="",M1044="Pending"),"",O1044-L1044)</f>
        <v/>
      </c>
      <c r="Q1044" s="21" t="n"/>
      <c r="R1044" s="11">
        <f>IF(OR(G1044="",Q1044=""),"",G1044/Q1044-1)</f>
        <v/>
      </c>
      <c r="S1044" s="10">
        <f>IF(OR(L1044="",J1044=""),"",L1044*J1044)</f>
        <v/>
      </c>
      <c r="T1044" s="10">
        <f>IF(P1044="","",StartBank+SUM(P$2:P1044))</f>
        <v/>
      </c>
    </row>
    <row r="1045">
      <c r="A1045" s="22" t="n"/>
      <c r="G1045" s="21" t="n"/>
      <c r="H1045" s="11" t="n"/>
      <c r="I1045" s="21">
        <f>IF(OR(H1045="",H1045=0),"",1/H1045)</f>
        <v/>
      </c>
      <c r="J1045" s="11">
        <f>IF(OR(G1045="",H1045=""),"",H1045*G1045-1)</f>
        <v/>
      </c>
      <c r="K1045" s="10">
        <f>IF(OR(G1045="",H1045="",G1045&lt;=1),"",IF(J1045&lt;IF(D1045="Builder",MinEdgeBuilder,IF(D1045="Player",MinEdgePlayer,MinEdgeSingle)),0,ROUND(MIN(IF(D1045="Single",KellySingle,KellyBuilder)*(StartBank+SUM(P$1:P1044))*J1045/(G1045-1),IF(D1045="Builder",CapBuilder,CapSingle)*Unit),2)))</f>
        <v/>
      </c>
      <c r="L1045" s="10" t="n"/>
      <c r="N1045" s="10" t="n"/>
      <c r="O1045" s="10">
        <f>IF(L1045="","",IF(M1045="Won",L1045*G1045,IF(M1045="Void",L1045,IF(M1045="Cash out",N(N1045),IF(M1045="Lost",0,"")))))</f>
        <v/>
      </c>
      <c r="P1045" s="10">
        <f>IF(OR(L1045="",M1045="",M1045="Pending"),"",O1045-L1045)</f>
        <v/>
      </c>
      <c r="Q1045" s="21" t="n"/>
      <c r="R1045" s="11">
        <f>IF(OR(G1045="",Q1045=""),"",G1045/Q1045-1)</f>
        <v/>
      </c>
      <c r="S1045" s="10">
        <f>IF(OR(L1045="",J1045=""),"",L1045*J1045)</f>
        <v/>
      </c>
      <c r="T1045" s="10">
        <f>IF(P1045="","",StartBank+SUM(P$2:P1045))</f>
        <v/>
      </c>
    </row>
    <row r="1046">
      <c r="A1046" s="22" t="n"/>
      <c r="G1046" s="21" t="n"/>
      <c r="H1046" s="11" t="n"/>
      <c r="I1046" s="21">
        <f>IF(OR(H1046="",H1046=0),"",1/H1046)</f>
        <v/>
      </c>
      <c r="J1046" s="11">
        <f>IF(OR(G1046="",H1046=""),"",H1046*G1046-1)</f>
        <v/>
      </c>
      <c r="K1046" s="10">
        <f>IF(OR(G1046="",H1046="",G1046&lt;=1),"",IF(J1046&lt;IF(D1046="Builder",MinEdgeBuilder,IF(D1046="Player",MinEdgePlayer,MinEdgeSingle)),0,ROUND(MIN(IF(D1046="Single",KellySingle,KellyBuilder)*(StartBank+SUM(P$1:P1045))*J1046/(G1046-1),IF(D1046="Builder",CapBuilder,CapSingle)*Unit),2)))</f>
        <v/>
      </c>
      <c r="L1046" s="10" t="n"/>
      <c r="N1046" s="10" t="n"/>
      <c r="O1046" s="10">
        <f>IF(L1046="","",IF(M1046="Won",L1046*G1046,IF(M1046="Void",L1046,IF(M1046="Cash out",N(N1046),IF(M1046="Lost",0,"")))))</f>
        <v/>
      </c>
      <c r="P1046" s="10">
        <f>IF(OR(L1046="",M1046="",M1046="Pending"),"",O1046-L1046)</f>
        <v/>
      </c>
      <c r="Q1046" s="21" t="n"/>
      <c r="R1046" s="11">
        <f>IF(OR(G1046="",Q1046=""),"",G1046/Q1046-1)</f>
        <v/>
      </c>
      <c r="S1046" s="10">
        <f>IF(OR(L1046="",J1046=""),"",L1046*J1046)</f>
        <v/>
      </c>
      <c r="T1046" s="10">
        <f>IF(P1046="","",StartBank+SUM(P$2:P1046))</f>
        <v/>
      </c>
    </row>
    <row r="1047">
      <c r="A1047" s="22" t="n"/>
      <c r="G1047" s="21" t="n"/>
      <c r="H1047" s="11" t="n"/>
      <c r="I1047" s="21">
        <f>IF(OR(H1047="",H1047=0),"",1/H1047)</f>
        <v/>
      </c>
      <c r="J1047" s="11">
        <f>IF(OR(G1047="",H1047=""),"",H1047*G1047-1)</f>
        <v/>
      </c>
      <c r="K1047" s="10">
        <f>IF(OR(G1047="",H1047="",G1047&lt;=1),"",IF(J1047&lt;IF(D1047="Builder",MinEdgeBuilder,IF(D1047="Player",MinEdgePlayer,MinEdgeSingle)),0,ROUND(MIN(IF(D1047="Single",KellySingle,KellyBuilder)*(StartBank+SUM(P$1:P1046))*J1047/(G1047-1),IF(D1047="Builder",CapBuilder,CapSingle)*Unit),2)))</f>
        <v/>
      </c>
      <c r="L1047" s="10" t="n"/>
      <c r="N1047" s="10" t="n"/>
      <c r="O1047" s="10">
        <f>IF(L1047="","",IF(M1047="Won",L1047*G1047,IF(M1047="Void",L1047,IF(M1047="Cash out",N(N1047),IF(M1047="Lost",0,"")))))</f>
        <v/>
      </c>
      <c r="P1047" s="10">
        <f>IF(OR(L1047="",M1047="",M1047="Pending"),"",O1047-L1047)</f>
        <v/>
      </c>
      <c r="Q1047" s="21" t="n"/>
      <c r="R1047" s="11">
        <f>IF(OR(G1047="",Q1047=""),"",G1047/Q1047-1)</f>
        <v/>
      </c>
      <c r="S1047" s="10">
        <f>IF(OR(L1047="",J1047=""),"",L1047*J1047)</f>
        <v/>
      </c>
      <c r="T1047" s="10">
        <f>IF(P1047="","",StartBank+SUM(P$2:P1047))</f>
        <v/>
      </c>
    </row>
    <row r="1048">
      <c r="A1048" s="22" t="n"/>
      <c r="G1048" s="21" t="n"/>
      <c r="H1048" s="11" t="n"/>
      <c r="I1048" s="21">
        <f>IF(OR(H1048="",H1048=0),"",1/H1048)</f>
        <v/>
      </c>
      <c r="J1048" s="11">
        <f>IF(OR(G1048="",H1048=""),"",H1048*G1048-1)</f>
        <v/>
      </c>
      <c r="K1048" s="10">
        <f>IF(OR(G1048="",H1048="",G1048&lt;=1),"",IF(J1048&lt;IF(D1048="Builder",MinEdgeBuilder,IF(D1048="Player",MinEdgePlayer,MinEdgeSingle)),0,ROUND(MIN(IF(D1048="Single",KellySingle,KellyBuilder)*(StartBank+SUM(P$1:P1047))*J1048/(G1048-1),IF(D1048="Builder",CapBuilder,CapSingle)*Unit),2)))</f>
        <v/>
      </c>
      <c r="L1048" s="10" t="n"/>
      <c r="N1048" s="10" t="n"/>
      <c r="O1048" s="10">
        <f>IF(L1048="","",IF(M1048="Won",L1048*G1048,IF(M1048="Void",L1048,IF(M1048="Cash out",N(N1048),IF(M1048="Lost",0,"")))))</f>
        <v/>
      </c>
      <c r="P1048" s="10">
        <f>IF(OR(L1048="",M1048="",M1048="Pending"),"",O1048-L1048)</f>
        <v/>
      </c>
      <c r="Q1048" s="21" t="n"/>
      <c r="R1048" s="11">
        <f>IF(OR(G1048="",Q1048=""),"",G1048/Q1048-1)</f>
        <v/>
      </c>
      <c r="S1048" s="10">
        <f>IF(OR(L1048="",J1048=""),"",L1048*J1048)</f>
        <v/>
      </c>
      <c r="T1048" s="10">
        <f>IF(P1048="","",StartBank+SUM(P$2:P1048))</f>
        <v/>
      </c>
    </row>
    <row r="1049">
      <c r="A1049" s="22" t="n"/>
      <c r="G1049" s="21" t="n"/>
      <c r="H1049" s="11" t="n"/>
      <c r="I1049" s="21">
        <f>IF(OR(H1049="",H1049=0),"",1/H1049)</f>
        <v/>
      </c>
      <c r="J1049" s="11">
        <f>IF(OR(G1049="",H1049=""),"",H1049*G1049-1)</f>
        <v/>
      </c>
      <c r="K1049" s="10">
        <f>IF(OR(G1049="",H1049="",G1049&lt;=1),"",IF(J1049&lt;IF(D1049="Builder",MinEdgeBuilder,IF(D1049="Player",MinEdgePlayer,MinEdgeSingle)),0,ROUND(MIN(IF(D1049="Single",KellySingle,KellyBuilder)*(StartBank+SUM(P$1:P1048))*J1049/(G1049-1),IF(D1049="Builder",CapBuilder,CapSingle)*Unit),2)))</f>
        <v/>
      </c>
      <c r="L1049" s="10" t="n"/>
      <c r="N1049" s="10" t="n"/>
      <c r="O1049" s="10">
        <f>IF(L1049="","",IF(M1049="Won",L1049*G1049,IF(M1049="Void",L1049,IF(M1049="Cash out",N(N1049),IF(M1049="Lost",0,"")))))</f>
        <v/>
      </c>
      <c r="P1049" s="10">
        <f>IF(OR(L1049="",M1049="",M1049="Pending"),"",O1049-L1049)</f>
        <v/>
      </c>
      <c r="Q1049" s="21" t="n"/>
      <c r="R1049" s="11">
        <f>IF(OR(G1049="",Q1049=""),"",G1049/Q1049-1)</f>
        <v/>
      </c>
      <c r="S1049" s="10">
        <f>IF(OR(L1049="",J1049=""),"",L1049*J1049)</f>
        <v/>
      </c>
      <c r="T1049" s="10">
        <f>IF(P1049="","",StartBank+SUM(P$2:P1049))</f>
        <v/>
      </c>
    </row>
    <row r="1050">
      <c r="A1050" s="22" t="n"/>
      <c r="G1050" s="21" t="n"/>
      <c r="H1050" s="11" t="n"/>
      <c r="I1050" s="21">
        <f>IF(OR(H1050="",H1050=0),"",1/H1050)</f>
        <v/>
      </c>
      <c r="J1050" s="11">
        <f>IF(OR(G1050="",H1050=""),"",H1050*G1050-1)</f>
        <v/>
      </c>
      <c r="K1050" s="10">
        <f>IF(OR(G1050="",H1050="",G1050&lt;=1),"",IF(J1050&lt;IF(D1050="Builder",MinEdgeBuilder,IF(D1050="Player",MinEdgePlayer,MinEdgeSingle)),0,ROUND(MIN(IF(D1050="Single",KellySingle,KellyBuilder)*(StartBank+SUM(P$1:P1049))*J1050/(G1050-1),IF(D1050="Builder",CapBuilder,CapSingle)*Unit),2)))</f>
        <v/>
      </c>
      <c r="L1050" s="10" t="n"/>
      <c r="N1050" s="10" t="n"/>
      <c r="O1050" s="10">
        <f>IF(L1050="","",IF(M1050="Won",L1050*G1050,IF(M1050="Void",L1050,IF(M1050="Cash out",N(N1050),IF(M1050="Lost",0,"")))))</f>
        <v/>
      </c>
      <c r="P1050" s="10">
        <f>IF(OR(L1050="",M1050="",M1050="Pending"),"",O1050-L1050)</f>
        <v/>
      </c>
      <c r="Q1050" s="21" t="n"/>
      <c r="R1050" s="11">
        <f>IF(OR(G1050="",Q1050=""),"",G1050/Q1050-1)</f>
        <v/>
      </c>
      <c r="S1050" s="10">
        <f>IF(OR(L1050="",J1050=""),"",L1050*J1050)</f>
        <v/>
      </c>
      <c r="T1050" s="10">
        <f>IF(P1050="","",StartBank+SUM(P$2:P1050))</f>
        <v/>
      </c>
    </row>
    <row r="1051">
      <c r="A1051" s="22" t="n"/>
      <c r="G1051" s="21" t="n"/>
      <c r="H1051" s="11" t="n"/>
      <c r="I1051" s="21">
        <f>IF(OR(H1051="",H1051=0),"",1/H1051)</f>
        <v/>
      </c>
      <c r="J1051" s="11">
        <f>IF(OR(G1051="",H1051=""),"",H1051*G1051-1)</f>
        <v/>
      </c>
      <c r="K1051" s="10">
        <f>IF(OR(G1051="",H1051="",G1051&lt;=1),"",IF(J1051&lt;IF(D1051="Builder",MinEdgeBuilder,IF(D1051="Player",MinEdgePlayer,MinEdgeSingle)),0,ROUND(MIN(IF(D1051="Single",KellySingle,KellyBuilder)*(StartBank+SUM(P$1:P1050))*J1051/(G1051-1),IF(D1051="Builder",CapBuilder,CapSingle)*Unit),2)))</f>
        <v/>
      </c>
      <c r="L1051" s="10" t="n"/>
      <c r="N1051" s="10" t="n"/>
      <c r="O1051" s="10">
        <f>IF(L1051="","",IF(M1051="Won",L1051*G1051,IF(M1051="Void",L1051,IF(M1051="Cash out",N(N1051),IF(M1051="Lost",0,"")))))</f>
        <v/>
      </c>
      <c r="P1051" s="10">
        <f>IF(OR(L1051="",M1051="",M1051="Pending"),"",O1051-L1051)</f>
        <v/>
      </c>
      <c r="Q1051" s="21" t="n"/>
      <c r="R1051" s="11">
        <f>IF(OR(G1051="",Q1051=""),"",G1051/Q1051-1)</f>
        <v/>
      </c>
      <c r="S1051" s="10">
        <f>IF(OR(L1051="",J1051=""),"",L1051*J1051)</f>
        <v/>
      </c>
      <c r="T1051" s="10">
        <f>IF(P1051="","",StartBank+SUM(P$2:P1051))</f>
        <v/>
      </c>
    </row>
    <row r="1052">
      <c r="A1052" s="22" t="n"/>
      <c r="G1052" s="21" t="n"/>
      <c r="H1052" s="11" t="n"/>
      <c r="I1052" s="21">
        <f>IF(OR(H1052="",H1052=0),"",1/H1052)</f>
        <v/>
      </c>
      <c r="J1052" s="11">
        <f>IF(OR(G1052="",H1052=""),"",H1052*G1052-1)</f>
        <v/>
      </c>
      <c r="K1052" s="10">
        <f>IF(OR(G1052="",H1052="",G1052&lt;=1),"",IF(J1052&lt;IF(D1052="Builder",MinEdgeBuilder,IF(D1052="Player",MinEdgePlayer,MinEdgeSingle)),0,ROUND(MIN(IF(D1052="Single",KellySingle,KellyBuilder)*(StartBank+SUM(P$1:P1051))*J1052/(G1052-1),IF(D1052="Builder",CapBuilder,CapSingle)*Unit),2)))</f>
        <v/>
      </c>
      <c r="L1052" s="10" t="n"/>
      <c r="N1052" s="10" t="n"/>
      <c r="O1052" s="10">
        <f>IF(L1052="","",IF(M1052="Won",L1052*G1052,IF(M1052="Void",L1052,IF(M1052="Cash out",N(N1052),IF(M1052="Lost",0,"")))))</f>
        <v/>
      </c>
      <c r="P1052" s="10">
        <f>IF(OR(L1052="",M1052="",M1052="Pending"),"",O1052-L1052)</f>
        <v/>
      </c>
      <c r="Q1052" s="21" t="n"/>
      <c r="R1052" s="11">
        <f>IF(OR(G1052="",Q1052=""),"",G1052/Q1052-1)</f>
        <v/>
      </c>
      <c r="S1052" s="10">
        <f>IF(OR(L1052="",J1052=""),"",L1052*J1052)</f>
        <v/>
      </c>
      <c r="T1052" s="10">
        <f>IF(P1052="","",StartBank+SUM(P$2:P1052))</f>
        <v/>
      </c>
    </row>
    <row r="1053">
      <c r="A1053" s="22" t="n"/>
      <c r="G1053" s="21" t="n"/>
      <c r="H1053" s="11" t="n"/>
      <c r="I1053" s="21">
        <f>IF(OR(H1053="",H1053=0),"",1/H1053)</f>
        <v/>
      </c>
      <c r="J1053" s="11">
        <f>IF(OR(G1053="",H1053=""),"",H1053*G1053-1)</f>
        <v/>
      </c>
      <c r="K1053" s="10">
        <f>IF(OR(G1053="",H1053="",G1053&lt;=1),"",IF(J1053&lt;IF(D1053="Builder",MinEdgeBuilder,IF(D1053="Player",MinEdgePlayer,MinEdgeSingle)),0,ROUND(MIN(IF(D1053="Single",KellySingle,KellyBuilder)*(StartBank+SUM(P$1:P1052))*J1053/(G1053-1),IF(D1053="Builder",CapBuilder,CapSingle)*Unit),2)))</f>
        <v/>
      </c>
      <c r="L1053" s="10" t="n"/>
      <c r="N1053" s="10" t="n"/>
      <c r="O1053" s="10">
        <f>IF(L1053="","",IF(M1053="Won",L1053*G1053,IF(M1053="Void",L1053,IF(M1053="Cash out",N(N1053),IF(M1053="Lost",0,"")))))</f>
        <v/>
      </c>
      <c r="P1053" s="10">
        <f>IF(OR(L1053="",M1053="",M1053="Pending"),"",O1053-L1053)</f>
        <v/>
      </c>
      <c r="Q1053" s="21" t="n"/>
      <c r="R1053" s="11">
        <f>IF(OR(G1053="",Q1053=""),"",G1053/Q1053-1)</f>
        <v/>
      </c>
      <c r="S1053" s="10">
        <f>IF(OR(L1053="",J1053=""),"",L1053*J1053)</f>
        <v/>
      </c>
      <c r="T1053" s="10">
        <f>IF(P1053="","",StartBank+SUM(P$2:P1053))</f>
        <v/>
      </c>
    </row>
    <row r="1054">
      <c r="A1054" s="22" t="n"/>
      <c r="G1054" s="21" t="n"/>
      <c r="H1054" s="11" t="n"/>
      <c r="I1054" s="21">
        <f>IF(OR(H1054="",H1054=0),"",1/H1054)</f>
        <v/>
      </c>
      <c r="J1054" s="11">
        <f>IF(OR(G1054="",H1054=""),"",H1054*G1054-1)</f>
        <v/>
      </c>
      <c r="K1054" s="10">
        <f>IF(OR(G1054="",H1054="",G1054&lt;=1),"",IF(J1054&lt;IF(D1054="Builder",MinEdgeBuilder,IF(D1054="Player",MinEdgePlayer,MinEdgeSingle)),0,ROUND(MIN(IF(D1054="Single",KellySingle,KellyBuilder)*(StartBank+SUM(P$1:P1053))*J1054/(G1054-1),IF(D1054="Builder",CapBuilder,CapSingle)*Unit),2)))</f>
        <v/>
      </c>
      <c r="L1054" s="10" t="n"/>
      <c r="N1054" s="10" t="n"/>
      <c r="O1054" s="10">
        <f>IF(L1054="","",IF(M1054="Won",L1054*G1054,IF(M1054="Void",L1054,IF(M1054="Cash out",N(N1054),IF(M1054="Lost",0,"")))))</f>
        <v/>
      </c>
      <c r="P1054" s="10">
        <f>IF(OR(L1054="",M1054="",M1054="Pending"),"",O1054-L1054)</f>
        <v/>
      </c>
      <c r="Q1054" s="21" t="n"/>
      <c r="R1054" s="11">
        <f>IF(OR(G1054="",Q1054=""),"",G1054/Q1054-1)</f>
        <v/>
      </c>
      <c r="S1054" s="10">
        <f>IF(OR(L1054="",J1054=""),"",L1054*J1054)</f>
        <v/>
      </c>
      <c r="T1054" s="10">
        <f>IF(P1054="","",StartBank+SUM(P$2:P1054))</f>
        <v/>
      </c>
    </row>
    <row r="1055">
      <c r="A1055" s="22" t="n"/>
      <c r="G1055" s="21" t="n"/>
      <c r="H1055" s="11" t="n"/>
      <c r="I1055" s="21">
        <f>IF(OR(H1055="",H1055=0),"",1/H1055)</f>
        <v/>
      </c>
      <c r="J1055" s="11">
        <f>IF(OR(G1055="",H1055=""),"",H1055*G1055-1)</f>
        <v/>
      </c>
      <c r="K1055" s="10">
        <f>IF(OR(G1055="",H1055="",G1055&lt;=1),"",IF(J1055&lt;IF(D1055="Builder",MinEdgeBuilder,IF(D1055="Player",MinEdgePlayer,MinEdgeSingle)),0,ROUND(MIN(IF(D1055="Single",KellySingle,KellyBuilder)*(StartBank+SUM(P$1:P1054))*J1055/(G1055-1),IF(D1055="Builder",CapBuilder,CapSingle)*Unit),2)))</f>
        <v/>
      </c>
      <c r="L1055" s="10" t="n"/>
      <c r="N1055" s="10" t="n"/>
      <c r="O1055" s="10">
        <f>IF(L1055="","",IF(M1055="Won",L1055*G1055,IF(M1055="Void",L1055,IF(M1055="Cash out",N(N1055),IF(M1055="Lost",0,"")))))</f>
        <v/>
      </c>
      <c r="P1055" s="10">
        <f>IF(OR(L1055="",M1055="",M1055="Pending"),"",O1055-L1055)</f>
        <v/>
      </c>
      <c r="Q1055" s="21" t="n"/>
      <c r="R1055" s="11">
        <f>IF(OR(G1055="",Q1055=""),"",G1055/Q1055-1)</f>
        <v/>
      </c>
      <c r="S1055" s="10">
        <f>IF(OR(L1055="",J1055=""),"",L1055*J1055)</f>
        <v/>
      </c>
      <c r="T1055" s="10">
        <f>IF(P1055="","",StartBank+SUM(P$2:P1055))</f>
        <v/>
      </c>
    </row>
    <row r="1056">
      <c r="A1056" s="22" t="n"/>
      <c r="G1056" s="21" t="n"/>
      <c r="H1056" s="11" t="n"/>
      <c r="I1056" s="21">
        <f>IF(OR(H1056="",H1056=0),"",1/H1056)</f>
        <v/>
      </c>
      <c r="J1056" s="11">
        <f>IF(OR(G1056="",H1056=""),"",H1056*G1056-1)</f>
        <v/>
      </c>
      <c r="K1056" s="10">
        <f>IF(OR(G1056="",H1056="",G1056&lt;=1),"",IF(J1056&lt;IF(D1056="Builder",MinEdgeBuilder,IF(D1056="Player",MinEdgePlayer,MinEdgeSingle)),0,ROUND(MIN(IF(D1056="Single",KellySingle,KellyBuilder)*(StartBank+SUM(P$1:P1055))*J1056/(G1056-1),IF(D1056="Builder",CapBuilder,CapSingle)*Unit),2)))</f>
        <v/>
      </c>
      <c r="L1056" s="10" t="n"/>
      <c r="N1056" s="10" t="n"/>
      <c r="O1056" s="10">
        <f>IF(L1056="","",IF(M1056="Won",L1056*G1056,IF(M1056="Void",L1056,IF(M1056="Cash out",N(N1056),IF(M1056="Lost",0,"")))))</f>
        <v/>
      </c>
      <c r="P1056" s="10">
        <f>IF(OR(L1056="",M1056="",M1056="Pending"),"",O1056-L1056)</f>
        <v/>
      </c>
      <c r="Q1056" s="21" t="n"/>
      <c r="R1056" s="11">
        <f>IF(OR(G1056="",Q1056=""),"",G1056/Q1056-1)</f>
        <v/>
      </c>
      <c r="S1056" s="10">
        <f>IF(OR(L1056="",J1056=""),"",L1056*J1056)</f>
        <v/>
      </c>
      <c r="T1056" s="10">
        <f>IF(P1056="","",StartBank+SUM(P$2:P1056))</f>
        <v/>
      </c>
    </row>
    <row r="1057">
      <c r="A1057" s="22" t="n"/>
      <c r="G1057" s="21" t="n"/>
      <c r="H1057" s="11" t="n"/>
      <c r="I1057" s="21">
        <f>IF(OR(H1057="",H1057=0),"",1/H1057)</f>
        <v/>
      </c>
      <c r="J1057" s="11">
        <f>IF(OR(G1057="",H1057=""),"",H1057*G1057-1)</f>
        <v/>
      </c>
      <c r="K1057" s="10">
        <f>IF(OR(G1057="",H1057="",G1057&lt;=1),"",IF(J1057&lt;IF(D1057="Builder",MinEdgeBuilder,IF(D1057="Player",MinEdgePlayer,MinEdgeSingle)),0,ROUND(MIN(IF(D1057="Single",KellySingle,KellyBuilder)*(StartBank+SUM(P$1:P1056))*J1057/(G1057-1),IF(D1057="Builder",CapBuilder,CapSingle)*Unit),2)))</f>
        <v/>
      </c>
      <c r="L1057" s="10" t="n"/>
      <c r="N1057" s="10" t="n"/>
      <c r="O1057" s="10">
        <f>IF(L1057="","",IF(M1057="Won",L1057*G1057,IF(M1057="Void",L1057,IF(M1057="Cash out",N(N1057),IF(M1057="Lost",0,"")))))</f>
        <v/>
      </c>
      <c r="P1057" s="10">
        <f>IF(OR(L1057="",M1057="",M1057="Pending"),"",O1057-L1057)</f>
        <v/>
      </c>
      <c r="Q1057" s="21" t="n"/>
      <c r="R1057" s="11">
        <f>IF(OR(G1057="",Q1057=""),"",G1057/Q1057-1)</f>
        <v/>
      </c>
      <c r="S1057" s="10">
        <f>IF(OR(L1057="",J1057=""),"",L1057*J1057)</f>
        <v/>
      </c>
      <c r="T1057" s="10">
        <f>IF(P1057="","",StartBank+SUM(P$2:P1057))</f>
        <v/>
      </c>
    </row>
    <row r="1058">
      <c r="A1058" s="22" t="n"/>
      <c r="G1058" s="21" t="n"/>
      <c r="H1058" s="11" t="n"/>
      <c r="I1058" s="21">
        <f>IF(OR(H1058="",H1058=0),"",1/H1058)</f>
        <v/>
      </c>
      <c r="J1058" s="11">
        <f>IF(OR(G1058="",H1058=""),"",H1058*G1058-1)</f>
        <v/>
      </c>
      <c r="K1058" s="10">
        <f>IF(OR(G1058="",H1058="",G1058&lt;=1),"",IF(J1058&lt;IF(D1058="Builder",MinEdgeBuilder,IF(D1058="Player",MinEdgePlayer,MinEdgeSingle)),0,ROUND(MIN(IF(D1058="Single",KellySingle,KellyBuilder)*(StartBank+SUM(P$1:P1057))*J1058/(G1058-1),IF(D1058="Builder",CapBuilder,CapSingle)*Unit),2)))</f>
        <v/>
      </c>
      <c r="L1058" s="10" t="n"/>
      <c r="N1058" s="10" t="n"/>
      <c r="O1058" s="10">
        <f>IF(L1058="","",IF(M1058="Won",L1058*G1058,IF(M1058="Void",L1058,IF(M1058="Cash out",N(N1058),IF(M1058="Lost",0,"")))))</f>
        <v/>
      </c>
      <c r="P1058" s="10">
        <f>IF(OR(L1058="",M1058="",M1058="Pending"),"",O1058-L1058)</f>
        <v/>
      </c>
      <c r="Q1058" s="21" t="n"/>
      <c r="R1058" s="11">
        <f>IF(OR(G1058="",Q1058=""),"",G1058/Q1058-1)</f>
        <v/>
      </c>
      <c r="S1058" s="10">
        <f>IF(OR(L1058="",J1058=""),"",L1058*J1058)</f>
        <v/>
      </c>
      <c r="T1058" s="10">
        <f>IF(P1058="","",StartBank+SUM(P$2:P1058))</f>
        <v/>
      </c>
    </row>
    <row r="1059">
      <c r="A1059" s="22" t="n"/>
      <c r="G1059" s="21" t="n"/>
      <c r="H1059" s="11" t="n"/>
      <c r="I1059" s="21">
        <f>IF(OR(H1059="",H1059=0),"",1/H1059)</f>
        <v/>
      </c>
      <c r="J1059" s="11">
        <f>IF(OR(G1059="",H1059=""),"",H1059*G1059-1)</f>
        <v/>
      </c>
      <c r="K1059" s="10">
        <f>IF(OR(G1059="",H1059="",G1059&lt;=1),"",IF(J1059&lt;IF(D1059="Builder",MinEdgeBuilder,IF(D1059="Player",MinEdgePlayer,MinEdgeSingle)),0,ROUND(MIN(IF(D1059="Single",KellySingle,KellyBuilder)*(StartBank+SUM(P$1:P1058))*J1059/(G1059-1),IF(D1059="Builder",CapBuilder,CapSingle)*Unit),2)))</f>
        <v/>
      </c>
      <c r="L1059" s="10" t="n"/>
      <c r="N1059" s="10" t="n"/>
      <c r="O1059" s="10">
        <f>IF(L1059="","",IF(M1059="Won",L1059*G1059,IF(M1059="Void",L1059,IF(M1059="Cash out",N(N1059),IF(M1059="Lost",0,"")))))</f>
        <v/>
      </c>
      <c r="P1059" s="10">
        <f>IF(OR(L1059="",M1059="",M1059="Pending"),"",O1059-L1059)</f>
        <v/>
      </c>
      <c r="Q1059" s="21" t="n"/>
      <c r="R1059" s="11">
        <f>IF(OR(G1059="",Q1059=""),"",G1059/Q1059-1)</f>
        <v/>
      </c>
      <c r="S1059" s="10">
        <f>IF(OR(L1059="",J1059=""),"",L1059*J1059)</f>
        <v/>
      </c>
      <c r="T1059" s="10">
        <f>IF(P1059="","",StartBank+SUM(P$2:P1059))</f>
        <v/>
      </c>
    </row>
    <row r="1060">
      <c r="A1060" s="22" t="n"/>
      <c r="G1060" s="21" t="n"/>
      <c r="H1060" s="11" t="n"/>
      <c r="I1060" s="21">
        <f>IF(OR(H1060="",H1060=0),"",1/H1060)</f>
        <v/>
      </c>
      <c r="J1060" s="11">
        <f>IF(OR(G1060="",H1060=""),"",H1060*G1060-1)</f>
        <v/>
      </c>
      <c r="K1060" s="10">
        <f>IF(OR(G1060="",H1060="",G1060&lt;=1),"",IF(J1060&lt;IF(D1060="Builder",MinEdgeBuilder,IF(D1060="Player",MinEdgePlayer,MinEdgeSingle)),0,ROUND(MIN(IF(D1060="Single",KellySingle,KellyBuilder)*(StartBank+SUM(P$1:P1059))*J1060/(G1060-1),IF(D1060="Builder",CapBuilder,CapSingle)*Unit),2)))</f>
        <v/>
      </c>
      <c r="L1060" s="10" t="n"/>
      <c r="N1060" s="10" t="n"/>
      <c r="O1060" s="10">
        <f>IF(L1060="","",IF(M1060="Won",L1060*G1060,IF(M1060="Void",L1060,IF(M1060="Cash out",N(N1060),IF(M1060="Lost",0,"")))))</f>
        <v/>
      </c>
      <c r="P1060" s="10">
        <f>IF(OR(L1060="",M1060="",M1060="Pending"),"",O1060-L1060)</f>
        <v/>
      </c>
      <c r="Q1060" s="21" t="n"/>
      <c r="R1060" s="11">
        <f>IF(OR(G1060="",Q1060=""),"",G1060/Q1060-1)</f>
        <v/>
      </c>
      <c r="S1060" s="10">
        <f>IF(OR(L1060="",J1060=""),"",L1060*J1060)</f>
        <v/>
      </c>
      <c r="T1060" s="10">
        <f>IF(P1060="","",StartBank+SUM(P$2:P1060))</f>
        <v/>
      </c>
    </row>
    <row r="1061">
      <c r="A1061" s="22" t="n"/>
      <c r="G1061" s="21" t="n"/>
      <c r="H1061" s="11" t="n"/>
      <c r="I1061" s="21">
        <f>IF(OR(H1061="",H1061=0),"",1/H1061)</f>
        <v/>
      </c>
      <c r="J1061" s="11">
        <f>IF(OR(G1061="",H1061=""),"",H1061*G1061-1)</f>
        <v/>
      </c>
      <c r="K1061" s="10">
        <f>IF(OR(G1061="",H1061="",G1061&lt;=1),"",IF(J1061&lt;IF(D1061="Builder",MinEdgeBuilder,IF(D1061="Player",MinEdgePlayer,MinEdgeSingle)),0,ROUND(MIN(IF(D1061="Single",KellySingle,KellyBuilder)*(StartBank+SUM(P$1:P1060))*J1061/(G1061-1),IF(D1061="Builder",CapBuilder,CapSingle)*Unit),2)))</f>
        <v/>
      </c>
      <c r="L1061" s="10" t="n"/>
      <c r="N1061" s="10" t="n"/>
      <c r="O1061" s="10">
        <f>IF(L1061="","",IF(M1061="Won",L1061*G1061,IF(M1061="Void",L1061,IF(M1061="Cash out",N(N1061),IF(M1061="Lost",0,"")))))</f>
        <v/>
      </c>
      <c r="P1061" s="10">
        <f>IF(OR(L1061="",M1061="",M1061="Pending"),"",O1061-L1061)</f>
        <v/>
      </c>
      <c r="Q1061" s="21" t="n"/>
      <c r="R1061" s="11">
        <f>IF(OR(G1061="",Q1061=""),"",G1061/Q1061-1)</f>
        <v/>
      </c>
      <c r="S1061" s="10">
        <f>IF(OR(L1061="",J1061=""),"",L1061*J1061)</f>
        <v/>
      </c>
      <c r="T1061" s="10">
        <f>IF(P1061="","",StartBank+SUM(P$2:P1061))</f>
        <v/>
      </c>
    </row>
    <row r="1062">
      <c r="A1062" s="22" t="n"/>
      <c r="G1062" s="21" t="n"/>
      <c r="H1062" s="11" t="n"/>
      <c r="I1062" s="21">
        <f>IF(OR(H1062="",H1062=0),"",1/H1062)</f>
        <v/>
      </c>
      <c r="J1062" s="11">
        <f>IF(OR(G1062="",H1062=""),"",H1062*G1062-1)</f>
        <v/>
      </c>
      <c r="K1062" s="10">
        <f>IF(OR(G1062="",H1062="",G1062&lt;=1),"",IF(J1062&lt;IF(D1062="Builder",MinEdgeBuilder,IF(D1062="Player",MinEdgePlayer,MinEdgeSingle)),0,ROUND(MIN(IF(D1062="Single",KellySingle,KellyBuilder)*(StartBank+SUM(P$1:P1061))*J1062/(G1062-1),IF(D1062="Builder",CapBuilder,CapSingle)*Unit),2)))</f>
        <v/>
      </c>
      <c r="L1062" s="10" t="n"/>
      <c r="N1062" s="10" t="n"/>
      <c r="O1062" s="10">
        <f>IF(L1062="","",IF(M1062="Won",L1062*G1062,IF(M1062="Void",L1062,IF(M1062="Cash out",N(N1062),IF(M1062="Lost",0,"")))))</f>
        <v/>
      </c>
      <c r="P1062" s="10">
        <f>IF(OR(L1062="",M1062="",M1062="Pending"),"",O1062-L1062)</f>
        <v/>
      </c>
      <c r="Q1062" s="21" t="n"/>
      <c r="R1062" s="11">
        <f>IF(OR(G1062="",Q1062=""),"",G1062/Q1062-1)</f>
        <v/>
      </c>
      <c r="S1062" s="10">
        <f>IF(OR(L1062="",J1062=""),"",L1062*J1062)</f>
        <v/>
      </c>
      <c r="T1062" s="10">
        <f>IF(P1062="","",StartBank+SUM(P$2:P1062))</f>
        <v/>
      </c>
    </row>
    <row r="1063">
      <c r="A1063" s="22" t="n"/>
      <c r="G1063" s="21" t="n"/>
      <c r="H1063" s="11" t="n"/>
      <c r="I1063" s="21">
        <f>IF(OR(H1063="",H1063=0),"",1/H1063)</f>
        <v/>
      </c>
      <c r="J1063" s="11">
        <f>IF(OR(G1063="",H1063=""),"",H1063*G1063-1)</f>
        <v/>
      </c>
      <c r="K1063" s="10">
        <f>IF(OR(G1063="",H1063="",G1063&lt;=1),"",IF(J1063&lt;IF(D1063="Builder",MinEdgeBuilder,IF(D1063="Player",MinEdgePlayer,MinEdgeSingle)),0,ROUND(MIN(IF(D1063="Single",KellySingle,KellyBuilder)*(StartBank+SUM(P$1:P1062))*J1063/(G1063-1),IF(D1063="Builder",CapBuilder,CapSingle)*Unit),2)))</f>
        <v/>
      </c>
      <c r="L1063" s="10" t="n"/>
      <c r="N1063" s="10" t="n"/>
      <c r="O1063" s="10">
        <f>IF(L1063="","",IF(M1063="Won",L1063*G1063,IF(M1063="Void",L1063,IF(M1063="Cash out",N(N1063),IF(M1063="Lost",0,"")))))</f>
        <v/>
      </c>
      <c r="P1063" s="10">
        <f>IF(OR(L1063="",M1063="",M1063="Pending"),"",O1063-L1063)</f>
        <v/>
      </c>
      <c r="Q1063" s="21" t="n"/>
      <c r="R1063" s="11">
        <f>IF(OR(G1063="",Q1063=""),"",G1063/Q1063-1)</f>
        <v/>
      </c>
      <c r="S1063" s="10">
        <f>IF(OR(L1063="",J1063=""),"",L1063*J1063)</f>
        <v/>
      </c>
      <c r="T1063" s="10">
        <f>IF(P1063="","",StartBank+SUM(P$2:P1063))</f>
        <v/>
      </c>
    </row>
    <row r="1064">
      <c r="A1064" s="22" t="n"/>
      <c r="G1064" s="21" t="n"/>
      <c r="H1064" s="11" t="n"/>
      <c r="I1064" s="21">
        <f>IF(OR(H1064="",H1064=0),"",1/H1064)</f>
        <v/>
      </c>
      <c r="J1064" s="11">
        <f>IF(OR(G1064="",H1064=""),"",H1064*G1064-1)</f>
        <v/>
      </c>
      <c r="K1064" s="10">
        <f>IF(OR(G1064="",H1064="",G1064&lt;=1),"",IF(J1064&lt;IF(D1064="Builder",MinEdgeBuilder,IF(D1064="Player",MinEdgePlayer,MinEdgeSingle)),0,ROUND(MIN(IF(D1064="Single",KellySingle,KellyBuilder)*(StartBank+SUM(P$1:P1063))*J1064/(G1064-1),IF(D1064="Builder",CapBuilder,CapSingle)*Unit),2)))</f>
        <v/>
      </c>
      <c r="L1064" s="10" t="n"/>
      <c r="N1064" s="10" t="n"/>
      <c r="O1064" s="10">
        <f>IF(L1064="","",IF(M1064="Won",L1064*G1064,IF(M1064="Void",L1064,IF(M1064="Cash out",N(N1064),IF(M1064="Lost",0,"")))))</f>
        <v/>
      </c>
      <c r="P1064" s="10">
        <f>IF(OR(L1064="",M1064="",M1064="Pending"),"",O1064-L1064)</f>
        <v/>
      </c>
      <c r="Q1064" s="21" t="n"/>
      <c r="R1064" s="11">
        <f>IF(OR(G1064="",Q1064=""),"",G1064/Q1064-1)</f>
        <v/>
      </c>
      <c r="S1064" s="10">
        <f>IF(OR(L1064="",J1064=""),"",L1064*J1064)</f>
        <v/>
      </c>
      <c r="T1064" s="10">
        <f>IF(P1064="","",StartBank+SUM(P$2:P1064))</f>
        <v/>
      </c>
    </row>
    <row r="1065">
      <c r="A1065" s="22" t="n"/>
      <c r="G1065" s="21" t="n"/>
      <c r="H1065" s="11" t="n"/>
      <c r="I1065" s="21">
        <f>IF(OR(H1065="",H1065=0),"",1/H1065)</f>
        <v/>
      </c>
      <c r="J1065" s="11">
        <f>IF(OR(G1065="",H1065=""),"",H1065*G1065-1)</f>
        <v/>
      </c>
      <c r="K1065" s="10">
        <f>IF(OR(G1065="",H1065="",G1065&lt;=1),"",IF(J1065&lt;IF(D1065="Builder",MinEdgeBuilder,IF(D1065="Player",MinEdgePlayer,MinEdgeSingle)),0,ROUND(MIN(IF(D1065="Single",KellySingle,KellyBuilder)*(StartBank+SUM(P$1:P1064))*J1065/(G1065-1),IF(D1065="Builder",CapBuilder,CapSingle)*Unit),2)))</f>
        <v/>
      </c>
      <c r="L1065" s="10" t="n"/>
      <c r="N1065" s="10" t="n"/>
      <c r="O1065" s="10">
        <f>IF(L1065="","",IF(M1065="Won",L1065*G1065,IF(M1065="Void",L1065,IF(M1065="Cash out",N(N1065),IF(M1065="Lost",0,"")))))</f>
        <v/>
      </c>
      <c r="P1065" s="10">
        <f>IF(OR(L1065="",M1065="",M1065="Pending"),"",O1065-L1065)</f>
        <v/>
      </c>
      <c r="Q1065" s="21" t="n"/>
      <c r="R1065" s="11">
        <f>IF(OR(G1065="",Q1065=""),"",G1065/Q1065-1)</f>
        <v/>
      </c>
      <c r="S1065" s="10">
        <f>IF(OR(L1065="",J1065=""),"",L1065*J1065)</f>
        <v/>
      </c>
      <c r="T1065" s="10">
        <f>IF(P1065="","",StartBank+SUM(P$2:P1065))</f>
        <v/>
      </c>
    </row>
    <row r="1066">
      <c r="A1066" s="22" t="n"/>
      <c r="G1066" s="21" t="n"/>
      <c r="H1066" s="11" t="n"/>
      <c r="I1066" s="21">
        <f>IF(OR(H1066="",H1066=0),"",1/H1066)</f>
        <v/>
      </c>
      <c r="J1066" s="11">
        <f>IF(OR(G1066="",H1066=""),"",H1066*G1066-1)</f>
        <v/>
      </c>
      <c r="K1066" s="10">
        <f>IF(OR(G1066="",H1066="",G1066&lt;=1),"",IF(J1066&lt;IF(D1066="Builder",MinEdgeBuilder,IF(D1066="Player",MinEdgePlayer,MinEdgeSingle)),0,ROUND(MIN(IF(D1066="Single",KellySingle,KellyBuilder)*(StartBank+SUM(P$1:P1065))*J1066/(G1066-1),IF(D1066="Builder",CapBuilder,CapSingle)*Unit),2)))</f>
        <v/>
      </c>
      <c r="L1066" s="10" t="n"/>
      <c r="N1066" s="10" t="n"/>
      <c r="O1066" s="10">
        <f>IF(L1066="","",IF(M1066="Won",L1066*G1066,IF(M1066="Void",L1066,IF(M1066="Cash out",N(N1066),IF(M1066="Lost",0,"")))))</f>
        <v/>
      </c>
      <c r="P1066" s="10">
        <f>IF(OR(L1066="",M1066="",M1066="Pending"),"",O1066-L1066)</f>
        <v/>
      </c>
      <c r="Q1066" s="21" t="n"/>
      <c r="R1066" s="11">
        <f>IF(OR(G1066="",Q1066=""),"",G1066/Q1066-1)</f>
        <v/>
      </c>
      <c r="S1066" s="10">
        <f>IF(OR(L1066="",J1066=""),"",L1066*J1066)</f>
        <v/>
      </c>
      <c r="T1066" s="10">
        <f>IF(P1066="","",StartBank+SUM(P$2:P1066))</f>
        <v/>
      </c>
    </row>
    <row r="1067">
      <c r="A1067" s="22" t="n"/>
      <c r="G1067" s="21" t="n"/>
      <c r="H1067" s="11" t="n"/>
      <c r="I1067" s="21">
        <f>IF(OR(H1067="",H1067=0),"",1/H1067)</f>
        <v/>
      </c>
      <c r="J1067" s="11">
        <f>IF(OR(G1067="",H1067=""),"",H1067*G1067-1)</f>
        <v/>
      </c>
      <c r="K1067" s="10">
        <f>IF(OR(G1067="",H1067="",G1067&lt;=1),"",IF(J1067&lt;IF(D1067="Builder",MinEdgeBuilder,IF(D1067="Player",MinEdgePlayer,MinEdgeSingle)),0,ROUND(MIN(IF(D1067="Single",KellySingle,KellyBuilder)*(StartBank+SUM(P$1:P1066))*J1067/(G1067-1),IF(D1067="Builder",CapBuilder,CapSingle)*Unit),2)))</f>
        <v/>
      </c>
      <c r="L1067" s="10" t="n"/>
      <c r="N1067" s="10" t="n"/>
      <c r="O1067" s="10">
        <f>IF(L1067="","",IF(M1067="Won",L1067*G1067,IF(M1067="Void",L1067,IF(M1067="Cash out",N(N1067),IF(M1067="Lost",0,"")))))</f>
        <v/>
      </c>
      <c r="P1067" s="10">
        <f>IF(OR(L1067="",M1067="",M1067="Pending"),"",O1067-L1067)</f>
        <v/>
      </c>
      <c r="Q1067" s="21" t="n"/>
      <c r="R1067" s="11">
        <f>IF(OR(G1067="",Q1067=""),"",G1067/Q1067-1)</f>
        <v/>
      </c>
      <c r="S1067" s="10">
        <f>IF(OR(L1067="",J1067=""),"",L1067*J1067)</f>
        <v/>
      </c>
      <c r="T1067" s="10">
        <f>IF(P1067="","",StartBank+SUM(P$2:P1067))</f>
        <v/>
      </c>
    </row>
    <row r="1068">
      <c r="A1068" s="22" t="n"/>
      <c r="G1068" s="21" t="n"/>
      <c r="H1068" s="11" t="n"/>
      <c r="I1068" s="21">
        <f>IF(OR(H1068="",H1068=0),"",1/H1068)</f>
        <v/>
      </c>
      <c r="J1068" s="11">
        <f>IF(OR(G1068="",H1068=""),"",H1068*G1068-1)</f>
        <v/>
      </c>
      <c r="K1068" s="10">
        <f>IF(OR(G1068="",H1068="",G1068&lt;=1),"",IF(J1068&lt;IF(D1068="Builder",MinEdgeBuilder,IF(D1068="Player",MinEdgePlayer,MinEdgeSingle)),0,ROUND(MIN(IF(D1068="Single",KellySingle,KellyBuilder)*(StartBank+SUM(P$1:P1067))*J1068/(G1068-1),IF(D1068="Builder",CapBuilder,CapSingle)*Unit),2)))</f>
        <v/>
      </c>
      <c r="L1068" s="10" t="n"/>
      <c r="N1068" s="10" t="n"/>
      <c r="O1068" s="10">
        <f>IF(L1068="","",IF(M1068="Won",L1068*G1068,IF(M1068="Void",L1068,IF(M1068="Cash out",N(N1068),IF(M1068="Lost",0,"")))))</f>
        <v/>
      </c>
      <c r="P1068" s="10">
        <f>IF(OR(L1068="",M1068="",M1068="Pending"),"",O1068-L1068)</f>
        <v/>
      </c>
      <c r="Q1068" s="21" t="n"/>
      <c r="R1068" s="11">
        <f>IF(OR(G1068="",Q1068=""),"",G1068/Q1068-1)</f>
        <v/>
      </c>
      <c r="S1068" s="10">
        <f>IF(OR(L1068="",J1068=""),"",L1068*J1068)</f>
        <v/>
      </c>
      <c r="T1068" s="10">
        <f>IF(P1068="","",StartBank+SUM(P$2:P1068))</f>
        <v/>
      </c>
    </row>
    <row r="1069">
      <c r="A1069" s="22" t="n"/>
      <c r="G1069" s="21" t="n"/>
      <c r="H1069" s="11" t="n"/>
      <c r="I1069" s="21">
        <f>IF(OR(H1069="",H1069=0),"",1/H1069)</f>
        <v/>
      </c>
      <c r="J1069" s="11">
        <f>IF(OR(G1069="",H1069=""),"",H1069*G1069-1)</f>
        <v/>
      </c>
      <c r="K1069" s="10">
        <f>IF(OR(G1069="",H1069="",G1069&lt;=1),"",IF(J1069&lt;IF(D1069="Builder",MinEdgeBuilder,IF(D1069="Player",MinEdgePlayer,MinEdgeSingle)),0,ROUND(MIN(IF(D1069="Single",KellySingle,KellyBuilder)*(StartBank+SUM(P$1:P1068))*J1069/(G1069-1),IF(D1069="Builder",CapBuilder,CapSingle)*Unit),2)))</f>
        <v/>
      </c>
      <c r="L1069" s="10" t="n"/>
      <c r="N1069" s="10" t="n"/>
      <c r="O1069" s="10">
        <f>IF(L1069="","",IF(M1069="Won",L1069*G1069,IF(M1069="Void",L1069,IF(M1069="Cash out",N(N1069),IF(M1069="Lost",0,"")))))</f>
        <v/>
      </c>
      <c r="P1069" s="10">
        <f>IF(OR(L1069="",M1069="",M1069="Pending"),"",O1069-L1069)</f>
        <v/>
      </c>
      <c r="Q1069" s="21" t="n"/>
      <c r="R1069" s="11">
        <f>IF(OR(G1069="",Q1069=""),"",G1069/Q1069-1)</f>
        <v/>
      </c>
      <c r="S1069" s="10">
        <f>IF(OR(L1069="",J1069=""),"",L1069*J1069)</f>
        <v/>
      </c>
      <c r="T1069" s="10">
        <f>IF(P1069="","",StartBank+SUM(P$2:P1069))</f>
        <v/>
      </c>
    </row>
    <row r="1070">
      <c r="A1070" s="22" t="n"/>
      <c r="G1070" s="21" t="n"/>
      <c r="H1070" s="11" t="n"/>
      <c r="I1070" s="21">
        <f>IF(OR(H1070="",H1070=0),"",1/H1070)</f>
        <v/>
      </c>
      <c r="J1070" s="11">
        <f>IF(OR(G1070="",H1070=""),"",H1070*G1070-1)</f>
        <v/>
      </c>
      <c r="K1070" s="10">
        <f>IF(OR(G1070="",H1070="",G1070&lt;=1),"",IF(J1070&lt;IF(D1070="Builder",MinEdgeBuilder,IF(D1070="Player",MinEdgePlayer,MinEdgeSingle)),0,ROUND(MIN(IF(D1070="Single",KellySingle,KellyBuilder)*(StartBank+SUM(P$1:P1069))*J1070/(G1070-1),IF(D1070="Builder",CapBuilder,CapSingle)*Unit),2)))</f>
        <v/>
      </c>
      <c r="L1070" s="10" t="n"/>
      <c r="N1070" s="10" t="n"/>
      <c r="O1070" s="10">
        <f>IF(L1070="","",IF(M1070="Won",L1070*G1070,IF(M1070="Void",L1070,IF(M1070="Cash out",N(N1070),IF(M1070="Lost",0,"")))))</f>
        <v/>
      </c>
      <c r="P1070" s="10">
        <f>IF(OR(L1070="",M1070="",M1070="Pending"),"",O1070-L1070)</f>
        <v/>
      </c>
      <c r="Q1070" s="21" t="n"/>
      <c r="R1070" s="11">
        <f>IF(OR(G1070="",Q1070=""),"",G1070/Q1070-1)</f>
        <v/>
      </c>
      <c r="S1070" s="10">
        <f>IF(OR(L1070="",J1070=""),"",L1070*J1070)</f>
        <v/>
      </c>
      <c r="T1070" s="10">
        <f>IF(P1070="","",StartBank+SUM(P$2:P1070))</f>
        <v/>
      </c>
    </row>
    <row r="1071">
      <c r="A1071" s="22" t="n"/>
      <c r="G1071" s="21" t="n"/>
      <c r="H1071" s="11" t="n"/>
      <c r="I1071" s="21">
        <f>IF(OR(H1071="",H1071=0),"",1/H1071)</f>
        <v/>
      </c>
      <c r="J1071" s="11">
        <f>IF(OR(G1071="",H1071=""),"",H1071*G1071-1)</f>
        <v/>
      </c>
      <c r="K1071" s="10">
        <f>IF(OR(G1071="",H1071="",G1071&lt;=1),"",IF(J1071&lt;IF(D1071="Builder",MinEdgeBuilder,IF(D1071="Player",MinEdgePlayer,MinEdgeSingle)),0,ROUND(MIN(IF(D1071="Single",KellySingle,KellyBuilder)*(StartBank+SUM(P$1:P1070))*J1071/(G1071-1),IF(D1071="Builder",CapBuilder,CapSingle)*Unit),2)))</f>
        <v/>
      </c>
      <c r="L1071" s="10" t="n"/>
      <c r="N1071" s="10" t="n"/>
      <c r="O1071" s="10">
        <f>IF(L1071="","",IF(M1071="Won",L1071*G1071,IF(M1071="Void",L1071,IF(M1071="Cash out",N(N1071),IF(M1071="Lost",0,"")))))</f>
        <v/>
      </c>
      <c r="P1071" s="10">
        <f>IF(OR(L1071="",M1071="",M1071="Pending"),"",O1071-L1071)</f>
        <v/>
      </c>
      <c r="Q1071" s="21" t="n"/>
      <c r="R1071" s="11">
        <f>IF(OR(G1071="",Q1071=""),"",G1071/Q1071-1)</f>
        <v/>
      </c>
      <c r="S1071" s="10">
        <f>IF(OR(L1071="",J1071=""),"",L1071*J1071)</f>
        <v/>
      </c>
      <c r="T1071" s="10">
        <f>IF(P1071="","",StartBank+SUM(P$2:P1071))</f>
        <v/>
      </c>
    </row>
    <row r="1072">
      <c r="A1072" s="22" t="n"/>
      <c r="G1072" s="21" t="n"/>
      <c r="H1072" s="11" t="n"/>
      <c r="I1072" s="21">
        <f>IF(OR(H1072="",H1072=0),"",1/H1072)</f>
        <v/>
      </c>
      <c r="J1072" s="11">
        <f>IF(OR(G1072="",H1072=""),"",H1072*G1072-1)</f>
        <v/>
      </c>
      <c r="K1072" s="10">
        <f>IF(OR(G1072="",H1072="",G1072&lt;=1),"",IF(J1072&lt;IF(D1072="Builder",MinEdgeBuilder,IF(D1072="Player",MinEdgePlayer,MinEdgeSingle)),0,ROUND(MIN(IF(D1072="Single",KellySingle,KellyBuilder)*(StartBank+SUM(P$1:P1071))*J1072/(G1072-1),IF(D1072="Builder",CapBuilder,CapSingle)*Unit),2)))</f>
        <v/>
      </c>
      <c r="L1072" s="10" t="n"/>
      <c r="N1072" s="10" t="n"/>
      <c r="O1072" s="10">
        <f>IF(L1072="","",IF(M1072="Won",L1072*G1072,IF(M1072="Void",L1072,IF(M1072="Cash out",N(N1072),IF(M1072="Lost",0,"")))))</f>
        <v/>
      </c>
      <c r="P1072" s="10">
        <f>IF(OR(L1072="",M1072="",M1072="Pending"),"",O1072-L1072)</f>
        <v/>
      </c>
      <c r="Q1072" s="21" t="n"/>
      <c r="R1072" s="11">
        <f>IF(OR(G1072="",Q1072=""),"",G1072/Q1072-1)</f>
        <v/>
      </c>
      <c r="S1072" s="10">
        <f>IF(OR(L1072="",J1072=""),"",L1072*J1072)</f>
        <v/>
      </c>
      <c r="T1072" s="10">
        <f>IF(P1072="","",StartBank+SUM(P$2:P1072))</f>
        <v/>
      </c>
    </row>
    <row r="1073">
      <c r="A1073" s="22" t="n"/>
      <c r="G1073" s="21" t="n"/>
      <c r="H1073" s="11" t="n"/>
      <c r="I1073" s="21">
        <f>IF(OR(H1073="",H1073=0),"",1/H1073)</f>
        <v/>
      </c>
      <c r="J1073" s="11">
        <f>IF(OR(G1073="",H1073=""),"",H1073*G1073-1)</f>
        <v/>
      </c>
      <c r="K1073" s="10">
        <f>IF(OR(G1073="",H1073="",G1073&lt;=1),"",IF(J1073&lt;IF(D1073="Builder",MinEdgeBuilder,IF(D1073="Player",MinEdgePlayer,MinEdgeSingle)),0,ROUND(MIN(IF(D1073="Single",KellySingle,KellyBuilder)*(StartBank+SUM(P$1:P1072))*J1073/(G1073-1),IF(D1073="Builder",CapBuilder,CapSingle)*Unit),2)))</f>
        <v/>
      </c>
      <c r="L1073" s="10" t="n"/>
      <c r="N1073" s="10" t="n"/>
      <c r="O1073" s="10">
        <f>IF(L1073="","",IF(M1073="Won",L1073*G1073,IF(M1073="Void",L1073,IF(M1073="Cash out",N(N1073),IF(M1073="Lost",0,"")))))</f>
        <v/>
      </c>
      <c r="P1073" s="10">
        <f>IF(OR(L1073="",M1073="",M1073="Pending"),"",O1073-L1073)</f>
        <v/>
      </c>
      <c r="Q1073" s="21" t="n"/>
      <c r="R1073" s="11">
        <f>IF(OR(G1073="",Q1073=""),"",G1073/Q1073-1)</f>
        <v/>
      </c>
      <c r="S1073" s="10">
        <f>IF(OR(L1073="",J1073=""),"",L1073*J1073)</f>
        <v/>
      </c>
      <c r="T1073" s="10">
        <f>IF(P1073="","",StartBank+SUM(P$2:P1073))</f>
        <v/>
      </c>
    </row>
    <row r="1074">
      <c r="A1074" s="22" t="n"/>
      <c r="G1074" s="21" t="n"/>
      <c r="H1074" s="11" t="n"/>
      <c r="I1074" s="21">
        <f>IF(OR(H1074="",H1074=0),"",1/H1074)</f>
        <v/>
      </c>
      <c r="J1074" s="11">
        <f>IF(OR(G1074="",H1074=""),"",H1074*G1074-1)</f>
        <v/>
      </c>
      <c r="K1074" s="10">
        <f>IF(OR(G1074="",H1074="",G1074&lt;=1),"",IF(J1074&lt;IF(D1074="Builder",MinEdgeBuilder,IF(D1074="Player",MinEdgePlayer,MinEdgeSingle)),0,ROUND(MIN(IF(D1074="Single",KellySingle,KellyBuilder)*(StartBank+SUM(P$1:P1073))*J1074/(G1074-1),IF(D1074="Builder",CapBuilder,CapSingle)*Unit),2)))</f>
        <v/>
      </c>
      <c r="L1074" s="10" t="n"/>
      <c r="N1074" s="10" t="n"/>
      <c r="O1074" s="10">
        <f>IF(L1074="","",IF(M1074="Won",L1074*G1074,IF(M1074="Void",L1074,IF(M1074="Cash out",N(N1074),IF(M1074="Lost",0,"")))))</f>
        <v/>
      </c>
      <c r="P1074" s="10">
        <f>IF(OR(L1074="",M1074="",M1074="Pending"),"",O1074-L1074)</f>
        <v/>
      </c>
      <c r="Q1074" s="21" t="n"/>
      <c r="R1074" s="11">
        <f>IF(OR(G1074="",Q1074=""),"",G1074/Q1074-1)</f>
        <v/>
      </c>
      <c r="S1074" s="10">
        <f>IF(OR(L1074="",J1074=""),"",L1074*J1074)</f>
        <v/>
      </c>
      <c r="T1074" s="10">
        <f>IF(P1074="","",StartBank+SUM(P$2:P1074))</f>
        <v/>
      </c>
    </row>
    <row r="1075">
      <c r="A1075" s="22" t="n"/>
      <c r="G1075" s="21" t="n"/>
      <c r="H1075" s="11" t="n"/>
      <c r="I1075" s="21">
        <f>IF(OR(H1075="",H1075=0),"",1/H1075)</f>
        <v/>
      </c>
      <c r="J1075" s="11">
        <f>IF(OR(G1075="",H1075=""),"",H1075*G1075-1)</f>
        <v/>
      </c>
      <c r="K1075" s="10">
        <f>IF(OR(G1075="",H1075="",G1075&lt;=1),"",IF(J1075&lt;IF(D1075="Builder",MinEdgeBuilder,IF(D1075="Player",MinEdgePlayer,MinEdgeSingle)),0,ROUND(MIN(IF(D1075="Single",KellySingle,KellyBuilder)*(StartBank+SUM(P$1:P1074))*J1075/(G1075-1),IF(D1075="Builder",CapBuilder,CapSingle)*Unit),2)))</f>
        <v/>
      </c>
      <c r="L1075" s="10" t="n"/>
      <c r="N1075" s="10" t="n"/>
      <c r="O1075" s="10">
        <f>IF(L1075="","",IF(M1075="Won",L1075*G1075,IF(M1075="Void",L1075,IF(M1075="Cash out",N(N1075),IF(M1075="Lost",0,"")))))</f>
        <v/>
      </c>
      <c r="P1075" s="10">
        <f>IF(OR(L1075="",M1075="",M1075="Pending"),"",O1075-L1075)</f>
        <v/>
      </c>
      <c r="Q1075" s="21" t="n"/>
      <c r="R1075" s="11">
        <f>IF(OR(G1075="",Q1075=""),"",G1075/Q1075-1)</f>
        <v/>
      </c>
      <c r="S1075" s="10">
        <f>IF(OR(L1075="",J1075=""),"",L1075*J1075)</f>
        <v/>
      </c>
      <c r="T1075" s="10">
        <f>IF(P1075="","",StartBank+SUM(P$2:P1075))</f>
        <v/>
      </c>
    </row>
    <row r="1076">
      <c r="A1076" s="22" t="n"/>
      <c r="G1076" s="21" t="n"/>
      <c r="H1076" s="11" t="n"/>
      <c r="I1076" s="21">
        <f>IF(OR(H1076="",H1076=0),"",1/H1076)</f>
        <v/>
      </c>
      <c r="J1076" s="11">
        <f>IF(OR(G1076="",H1076=""),"",H1076*G1076-1)</f>
        <v/>
      </c>
      <c r="K1076" s="10">
        <f>IF(OR(G1076="",H1076="",G1076&lt;=1),"",IF(J1076&lt;IF(D1076="Builder",MinEdgeBuilder,IF(D1076="Player",MinEdgePlayer,MinEdgeSingle)),0,ROUND(MIN(IF(D1076="Single",KellySingle,KellyBuilder)*(StartBank+SUM(P$1:P1075))*J1076/(G1076-1),IF(D1076="Builder",CapBuilder,CapSingle)*Unit),2)))</f>
        <v/>
      </c>
      <c r="L1076" s="10" t="n"/>
      <c r="N1076" s="10" t="n"/>
      <c r="O1076" s="10">
        <f>IF(L1076="","",IF(M1076="Won",L1076*G1076,IF(M1076="Void",L1076,IF(M1076="Cash out",N(N1076),IF(M1076="Lost",0,"")))))</f>
        <v/>
      </c>
      <c r="P1076" s="10">
        <f>IF(OR(L1076="",M1076="",M1076="Pending"),"",O1076-L1076)</f>
        <v/>
      </c>
      <c r="Q1076" s="21" t="n"/>
      <c r="R1076" s="11">
        <f>IF(OR(G1076="",Q1076=""),"",G1076/Q1076-1)</f>
        <v/>
      </c>
      <c r="S1076" s="10">
        <f>IF(OR(L1076="",J1076=""),"",L1076*J1076)</f>
        <v/>
      </c>
      <c r="T1076" s="10">
        <f>IF(P1076="","",StartBank+SUM(P$2:P1076))</f>
        <v/>
      </c>
    </row>
    <row r="1077">
      <c r="A1077" s="22" t="n"/>
      <c r="G1077" s="21" t="n"/>
      <c r="H1077" s="11" t="n"/>
      <c r="I1077" s="21">
        <f>IF(OR(H1077="",H1077=0),"",1/H1077)</f>
        <v/>
      </c>
      <c r="J1077" s="11">
        <f>IF(OR(G1077="",H1077=""),"",H1077*G1077-1)</f>
        <v/>
      </c>
      <c r="K1077" s="10">
        <f>IF(OR(G1077="",H1077="",G1077&lt;=1),"",IF(J1077&lt;IF(D1077="Builder",MinEdgeBuilder,IF(D1077="Player",MinEdgePlayer,MinEdgeSingle)),0,ROUND(MIN(IF(D1077="Single",KellySingle,KellyBuilder)*(StartBank+SUM(P$1:P1076))*J1077/(G1077-1),IF(D1077="Builder",CapBuilder,CapSingle)*Unit),2)))</f>
        <v/>
      </c>
      <c r="L1077" s="10" t="n"/>
      <c r="N1077" s="10" t="n"/>
      <c r="O1077" s="10">
        <f>IF(L1077="","",IF(M1077="Won",L1077*G1077,IF(M1077="Void",L1077,IF(M1077="Cash out",N(N1077),IF(M1077="Lost",0,"")))))</f>
        <v/>
      </c>
      <c r="P1077" s="10">
        <f>IF(OR(L1077="",M1077="",M1077="Pending"),"",O1077-L1077)</f>
        <v/>
      </c>
      <c r="Q1077" s="21" t="n"/>
      <c r="R1077" s="11">
        <f>IF(OR(G1077="",Q1077=""),"",G1077/Q1077-1)</f>
        <v/>
      </c>
      <c r="S1077" s="10">
        <f>IF(OR(L1077="",J1077=""),"",L1077*J1077)</f>
        <v/>
      </c>
      <c r="T1077" s="10">
        <f>IF(P1077="","",StartBank+SUM(P$2:P1077))</f>
        <v/>
      </c>
    </row>
    <row r="1078">
      <c r="A1078" s="22" t="n"/>
      <c r="G1078" s="21" t="n"/>
      <c r="H1078" s="11" t="n"/>
      <c r="I1078" s="21">
        <f>IF(OR(H1078="",H1078=0),"",1/H1078)</f>
        <v/>
      </c>
      <c r="J1078" s="11">
        <f>IF(OR(G1078="",H1078=""),"",H1078*G1078-1)</f>
        <v/>
      </c>
      <c r="K1078" s="10">
        <f>IF(OR(G1078="",H1078="",G1078&lt;=1),"",IF(J1078&lt;IF(D1078="Builder",MinEdgeBuilder,IF(D1078="Player",MinEdgePlayer,MinEdgeSingle)),0,ROUND(MIN(IF(D1078="Single",KellySingle,KellyBuilder)*(StartBank+SUM(P$1:P1077))*J1078/(G1078-1),IF(D1078="Builder",CapBuilder,CapSingle)*Unit),2)))</f>
        <v/>
      </c>
      <c r="L1078" s="10" t="n"/>
      <c r="N1078" s="10" t="n"/>
      <c r="O1078" s="10">
        <f>IF(L1078="","",IF(M1078="Won",L1078*G1078,IF(M1078="Void",L1078,IF(M1078="Cash out",N(N1078),IF(M1078="Lost",0,"")))))</f>
        <v/>
      </c>
      <c r="P1078" s="10">
        <f>IF(OR(L1078="",M1078="",M1078="Pending"),"",O1078-L1078)</f>
        <v/>
      </c>
      <c r="Q1078" s="21" t="n"/>
      <c r="R1078" s="11">
        <f>IF(OR(G1078="",Q1078=""),"",G1078/Q1078-1)</f>
        <v/>
      </c>
      <c r="S1078" s="10">
        <f>IF(OR(L1078="",J1078=""),"",L1078*J1078)</f>
        <v/>
      </c>
      <c r="T1078" s="10">
        <f>IF(P1078="","",StartBank+SUM(P$2:P1078))</f>
        <v/>
      </c>
    </row>
    <row r="1079">
      <c r="A1079" s="22" t="n"/>
      <c r="G1079" s="21" t="n"/>
      <c r="H1079" s="11" t="n"/>
      <c r="I1079" s="21">
        <f>IF(OR(H1079="",H1079=0),"",1/H1079)</f>
        <v/>
      </c>
      <c r="J1079" s="11">
        <f>IF(OR(G1079="",H1079=""),"",H1079*G1079-1)</f>
        <v/>
      </c>
      <c r="K1079" s="10">
        <f>IF(OR(G1079="",H1079="",G1079&lt;=1),"",IF(J1079&lt;IF(D1079="Builder",MinEdgeBuilder,IF(D1079="Player",MinEdgePlayer,MinEdgeSingle)),0,ROUND(MIN(IF(D1079="Single",KellySingle,KellyBuilder)*(StartBank+SUM(P$1:P1078))*J1079/(G1079-1),IF(D1079="Builder",CapBuilder,CapSingle)*Unit),2)))</f>
        <v/>
      </c>
      <c r="L1079" s="10" t="n"/>
      <c r="N1079" s="10" t="n"/>
      <c r="O1079" s="10">
        <f>IF(L1079="","",IF(M1079="Won",L1079*G1079,IF(M1079="Void",L1079,IF(M1079="Cash out",N(N1079),IF(M1079="Lost",0,"")))))</f>
        <v/>
      </c>
      <c r="P1079" s="10">
        <f>IF(OR(L1079="",M1079="",M1079="Pending"),"",O1079-L1079)</f>
        <v/>
      </c>
      <c r="Q1079" s="21" t="n"/>
      <c r="R1079" s="11">
        <f>IF(OR(G1079="",Q1079=""),"",G1079/Q1079-1)</f>
        <v/>
      </c>
      <c r="S1079" s="10">
        <f>IF(OR(L1079="",J1079=""),"",L1079*J1079)</f>
        <v/>
      </c>
      <c r="T1079" s="10">
        <f>IF(P1079="","",StartBank+SUM(P$2:P1079))</f>
        <v/>
      </c>
    </row>
    <row r="1080">
      <c r="A1080" s="22" t="n"/>
      <c r="G1080" s="21" t="n"/>
      <c r="H1080" s="11" t="n"/>
      <c r="I1080" s="21">
        <f>IF(OR(H1080="",H1080=0),"",1/H1080)</f>
        <v/>
      </c>
      <c r="J1080" s="11">
        <f>IF(OR(G1080="",H1080=""),"",H1080*G1080-1)</f>
        <v/>
      </c>
      <c r="K1080" s="10">
        <f>IF(OR(G1080="",H1080="",G1080&lt;=1),"",IF(J1080&lt;IF(D1080="Builder",MinEdgeBuilder,IF(D1080="Player",MinEdgePlayer,MinEdgeSingle)),0,ROUND(MIN(IF(D1080="Single",KellySingle,KellyBuilder)*(StartBank+SUM(P$1:P1079))*J1080/(G1080-1),IF(D1080="Builder",CapBuilder,CapSingle)*Unit),2)))</f>
        <v/>
      </c>
      <c r="L1080" s="10" t="n"/>
      <c r="N1080" s="10" t="n"/>
      <c r="O1080" s="10">
        <f>IF(L1080="","",IF(M1080="Won",L1080*G1080,IF(M1080="Void",L1080,IF(M1080="Cash out",N(N1080),IF(M1080="Lost",0,"")))))</f>
        <v/>
      </c>
      <c r="P1080" s="10">
        <f>IF(OR(L1080="",M1080="",M1080="Pending"),"",O1080-L1080)</f>
        <v/>
      </c>
      <c r="Q1080" s="21" t="n"/>
      <c r="R1080" s="11">
        <f>IF(OR(G1080="",Q1080=""),"",G1080/Q1080-1)</f>
        <v/>
      </c>
      <c r="S1080" s="10">
        <f>IF(OR(L1080="",J1080=""),"",L1080*J1080)</f>
        <v/>
      </c>
      <c r="T1080" s="10">
        <f>IF(P1080="","",StartBank+SUM(P$2:P1080))</f>
        <v/>
      </c>
    </row>
    <row r="1081">
      <c r="A1081" s="22" t="n"/>
      <c r="G1081" s="21" t="n"/>
      <c r="H1081" s="11" t="n"/>
      <c r="I1081" s="21">
        <f>IF(OR(H1081="",H1081=0),"",1/H1081)</f>
        <v/>
      </c>
      <c r="J1081" s="11">
        <f>IF(OR(G1081="",H1081=""),"",H1081*G1081-1)</f>
        <v/>
      </c>
      <c r="K1081" s="10">
        <f>IF(OR(G1081="",H1081="",G1081&lt;=1),"",IF(J1081&lt;IF(D1081="Builder",MinEdgeBuilder,IF(D1081="Player",MinEdgePlayer,MinEdgeSingle)),0,ROUND(MIN(IF(D1081="Single",KellySingle,KellyBuilder)*(StartBank+SUM(P$1:P1080))*J1081/(G1081-1),IF(D1081="Builder",CapBuilder,CapSingle)*Unit),2)))</f>
        <v/>
      </c>
      <c r="L1081" s="10" t="n"/>
      <c r="N1081" s="10" t="n"/>
      <c r="O1081" s="10">
        <f>IF(L1081="","",IF(M1081="Won",L1081*G1081,IF(M1081="Void",L1081,IF(M1081="Cash out",N(N1081),IF(M1081="Lost",0,"")))))</f>
        <v/>
      </c>
      <c r="P1081" s="10">
        <f>IF(OR(L1081="",M1081="",M1081="Pending"),"",O1081-L1081)</f>
        <v/>
      </c>
      <c r="Q1081" s="21" t="n"/>
      <c r="R1081" s="11">
        <f>IF(OR(G1081="",Q1081=""),"",G1081/Q1081-1)</f>
        <v/>
      </c>
      <c r="S1081" s="10">
        <f>IF(OR(L1081="",J1081=""),"",L1081*J1081)</f>
        <v/>
      </c>
      <c r="T1081" s="10">
        <f>IF(P1081="","",StartBank+SUM(P$2:P1081))</f>
        <v/>
      </c>
    </row>
    <row r="1082">
      <c r="A1082" s="22" t="n"/>
      <c r="G1082" s="21" t="n"/>
      <c r="H1082" s="11" t="n"/>
      <c r="I1082" s="21">
        <f>IF(OR(H1082="",H1082=0),"",1/H1082)</f>
        <v/>
      </c>
      <c r="J1082" s="11">
        <f>IF(OR(G1082="",H1082=""),"",H1082*G1082-1)</f>
        <v/>
      </c>
      <c r="K1082" s="10">
        <f>IF(OR(G1082="",H1082="",G1082&lt;=1),"",IF(J1082&lt;IF(D1082="Builder",MinEdgeBuilder,IF(D1082="Player",MinEdgePlayer,MinEdgeSingle)),0,ROUND(MIN(IF(D1082="Single",KellySingle,KellyBuilder)*(StartBank+SUM(P$1:P1081))*J1082/(G1082-1),IF(D1082="Builder",CapBuilder,CapSingle)*Unit),2)))</f>
        <v/>
      </c>
      <c r="L1082" s="10" t="n"/>
      <c r="N1082" s="10" t="n"/>
      <c r="O1082" s="10">
        <f>IF(L1082="","",IF(M1082="Won",L1082*G1082,IF(M1082="Void",L1082,IF(M1082="Cash out",N(N1082),IF(M1082="Lost",0,"")))))</f>
        <v/>
      </c>
      <c r="P1082" s="10">
        <f>IF(OR(L1082="",M1082="",M1082="Pending"),"",O1082-L1082)</f>
        <v/>
      </c>
      <c r="Q1082" s="21" t="n"/>
      <c r="R1082" s="11">
        <f>IF(OR(G1082="",Q1082=""),"",G1082/Q1082-1)</f>
        <v/>
      </c>
      <c r="S1082" s="10">
        <f>IF(OR(L1082="",J1082=""),"",L1082*J1082)</f>
        <v/>
      </c>
      <c r="T1082" s="10">
        <f>IF(P1082="","",StartBank+SUM(P$2:P1082))</f>
        <v/>
      </c>
    </row>
    <row r="1083">
      <c r="A1083" s="22" t="n"/>
      <c r="G1083" s="21" t="n"/>
      <c r="H1083" s="11" t="n"/>
      <c r="I1083" s="21">
        <f>IF(OR(H1083="",H1083=0),"",1/H1083)</f>
        <v/>
      </c>
      <c r="J1083" s="11">
        <f>IF(OR(G1083="",H1083=""),"",H1083*G1083-1)</f>
        <v/>
      </c>
      <c r="K1083" s="10">
        <f>IF(OR(G1083="",H1083="",G1083&lt;=1),"",IF(J1083&lt;IF(D1083="Builder",MinEdgeBuilder,IF(D1083="Player",MinEdgePlayer,MinEdgeSingle)),0,ROUND(MIN(IF(D1083="Single",KellySingle,KellyBuilder)*(StartBank+SUM(P$1:P1082))*J1083/(G1083-1),IF(D1083="Builder",CapBuilder,CapSingle)*Unit),2)))</f>
        <v/>
      </c>
      <c r="L1083" s="10" t="n"/>
      <c r="N1083" s="10" t="n"/>
      <c r="O1083" s="10">
        <f>IF(L1083="","",IF(M1083="Won",L1083*G1083,IF(M1083="Void",L1083,IF(M1083="Cash out",N(N1083),IF(M1083="Lost",0,"")))))</f>
        <v/>
      </c>
      <c r="P1083" s="10">
        <f>IF(OR(L1083="",M1083="",M1083="Pending"),"",O1083-L1083)</f>
        <v/>
      </c>
      <c r="Q1083" s="21" t="n"/>
      <c r="R1083" s="11">
        <f>IF(OR(G1083="",Q1083=""),"",G1083/Q1083-1)</f>
        <v/>
      </c>
      <c r="S1083" s="10">
        <f>IF(OR(L1083="",J1083=""),"",L1083*J1083)</f>
        <v/>
      </c>
      <c r="T1083" s="10">
        <f>IF(P1083="","",StartBank+SUM(P$2:P1083))</f>
        <v/>
      </c>
    </row>
    <row r="1084">
      <c r="A1084" s="22" t="n"/>
      <c r="G1084" s="21" t="n"/>
      <c r="H1084" s="11" t="n"/>
      <c r="I1084" s="21">
        <f>IF(OR(H1084="",H1084=0),"",1/H1084)</f>
        <v/>
      </c>
      <c r="J1084" s="11">
        <f>IF(OR(G1084="",H1084=""),"",H1084*G1084-1)</f>
        <v/>
      </c>
      <c r="K1084" s="10">
        <f>IF(OR(G1084="",H1084="",G1084&lt;=1),"",IF(J1084&lt;IF(D1084="Builder",MinEdgeBuilder,IF(D1084="Player",MinEdgePlayer,MinEdgeSingle)),0,ROUND(MIN(IF(D1084="Single",KellySingle,KellyBuilder)*(StartBank+SUM(P$1:P1083))*J1084/(G1084-1),IF(D1084="Builder",CapBuilder,CapSingle)*Unit),2)))</f>
        <v/>
      </c>
      <c r="L1084" s="10" t="n"/>
      <c r="N1084" s="10" t="n"/>
      <c r="O1084" s="10">
        <f>IF(L1084="","",IF(M1084="Won",L1084*G1084,IF(M1084="Void",L1084,IF(M1084="Cash out",N(N1084),IF(M1084="Lost",0,"")))))</f>
        <v/>
      </c>
      <c r="P1084" s="10">
        <f>IF(OR(L1084="",M1084="",M1084="Pending"),"",O1084-L1084)</f>
        <v/>
      </c>
      <c r="Q1084" s="21" t="n"/>
      <c r="R1084" s="11">
        <f>IF(OR(G1084="",Q1084=""),"",G1084/Q1084-1)</f>
        <v/>
      </c>
      <c r="S1084" s="10">
        <f>IF(OR(L1084="",J1084=""),"",L1084*J1084)</f>
        <v/>
      </c>
      <c r="T1084" s="10">
        <f>IF(P1084="","",StartBank+SUM(P$2:P1084))</f>
        <v/>
      </c>
    </row>
    <row r="1085">
      <c r="A1085" s="22" t="n"/>
      <c r="G1085" s="21" t="n"/>
      <c r="H1085" s="11" t="n"/>
      <c r="I1085" s="21">
        <f>IF(OR(H1085="",H1085=0),"",1/H1085)</f>
        <v/>
      </c>
      <c r="J1085" s="11">
        <f>IF(OR(G1085="",H1085=""),"",H1085*G1085-1)</f>
        <v/>
      </c>
      <c r="K1085" s="10">
        <f>IF(OR(G1085="",H1085="",G1085&lt;=1),"",IF(J1085&lt;IF(D1085="Builder",MinEdgeBuilder,IF(D1085="Player",MinEdgePlayer,MinEdgeSingle)),0,ROUND(MIN(IF(D1085="Single",KellySingle,KellyBuilder)*(StartBank+SUM(P$1:P1084))*J1085/(G1085-1),IF(D1085="Builder",CapBuilder,CapSingle)*Unit),2)))</f>
        <v/>
      </c>
      <c r="L1085" s="10" t="n"/>
      <c r="N1085" s="10" t="n"/>
      <c r="O1085" s="10">
        <f>IF(L1085="","",IF(M1085="Won",L1085*G1085,IF(M1085="Void",L1085,IF(M1085="Cash out",N(N1085),IF(M1085="Lost",0,"")))))</f>
        <v/>
      </c>
      <c r="P1085" s="10">
        <f>IF(OR(L1085="",M1085="",M1085="Pending"),"",O1085-L1085)</f>
        <v/>
      </c>
      <c r="Q1085" s="21" t="n"/>
      <c r="R1085" s="11">
        <f>IF(OR(G1085="",Q1085=""),"",G1085/Q1085-1)</f>
        <v/>
      </c>
      <c r="S1085" s="10">
        <f>IF(OR(L1085="",J1085=""),"",L1085*J1085)</f>
        <v/>
      </c>
      <c r="T1085" s="10">
        <f>IF(P1085="","",StartBank+SUM(P$2:P1085))</f>
        <v/>
      </c>
    </row>
    <row r="1086">
      <c r="A1086" s="22" t="n"/>
      <c r="G1086" s="21" t="n"/>
      <c r="H1086" s="11" t="n"/>
      <c r="I1086" s="21">
        <f>IF(OR(H1086="",H1086=0),"",1/H1086)</f>
        <v/>
      </c>
      <c r="J1086" s="11">
        <f>IF(OR(G1086="",H1086=""),"",H1086*G1086-1)</f>
        <v/>
      </c>
      <c r="K1086" s="10">
        <f>IF(OR(G1086="",H1086="",G1086&lt;=1),"",IF(J1086&lt;IF(D1086="Builder",MinEdgeBuilder,IF(D1086="Player",MinEdgePlayer,MinEdgeSingle)),0,ROUND(MIN(IF(D1086="Single",KellySingle,KellyBuilder)*(StartBank+SUM(P$1:P1085))*J1086/(G1086-1),IF(D1086="Builder",CapBuilder,CapSingle)*Unit),2)))</f>
        <v/>
      </c>
      <c r="L1086" s="10" t="n"/>
      <c r="N1086" s="10" t="n"/>
      <c r="O1086" s="10">
        <f>IF(L1086="","",IF(M1086="Won",L1086*G1086,IF(M1086="Void",L1086,IF(M1086="Cash out",N(N1086),IF(M1086="Lost",0,"")))))</f>
        <v/>
      </c>
      <c r="P1086" s="10">
        <f>IF(OR(L1086="",M1086="",M1086="Pending"),"",O1086-L1086)</f>
        <v/>
      </c>
      <c r="Q1086" s="21" t="n"/>
      <c r="R1086" s="11">
        <f>IF(OR(G1086="",Q1086=""),"",G1086/Q1086-1)</f>
        <v/>
      </c>
      <c r="S1086" s="10">
        <f>IF(OR(L1086="",J1086=""),"",L1086*J1086)</f>
        <v/>
      </c>
      <c r="T1086" s="10">
        <f>IF(P1086="","",StartBank+SUM(P$2:P1086))</f>
        <v/>
      </c>
    </row>
    <row r="1087">
      <c r="A1087" s="22" t="n"/>
      <c r="G1087" s="21" t="n"/>
      <c r="H1087" s="11" t="n"/>
      <c r="I1087" s="21">
        <f>IF(OR(H1087="",H1087=0),"",1/H1087)</f>
        <v/>
      </c>
      <c r="J1087" s="11">
        <f>IF(OR(G1087="",H1087=""),"",H1087*G1087-1)</f>
        <v/>
      </c>
      <c r="K1087" s="10">
        <f>IF(OR(G1087="",H1087="",G1087&lt;=1),"",IF(J1087&lt;IF(D1087="Builder",MinEdgeBuilder,IF(D1087="Player",MinEdgePlayer,MinEdgeSingle)),0,ROUND(MIN(IF(D1087="Single",KellySingle,KellyBuilder)*(StartBank+SUM(P$1:P1086))*J1087/(G1087-1),IF(D1087="Builder",CapBuilder,CapSingle)*Unit),2)))</f>
        <v/>
      </c>
      <c r="L1087" s="10" t="n"/>
      <c r="N1087" s="10" t="n"/>
      <c r="O1087" s="10">
        <f>IF(L1087="","",IF(M1087="Won",L1087*G1087,IF(M1087="Void",L1087,IF(M1087="Cash out",N(N1087),IF(M1087="Lost",0,"")))))</f>
        <v/>
      </c>
      <c r="P1087" s="10">
        <f>IF(OR(L1087="",M1087="",M1087="Pending"),"",O1087-L1087)</f>
        <v/>
      </c>
      <c r="Q1087" s="21" t="n"/>
      <c r="R1087" s="11">
        <f>IF(OR(G1087="",Q1087=""),"",G1087/Q1087-1)</f>
        <v/>
      </c>
      <c r="S1087" s="10">
        <f>IF(OR(L1087="",J1087=""),"",L1087*J1087)</f>
        <v/>
      </c>
      <c r="T1087" s="10">
        <f>IF(P1087="","",StartBank+SUM(P$2:P1087))</f>
        <v/>
      </c>
    </row>
    <row r="1088">
      <c r="A1088" s="22" t="n"/>
      <c r="G1088" s="21" t="n"/>
      <c r="H1088" s="11" t="n"/>
      <c r="I1088" s="21">
        <f>IF(OR(H1088="",H1088=0),"",1/H1088)</f>
        <v/>
      </c>
      <c r="J1088" s="11">
        <f>IF(OR(G1088="",H1088=""),"",H1088*G1088-1)</f>
        <v/>
      </c>
      <c r="K1088" s="10">
        <f>IF(OR(G1088="",H1088="",G1088&lt;=1),"",IF(J1088&lt;IF(D1088="Builder",MinEdgeBuilder,IF(D1088="Player",MinEdgePlayer,MinEdgeSingle)),0,ROUND(MIN(IF(D1088="Single",KellySingle,KellyBuilder)*(StartBank+SUM(P$1:P1087))*J1088/(G1088-1),IF(D1088="Builder",CapBuilder,CapSingle)*Unit),2)))</f>
        <v/>
      </c>
      <c r="L1088" s="10" t="n"/>
      <c r="N1088" s="10" t="n"/>
      <c r="O1088" s="10">
        <f>IF(L1088="","",IF(M1088="Won",L1088*G1088,IF(M1088="Void",L1088,IF(M1088="Cash out",N(N1088),IF(M1088="Lost",0,"")))))</f>
        <v/>
      </c>
      <c r="P1088" s="10">
        <f>IF(OR(L1088="",M1088="",M1088="Pending"),"",O1088-L1088)</f>
        <v/>
      </c>
      <c r="Q1088" s="21" t="n"/>
      <c r="R1088" s="11">
        <f>IF(OR(G1088="",Q1088=""),"",G1088/Q1088-1)</f>
        <v/>
      </c>
      <c r="S1088" s="10">
        <f>IF(OR(L1088="",J1088=""),"",L1088*J1088)</f>
        <v/>
      </c>
      <c r="T1088" s="10">
        <f>IF(P1088="","",StartBank+SUM(P$2:P1088))</f>
        <v/>
      </c>
    </row>
    <row r="1089">
      <c r="A1089" s="22" t="n"/>
      <c r="G1089" s="21" t="n"/>
      <c r="H1089" s="11" t="n"/>
      <c r="I1089" s="21">
        <f>IF(OR(H1089="",H1089=0),"",1/H1089)</f>
        <v/>
      </c>
      <c r="J1089" s="11">
        <f>IF(OR(G1089="",H1089=""),"",H1089*G1089-1)</f>
        <v/>
      </c>
      <c r="K1089" s="10">
        <f>IF(OR(G1089="",H1089="",G1089&lt;=1),"",IF(J1089&lt;IF(D1089="Builder",MinEdgeBuilder,IF(D1089="Player",MinEdgePlayer,MinEdgeSingle)),0,ROUND(MIN(IF(D1089="Single",KellySingle,KellyBuilder)*(StartBank+SUM(P$1:P1088))*J1089/(G1089-1),IF(D1089="Builder",CapBuilder,CapSingle)*Unit),2)))</f>
        <v/>
      </c>
      <c r="L1089" s="10" t="n"/>
      <c r="N1089" s="10" t="n"/>
      <c r="O1089" s="10">
        <f>IF(L1089="","",IF(M1089="Won",L1089*G1089,IF(M1089="Void",L1089,IF(M1089="Cash out",N(N1089),IF(M1089="Lost",0,"")))))</f>
        <v/>
      </c>
      <c r="P1089" s="10">
        <f>IF(OR(L1089="",M1089="",M1089="Pending"),"",O1089-L1089)</f>
        <v/>
      </c>
      <c r="Q1089" s="21" t="n"/>
      <c r="R1089" s="11">
        <f>IF(OR(G1089="",Q1089=""),"",G1089/Q1089-1)</f>
        <v/>
      </c>
      <c r="S1089" s="10">
        <f>IF(OR(L1089="",J1089=""),"",L1089*J1089)</f>
        <v/>
      </c>
      <c r="T1089" s="10">
        <f>IF(P1089="","",StartBank+SUM(P$2:P1089))</f>
        <v/>
      </c>
    </row>
    <row r="1090">
      <c r="A1090" s="22" t="n"/>
      <c r="G1090" s="21" t="n"/>
      <c r="H1090" s="11" t="n"/>
      <c r="I1090" s="21">
        <f>IF(OR(H1090="",H1090=0),"",1/H1090)</f>
        <v/>
      </c>
      <c r="J1090" s="11">
        <f>IF(OR(G1090="",H1090=""),"",H1090*G1090-1)</f>
        <v/>
      </c>
      <c r="K1090" s="10">
        <f>IF(OR(G1090="",H1090="",G1090&lt;=1),"",IF(J1090&lt;IF(D1090="Builder",MinEdgeBuilder,IF(D1090="Player",MinEdgePlayer,MinEdgeSingle)),0,ROUND(MIN(IF(D1090="Single",KellySingle,KellyBuilder)*(StartBank+SUM(P$1:P1089))*J1090/(G1090-1),IF(D1090="Builder",CapBuilder,CapSingle)*Unit),2)))</f>
        <v/>
      </c>
      <c r="L1090" s="10" t="n"/>
      <c r="N1090" s="10" t="n"/>
      <c r="O1090" s="10">
        <f>IF(L1090="","",IF(M1090="Won",L1090*G1090,IF(M1090="Void",L1090,IF(M1090="Cash out",N(N1090),IF(M1090="Lost",0,"")))))</f>
        <v/>
      </c>
      <c r="P1090" s="10">
        <f>IF(OR(L1090="",M1090="",M1090="Pending"),"",O1090-L1090)</f>
        <v/>
      </c>
      <c r="Q1090" s="21" t="n"/>
      <c r="R1090" s="11">
        <f>IF(OR(G1090="",Q1090=""),"",G1090/Q1090-1)</f>
        <v/>
      </c>
      <c r="S1090" s="10">
        <f>IF(OR(L1090="",J1090=""),"",L1090*J1090)</f>
        <v/>
      </c>
      <c r="T1090" s="10">
        <f>IF(P1090="","",StartBank+SUM(P$2:P1090))</f>
        <v/>
      </c>
    </row>
    <row r="1091">
      <c r="A1091" s="22" t="n"/>
      <c r="G1091" s="21" t="n"/>
      <c r="H1091" s="11" t="n"/>
      <c r="I1091" s="21">
        <f>IF(OR(H1091="",H1091=0),"",1/H1091)</f>
        <v/>
      </c>
      <c r="J1091" s="11">
        <f>IF(OR(G1091="",H1091=""),"",H1091*G1091-1)</f>
        <v/>
      </c>
      <c r="K1091" s="10">
        <f>IF(OR(G1091="",H1091="",G1091&lt;=1),"",IF(J1091&lt;IF(D1091="Builder",MinEdgeBuilder,IF(D1091="Player",MinEdgePlayer,MinEdgeSingle)),0,ROUND(MIN(IF(D1091="Single",KellySingle,KellyBuilder)*(StartBank+SUM(P$1:P1090))*J1091/(G1091-1),IF(D1091="Builder",CapBuilder,CapSingle)*Unit),2)))</f>
        <v/>
      </c>
      <c r="L1091" s="10" t="n"/>
      <c r="N1091" s="10" t="n"/>
      <c r="O1091" s="10">
        <f>IF(L1091="","",IF(M1091="Won",L1091*G1091,IF(M1091="Void",L1091,IF(M1091="Cash out",N(N1091),IF(M1091="Lost",0,"")))))</f>
        <v/>
      </c>
      <c r="P1091" s="10">
        <f>IF(OR(L1091="",M1091="",M1091="Pending"),"",O1091-L1091)</f>
        <v/>
      </c>
      <c r="Q1091" s="21" t="n"/>
      <c r="R1091" s="11">
        <f>IF(OR(G1091="",Q1091=""),"",G1091/Q1091-1)</f>
        <v/>
      </c>
      <c r="S1091" s="10">
        <f>IF(OR(L1091="",J1091=""),"",L1091*J1091)</f>
        <v/>
      </c>
      <c r="T1091" s="10">
        <f>IF(P1091="","",StartBank+SUM(P$2:P1091))</f>
        <v/>
      </c>
    </row>
    <row r="1092">
      <c r="A1092" s="22" t="n"/>
      <c r="G1092" s="21" t="n"/>
      <c r="H1092" s="11" t="n"/>
      <c r="I1092" s="21">
        <f>IF(OR(H1092="",H1092=0),"",1/H1092)</f>
        <v/>
      </c>
      <c r="J1092" s="11">
        <f>IF(OR(G1092="",H1092=""),"",H1092*G1092-1)</f>
        <v/>
      </c>
      <c r="K1092" s="10">
        <f>IF(OR(G1092="",H1092="",G1092&lt;=1),"",IF(J1092&lt;IF(D1092="Builder",MinEdgeBuilder,IF(D1092="Player",MinEdgePlayer,MinEdgeSingle)),0,ROUND(MIN(IF(D1092="Single",KellySingle,KellyBuilder)*(StartBank+SUM(P$1:P1091))*J1092/(G1092-1),IF(D1092="Builder",CapBuilder,CapSingle)*Unit),2)))</f>
        <v/>
      </c>
      <c r="L1092" s="10" t="n"/>
      <c r="N1092" s="10" t="n"/>
      <c r="O1092" s="10">
        <f>IF(L1092="","",IF(M1092="Won",L1092*G1092,IF(M1092="Void",L1092,IF(M1092="Cash out",N(N1092),IF(M1092="Lost",0,"")))))</f>
        <v/>
      </c>
      <c r="P1092" s="10">
        <f>IF(OR(L1092="",M1092="",M1092="Pending"),"",O1092-L1092)</f>
        <v/>
      </c>
      <c r="Q1092" s="21" t="n"/>
      <c r="R1092" s="11">
        <f>IF(OR(G1092="",Q1092=""),"",G1092/Q1092-1)</f>
        <v/>
      </c>
      <c r="S1092" s="10">
        <f>IF(OR(L1092="",J1092=""),"",L1092*J1092)</f>
        <v/>
      </c>
      <c r="T1092" s="10">
        <f>IF(P1092="","",StartBank+SUM(P$2:P1092))</f>
        <v/>
      </c>
    </row>
    <row r="1093">
      <c r="A1093" s="22" t="n"/>
      <c r="G1093" s="21" t="n"/>
      <c r="H1093" s="11" t="n"/>
      <c r="I1093" s="21">
        <f>IF(OR(H1093="",H1093=0),"",1/H1093)</f>
        <v/>
      </c>
      <c r="J1093" s="11">
        <f>IF(OR(G1093="",H1093=""),"",H1093*G1093-1)</f>
        <v/>
      </c>
      <c r="K1093" s="10">
        <f>IF(OR(G1093="",H1093="",G1093&lt;=1),"",IF(J1093&lt;IF(D1093="Builder",MinEdgeBuilder,IF(D1093="Player",MinEdgePlayer,MinEdgeSingle)),0,ROUND(MIN(IF(D1093="Single",KellySingle,KellyBuilder)*(StartBank+SUM(P$1:P1092))*J1093/(G1093-1),IF(D1093="Builder",CapBuilder,CapSingle)*Unit),2)))</f>
        <v/>
      </c>
      <c r="L1093" s="10" t="n"/>
      <c r="N1093" s="10" t="n"/>
      <c r="O1093" s="10">
        <f>IF(L1093="","",IF(M1093="Won",L1093*G1093,IF(M1093="Void",L1093,IF(M1093="Cash out",N(N1093),IF(M1093="Lost",0,"")))))</f>
        <v/>
      </c>
      <c r="P1093" s="10">
        <f>IF(OR(L1093="",M1093="",M1093="Pending"),"",O1093-L1093)</f>
        <v/>
      </c>
      <c r="Q1093" s="21" t="n"/>
      <c r="R1093" s="11">
        <f>IF(OR(G1093="",Q1093=""),"",G1093/Q1093-1)</f>
        <v/>
      </c>
      <c r="S1093" s="10">
        <f>IF(OR(L1093="",J1093=""),"",L1093*J1093)</f>
        <v/>
      </c>
      <c r="T1093" s="10">
        <f>IF(P1093="","",StartBank+SUM(P$2:P1093))</f>
        <v/>
      </c>
    </row>
    <row r="1094">
      <c r="A1094" s="22" t="n"/>
      <c r="G1094" s="21" t="n"/>
      <c r="H1094" s="11" t="n"/>
      <c r="I1094" s="21">
        <f>IF(OR(H1094="",H1094=0),"",1/H1094)</f>
        <v/>
      </c>
      <c r="J1094" s="11">
        <f>IF(OR(G1094="",H1094=""),"",H1094*G1094-1)</f>
        <v/>
      </c>
      <c r="K1094" s="10">
        <f>IF(OR(G1094="",H1094="",G1094&lt;=1),"",IF(J1094&lt;IF(D1094="Builder",MinEdgeBuilder,IF(D1094="Player",MinEdgePlayer,MinEdgeSingle)),0,ROUND(MIN(IF(D1094="Single",KellySingle,KellyBuilder)*(StartBank+SUM(P$1:P1093))*J1094/(G1094-1),IF(D1094="Builder",CapBuilder,CapSingle)*Unit),2)))</f>
        <v/>
      </c>
      <c r="L1094" s="10" t="n"/>
      <c r="N1094" s="10" t="n"/>
      <c r="O1094" s="10">
        <f>IF(L1094="","",IF(M1094="Won",L1094*G1094,IF(M1094="Void",L1094,IF(M1094="Cash out",N(N1094),IF(M1094="Lost",0,"")))))</f>
        <v/>
      </c>
      <c r="P1094" s="10">
        <f>IF(OR(L1094="",M1094="",M1094="Pending"),"",O1094-L1094)</f>
        <v/>
      </c>
      <c r="Q1094" s="21" t="n"/>
      <c r="R1094" s="11">
        <f>IF(OR(G1094="",Q1094=""),"",G1094/Q1094-1)</f>
        <v/>
      </c>
      <c r="S1094" s="10">
        <f>IF(OR(L1094="",J1094=""),"",L1094*J1094)</f>
        <v/>
      </c>
      <c r="T1094" s="10">
        <f>IF(P1094="","",StartBank+SUM(P$2:P1094))</f>
        <v/>
      </c>
    </row>
    <row r="1095">
      <c r="A1095" s="22" t="n"/>
      <c r="G1095" s="21" t="n"/>
      <c r="H1095" s="11" t="n"/>
      <c r="I1095" s="21">
        <f>IF(OR(H1095="",H1095=0),"",1/H1095)</f>
        <v/>
      </c>
      <c r="J1095" s="11">
        <f>IF(OR(G1095="",H1095=""),"",H1095*G1095-1)</f>
        <v/>
      </c>
      <c r="K1095" s="10">
        <f>IF(OR(G1095="",H1095="",G1095&lt;=1),"",IF(J1095&lt;IF(D1095="Builder",MinEdgeBuilder,IF(D1095="Player",MinEdgePlayer,MinEdgeSingle)),0,ROUND(MIN(IF(D1095="Single",KellySingle,KellyBuilder)*(StartBank+SUM(P$1:P1094))*J1095/(G1095-1),IF(D1095="Builder",CapBuilder,CapSingle)*Unit),2)))</f>
        <v/>
      </c>
      <c r="L1095" s="10" t="n"/>
      <c r="N1095" s="10" t="n"/>
      <c r="O1095" s="10">
        <f>IF(L1095="","",IF(M1095="Won",L1095*G1095,IF(M1095="Void",L1095,IF(M1095="Cash out",N(N1095),IF(M1095="Lost",0,"")))))</f>
        <v/>
      </c>
      <c r="P1095" s="10">
        <f>IF(OR(L1095="",M1095="",M1095="Pending"),"",O1095-L1095)</f>
        <v/>
      </c>
      <c r="Q1095" s="21" t="n"/>
      <c r="R1095" s="11">
        <f>IF(OR(G1095="",Q1095=""),"",G1095/Q1095-1)</f>
        <v/>
      </c>
      <c r="S1095" s="10">
        <f>IF(OR(L1095="",J1095=""),"",L1095*J1095)</f>
        <v/>
      </c>
      <c r="T1095" s="10">
        <f>IF(P1095="","",StartBank+SUM(P$2:P1095))</f>
        <v/>
      </c>
    </row>
    <row r="1096">
      <c r="A1096" s="22" t="n"/>
      <c r="G1096" s="21" t="n"/>
      <c r="H1096" s="11" t="n"/>
      <c r="I1096" s="21">
        <f>IF(OR(H1096="",H1096=0),"",1/H1096)</f>
        <v/>
      </c>
      <c r="J1096" s="11">
        <f>IF(OR(G1096="",H1096=""),"",H1096*G1096-1)</f>
        <v/>
      </c>
      <c r="K1096" s="10">
        <f>IF(OR(G1096="",H1096="",G1096&lt;=1),"",IF(J1096&lt;IF(D1096="Builder",MinEdgeBuilder,IF(D1096="Player",MinEdgePlayer,MinEdgeSingle)),0,ROUND(MIN(IF(D1096="Single",KellySingle,KellyBuilder)*(StartBank+SUM(P$1:P1095))*J1096/(G1096-1),IF(D1096="Builder",CapBuilder,CapSingle)*Unit),2)))</f>
        <v/>
      </c>
      <c r="L1096" s="10" t="n"/>
      <c r="N1096" s="10" t="n"/>
      <c r="O1096" s="10">
        <f>IF(L1096="","",IF(M1096="Won",L1096*G1096,IF(M1096="Void",L1096,IF(M1096="Cash out",N(N1096),IF(M1096="Lost",0,"")))))</f>
        <v/>
      </c>
      <c r="P1096" s="10">
        <f>IF(OR(L1096="",M1096="",M1096="Pending"),"",O1096-L1096)</f>
        <v/>
      </c>
      <c r="Q1096" s="21" t="n"/>
      <c r="R1096" s="11">
        <f>IF(OR(G1096="",Q1096=""),"",G1096/Q1096-1)</f>
        <v/>
      </c>
      <c r="S1096" s="10">
        <f>IF(OR(L1096="",J1096=""),"",L1096*J1096)</f>
        <v/>
      </c>
      <c r="T1096" s="10">
        <f>IF(P1096="","",StartBank+SUM(P$2:P1096))</f>
        <v/>
      </c>
    </row>
    <row r="1097">
      <c r="A1097" s="22" t="n"/>
      <c r="G1097" s="21" t="n"/>
      <c r="H1097" s="11" t="n"/>
      <c r="I1097" s="21">
        <f>IF(OR(H1097="",H1097=0),"",1/H1097)</f>
        <v/>
      </c>
      <c r="J1097" s="11">
        <f>IF(OR(G1097="",H1097=""),"",H1097*G1097-1)</f>
        <v/>
      </c>
      <c r="K1097" s="10">
        <f>IF(OR(G1097="",H1097="",G1097&lt;=1),"",IF(J1097&lt;IF(D1097="Builder",MinEdgeBuilder,IF(D1097="Player",MinEdgePlayer,MinEdgeSingle)),0,ROUND(MIN(IF(D1097="Single",KellySingle,KellyBuilder)*(StartBank+SUM(P$1:P1096))*J1097/(G1097-1),IF(D1097="Builder",CapBuilder,CapSingle)*Unit),2)))</f>
        <v/>
      </c>
      <c r="L1097" s="10" t="n"/>
      <c r="N1097" s="10" t="n"/>
      <c r="O1097" s="10">
        <f>IF(L1097="","",IF(M1097="Won",L1097*G1097,IF(M1097="Void",L1097,IF(M1097="Cash out",N(N1097),IF(M1097="Lost",0,"")))))</f>
        <v/>
      </c>
      <c r="P1097" s="10">
        <f>IF(OR(L1097="",M1097="",M1097="Pending"),"",O1097-L1097)</f>
        <v/>
      </c>
      <c r="Q1097" s="21" t="n"/>
      <c r="R1097" s="11">
        <f>IF(OR(G1097="",Q1097=""),"",G1097/Q1097-1)</f>
        <v/>
      </c>
      <c r="S1097" s="10">
        <f>IF(OR(L1097="",J1097=""),"",L1097*J1097)</f>
        <v/>
      </c>
      <c r="T1097" s="10">
        <f>IF(P1097="","",StartBank+SUM(P$2:P1097))</f>
        <v/>
      </c>
    </row>
    <row r="1098">
      <c r="A1098" s="22" t="n"/>
      <c r="G1098" s="21" t="n"/>
      <c r="H1098" s="11" t="n"/>
      <c r="I1098" s="21">
        <f>IF(OR(H1098="",H1098=0),"",1/H1098)</f>
        <v/>
      </c>
      <c r="J1098" s="11">
        <f>IF(OR(G1098="",H1098=""),"",H1098*G1098-1)</f>
        <v/>
      </c>
      <c r="K1098" s="10">
        <f>IF(OR(G1098="",H1098="",G1098&lt;=1),"",IF(J1098&lt;IF(D1098="Builder",MinEdgeBuilder,IF(D1098="Player",MinEdgePlayer,MinEdgeSingle)),0,ROUND(MIN(IF(D1098="Single",KellySingle,KellyBuilder)*(StartBank+SUM(P$1:P1097))*J1098/(G1098-1),IF(D1098="Builder",CapBuilder,CapSingle)*Unit),2)))</f>
        <v/>
      </c>
      <c r="L1098" s="10" t="n"/>
      <c r="N1098" s="10" t="n"/>
      <c r="O1098" s="10">
        <f>IF(L1098="","",IF(M1098="Won",L1098*G1098,IF(M1098="Void",L1098,IF(M1098="Cash out",N(N1098),IF(M1098="Lost",0,"")))))</f>
        <v/>
      </c>
      <c r="P1098" s="10">
        <f>IF(OR(L1098="",M1098="",M1098="Pending"),"",O1098-L1098)</f>
        <v/>
      </c>
      <c r="Q1098" s="21" t="n"/>
      <c r="R1098" s="11">
        <f>IF(OR(G1098="",Q1098=""),"",G1098/Q1098-1)</f>
        <v/>
      </c>
      <c r="S1098" s="10">
        <f>IF(OR(L1098="",J1098=""),"",L1098*J1098)</f>
        <v/>
      </c>
      <c r="T1098" s="10">
        <f>IF(P1098="","",StartBank+SUM(P$2:P1098))</f>
        <v/>
      </c>
    </row>
    <row r="1099">
      <c r="A1099" s="22" t="n"/>
      <c r="G1099" s="21" t="n"/>
      <c r="H1099" s="11" t="n"/>
      <c r="I1099" s="21">
        <f>IF(OR(H1099="",H1099=0),"",1/H1099)</f>
        <v/>
      </c>
      <c r="J1099" s="11">
        <f>IF(OR(G1099="",H1099=""),"",H1099*G1099-1)</f>
        <v/>
      </c>
      <c r="K1099" s="10">
        <f>IF(OR(G1099="",H1099="",G1099&lt;=1),"",IF(J1099&lt;IF(D1099="Builder",MinEdgeBuilder,IF(D1099="Player",MinEdgePlayer,MinEdgeSingle)),0,ROUND(MIN(IF(D1099="Single",KellySingle,KellyBuilder)*(StartBank+SUM(P$1:P1098))*J1099/(G1099-1),IF(D1099="Builder",CapBuilder,CapSingle)*Unit),2)))</f>
        <v/>
      </c>
      <c r="L1099" s="10" t="n"/>
      <c r="N1099" s="10" t="n"/>
      <c r="O1099" s="10">
        <f>IF(L1099="","",IF(M1099="Won",L1099*G1099,IF(M1099="Void",L1099,IF(M1099="Cash out",N(N1099),IF(M1099="Lost",0,"")))))</f>
        <v/>
      </c>
      <c r="P1099" s="10">
        <f>IF(OR(L1099="",M1099="",M1099="Pending"),"",O1099-L1099)</f>
        <v/>
      </c>
      <c r="Q1099" s="21" t="n"/>
      <c r="R1099" s="11">
        <f>IF(OR(G1099="",Q1099=""),"",G1099/Q1099-1)</f>
        <v/>
      </c>
      <c r="S1099" s="10">
        <f>IF(OR(L1099="",J1099=""),"",L1099*J1099)</f>
        <v/>
      </c>
      <c r="T1099" s="10">
        <f>IF(P1099="","",StartBank+SUM(P$2:P1099))</f>
        <v/>
      </c>
    </row>
    <row r="1100">
      <c r="A1100" s="22" t="n"/>
      <c r="G1100" s="21" t="n"/>
      <c r="H1100" s="11" t="n"/>
      <c r="I1100" s="21">
        <f>IF(OR(H1100="",H1100=0),"",1/H1100)</f>
        <v/>
      </c>
      <c r="J1100" s="11">
        <f>IF(OR(G1100="",H1100=""),"",H1100*G1100-1)</f>
        <v/>
      </c>
      <c r="K1100" s="10">
        <f>IF(OR(G1100="",H1100="",G1100&lt;=1),"",IF(J1100&lt;IF(D1100="Builder",MinEdgeBuilder,IF(D1100="Player",MinEdgePlayer,MinEdgeSingle)),0,ROUND(MIN(IF(D1100="Single",KellySingle,KellyBuilder)*(StartBank+SUM(P$1:P1099))*J1100/(G1100-1),IF(D1100="Builder",CapBuilder,CapSingle)*Unit),2)))</f>
        <v/>
      </c>
      <c r="L1100" s="10" t="n"/>
      <c r="N1100" s="10" t="n"/>
      <c r="O1100" s="10">
        <f>IF(L1100="","",IF(M1100="Won",L1100*G1100,IF(M1100="Void",L1100,IF(M1100="Cash out",N(N1100),IF(M1100="Lost",0,"")))))</f>
        <v/>
      </c>
      <c r="P1100" s="10">
        <f>IF(OR(L1100="",M1100="",M1100="Pending"),"",O1100-L1100)</f>
        <v/>
      </c>
      <c r="Q1100" s="21" t="n"/>
      <c r="R1100" s="11">
        <f>IF(OR(G1100="",Q1100=""),"",G1100/Q1100-1)</f>
        <v/>
      </c>
      <c r="S1100" s="10">
        <f>IF(OR(L1100="",J1100=""),"",L1100*J1100)</f>
        <v/>
      </c>
      <c r="T1100" s="10">
        <f>IF(P1100="","",StartBank+SUM(P$2:P1100))</f>
        <v/>
      </c>
    </row>
    <row r="1101">
      <c r="A1101" s="22" t="n"/>
      <c r="G1101" s="21" t="n"/>
      <c r="H1101" s="11" t="n"/>
      <c r="I1101" s="21">
        <f>IF(OR(H1101="",H1101=0),"",1/H1101)</f>
        <v/>
      </c>
      <c r="J1101" s="11">
        <f>IF(OR(G1101="",H1101=""),"",H1101*G1101-1)</f>
        <v/>
      </c>
      <c r="K1101" s="10">
        <f>IF(OR(G1101="",H1101="",G1101&lt;=1),"",IF(J1101&lt;IF(D1101="Builder",MinEdgeBuilder,IF(D1101="Player",MinEdgePlayer,MinEdgeSingle)),0,ROUND(MIN(IF(D1101="Single",KellySingle,KellyBuilder)*(StartBank+SUM(P$1:P1100))*J1101/(G1101-1),IF(D1101="Builder",CapBuilder,CapSingle)*Unit),2)))</f>
        <v/>
      </c>
      <c r="L1101" s="10" t="n"/>
      <c r="N1101" s="10" t="n"/>
      <c r="O1101" s="10">
        <f>IF(L1101="","",IF(M1101="Won",L1101*G1101,IF(M1101="Void",L1101,IF(M1101="Cash out",N(N1101),IF(M1101="Lost",0,"")))))</f>
        <v/>
      </c>
      <c r="P1101" s="10">
        <f>IF(OR(L1101="",M1101="",M1101="Pending"),"",O1101-L1101)</f>
        <v/>
      </c>
      <c r="Q1101" s="21" t="n"/>
      <c r="R1101" s="11">
        <f>IF(OR(G1101="",Q1101=""),"",G1101/Q1101-1)</f>
        <v/>
      </c>
      <c r="S1101" s="10">
        <f>IF(OR(L1101="",J1101=""),"",L1101*J1101)</f>
        <v/>
      </c>
      <c r="T1101" s="10">
        <f>IF(P1101="","",StartBank+SUM(P$2:P1101))</f>
        <v/>
      </c>
    </row>
    <row r="1102">
      <c r="A1102" s="22" t="n"/>
      <c r="G1102" s="21" t="n"/>
      <c r="H1102" s="11" t="n"/>
      <c r="I1102" s="21">
        <f>IF(OR(H1102="",H1102=0),"",1/H1102)</f>
        <v/>
      </c>
      <c r="J1102" s="11">
        <f>IF(OR(G1102="",H1102=""),"",H1102*G1102-1)</f>
        <v/>
      </c>
      <c r="K1102" s="10">
        <f>IF(OR(G1102="",H1102="",G1102&lt;=1),"",IF(J1102&lt;IF(D1102="Builder",MinEdgeBuilder,IF(D1102="Player",MinEdgePlayer,MinEdgeSingle)),0,ROUND(MIN(IF(D1102="Single",KellySingle,KellyBuilder)*(StartBank+SUM(P$1:P1101))*J1102/(G1102-1),IF(D1102="Builder",CapBuilder,CapSingle)*Unit),2)))</f>
        <v/>
      </c>
      <c r="L1102" s="10" t="n"/>
      <c r="N1102" s="10" t="n"/>
      <c r="O1102" s="10">
        <f>IF(L1102="","",IF(M1102="Won",L1102*G1102,IF(M1102="Void",L1102,IF(M1102="Cash out",N(N1102),IF(M1102="Lost",0,"")))))</f>
        <v/>
      </c>
      <c r="P1102" s="10">
        <f>IF(OR(L1102="",M1102="",M1102="Pending"),"",O1102-L1102)</f>
        <v/>
      </c>
      <c r="Q1102" s="21" t="n"/>
      <c r="R1102" s="11">
        <f>IF(OR(G1102="",Q1102=""),"",G1102/Q1102-1)</f>
        <v/>
      </c>
      <c r="S1102" s="10">
        <f>IF(OR(L1102="",J1102=""),"",L1102*J1102)</f>
        <v/>
      </c>
      <c r="T1102" s="10">
        <f>IF(P1102="","",StartBank+SUM(P$2:P1102))</f>
        <v/>
      </c>
    </row>
    <row r="1103">
      <c r="A1103" s="22" t="n"/>
      <c r="G1103" s="21" t="n"/>
      <c r="H1103" s="11" t="n"/>
      <c r="I1103" s="21">
        <f>IF(OR(H1103="",H1103=0),"",1/H1103)</f>
        <v/>
      </c>
      <c r="J1103" s="11">
        <f>IF(OR(G1103="",H1103=""),"",H1103*G1103-1)</f>
        <v/>
      </c>
      <c r="K1103" s="10">
        <f>IF(OR(G1103="",H1103="",G1103&lt;=1),"",IF(J1103&lt;IF(D1103="Builder",MinEdgeBuilder,IF(D1103="Player",MinEdgePlayer,MinEdgeSingle)),0,ROUND(MIN(IF(D1103="Single",KellySingle,KellyBuilder)*(StartBank+SUM(P$1:P1102))*J1103/(G1103-1),IF(D1103="Builder",CapBuilder,CapSingle)*Unit),2)))</f>
        <v/>
      </c>
      <c r="L1103" s="10" t="n"/>
      <c r="N1103" s="10" t="n"/>
      <c r="O1103" s="10">
        <f>IF(L1103="","",IF(M1103="Won",L1103*G1103,IF(M1103="Void",L1103,IF(M1103="Cash out",N(N1103),IF(M1103="Lost",0,"")))))</f>
        <v/>
      </c>
      <c r="P1103" s="10">
        <f>IF(OR(L1103="",M1103="",M1103="Pending"),"",O1103-L1103)</f>
        <v/>
      </c>
      <c r="Q1103" s="21" t="n"/>
      <c r="R1103" s="11">
        <f>IF(OR(G1103="",Q1103=""),"",G1103/Q1103-1)</f>
        <v/>
      </c>
      <c r="S1103" s="10">
        <f>IF(OR(L1103="",J1103=""),"",L1103*J1103)</f>
        <v/>
      </c>
      <c r="T1103" s="10">
        <f>IF(P1103="","",StartBank+SUM(P$2:P1103))</f>
        <v/>
      </c>
    </row>
    <row r="1104">
      <c r="A1104" s="22" t="n"/>
      <c r="G1104" s="21" t="n"/>
      <c r="H1104" s="11" t="n"/>
      <c r="I1104" s="21">
        <f>IF(OR(H1104="",H1104=0),"",1/H1104)</f>
        <v/>
      </c>
      <c r="J1104" s="11">
        <f>IF(OR(G1104="",H1104=""),"",H1104*G1104-1)</f>
        <v/>
      </c>
      <c r="K1104" s="10">
        <f>IF(OR(G1104="",H1104="",G1104&lt;=1),"",IF(J1104&lt;IF(D1104="Builder",MinEdgeBuilder,IF(D1104="Player",MinEdgePlayer,MinEdgeSingle)),0,ROUND(MIN(IF(D1104="Single",KellySingle,KellyBuilder)*(StartBank+SUM(P$1:P1103))*J1104/(G1104-1),IF(D1104="Builder",CapBuilder,CapSingle)*Unit),2)))</f>
        <v/>
      </c>
      <c r="L1104" s="10" t="n"/>
      <c r="N1104" s="10" t="n"/>
      <c r="O1104" s="10">
        <f>IF(L1104="","",IF(M1104="Won",L1104*G1104,IF(M1104="Void",L1104,IF(M1104="Cash out",N(N1104),IF(M1104="Lost",0,"")))))</f>
        <v/>
      </c>
      <c r="P1104" s="10">
        <f>IF(OR(L1104="",M1104="",M1104="Pending"),"",O1104-L1104)</f>
        <v/>
      </c>
      <c r="Q1104" s="21" t="n"/>
      <c r="R1104" s="11">
        <f>IF(OR(G1104="",Q1104=""),"",G1104/Q1104-1)</f>
        <v/>
      </c>
      <c r="S1104" s="10">
        <f>IF(OR(L1104="",J1104=""),"",L1104*J1104)</f>
        <v/>
      </c>
      <c r="T1104" s="10">
        <f>IF(P1104="","",StartBank+SUM(P$2:P1104))</f>
        <v/>
      </c>
    </row>
    <row r="1105">
      <c r="A1105" s="22" t="n"/>
      <c r="G1105" s="21" t="n"/>
      <c r="H1105" s="11" t="n"/>
      <c r="I1105" s="21">
        <f>IF(OR(H1105="",H1105=0),"",1/H1105)</f>
        <v/>
      </c>
      <c r="J1105" s="11">
        <f>IF(OR(G1105="",H1105=""),"",H1105*G1105-1)</f>
        <v/>
      </c>
      <c r="K1105" s="10">
        <f>IF(OR(G1105="",H1105="",G1105&lt;=1),"",IF(J1105&lt;IF(D1105="Builder",MinEdgeBuilder,IF(D1105="Player",MinEdgePlayer,MinEdgeSingle)),0,ROUND(MIN(IF(D1105="Single",KellySingle,KellyBuilder)*(StartBank+SUM(P$1:P1104))*J1105/(G1105-1),IF(D1105="Builder",CapBuilder,CapSingle)*Unit),2)))</f>
        <v/>
      </c>
      <c r="L1105" s="10" t="n"/>
      <c r="N1105" s="10" t="n"/>
      <c r="O1105" s="10">
        <f>IF(L1105="","",IF(M1105="Won",L1105*G1105,IF(M1105="Void",L1105,IF(M1105="Cash out",N(N1105),IF(M1105="Lost",0,"")))))</f>
        <v/>
      </c>
      <c r="P1105" s="10">
        <f>IF(OR(L1105="",M1105="",M1105="Pending"),"",O1105-L1105)</f>
        <v/>
      </c>
      <c r="Q1105" s="21" t="n"/>
      <c r="R1105" s="11">
        <f>IF(OR(G1105="",Q1105=""),"",G1105/Q1105-1)</f>
        <v/>
      </c>
      <c r="S1105" s="10">
        <f>IF(OR(L1105="",J1105=""),"",L1105*J1105)</f>
        <v/>
      </c>
      <c r="T1105" s="10">
        <f>IF(P1105="","",StartBank+SUM(P$2:P1105))</f>
        <v/>
      </c>
    </row>
    <row r="1106">
      <c r="A1106" s="22" t="n"/>
      <c r="G1106" s="21" t="n"/>
      <c r="H1106" s="11" t="n"/>
      <c r="I1106" s="21">
        <f>IF(OR(H1106="",H1106=0),"",1/H1106)</f>
        <v/>
      </c>
      <c r="J1106" s="11">
        <f>IF(OR(G1106="",H1106=""),"",H1106*G1106-1)</f>
        <v/>
      </c>
      <c r="K1106" s="10">
        <f>IF(OR(G1106="",H1106="",G1106&lt;=1),"",IF(J1106&lt;IF(D1106="Builder",MinEdgeBuilder,IF(D1106="Player",MinEdgePlayer,MinEdgeSingle)),0,ROUND(MIN(IF(D1106="Single",KellySingle,KellyBuilder)*(StartBank+SUM(P$1:P1105))*J1106/(G1106-1),IF(D1106="Builder",CapBuilder,CapSingle)*Unit),2)))</f>
        <v/>
      </c>
      <c r="L1106" s="10" t="n"/>
      <c r="N1106" s="10" t="n"/>
      <c r="O1106" s="10">
        <f>IF(L1106="","",IF(M1106="Won",L1106*G1106,IF(M1106="Void",L1106,IF(M1106="Cash out",N(N1106),IF(M1106="Lost",0,"")))))</f>
        <v/>
      </c>
      <c r="P1106" s="10">
        <f>IF(OR(L1106="",M1106="",M1106="Pending"),"",O1106-L1106)</f>
        <v/>
      </c>
      <c r="Q1106" s="21" t="n"/>
      <c r="R1106" s="11">
        <f>IF(OR(G1106="",Q1106=""),"",G1106/Q1106-1)</f>
        <v/>
      </c>
      <c r="S1106" s="10">
        <f>IF(OR(L1106="",J1106=""),"",L1106*J1106)</f>
        <v/>
      </c>
      <c r="T1106" s="10">
        <f>IF(P1106="","",StartBank+SUM(P$2:P1106))</f>
        <v/>
      </c>
    </row>
    <row r="1107">
      <c r="A1107" s="22" t="n"/>
      <c r="G1107" s="21" t="n"/>
      <c r="H1107" s="11" t="n"/>
      <c r="I1107" s="21">
        <f>IF(OR(H1107="",H1107=0),"",1/H1107)</f>
        <v/>
      </c>
      <c r="J1107" s="11">
        <f>IF(OR(G1107="",H1107=""),"",H1107*G1107-1)</f>
        <v/>
      </c>
      <c r="K1107" s="10">
        <f>IF(OR(G1107="",H1107="",G1107&lt;=1),"",IF(J1107&lt;IF(D1107="Builder",MinEdgeBuilder,IF(D1107="Player",MinEdgePlayer,MinEdgeSingle)),0,ROUND(MIN(IF(D1107="Single",KellySingle,KellyBuilder)*(StartBank+SUM(P$1:P1106))*J1107/(G1107-1),IF(D1107="Builder",CapBuilder,CapSingle)*Unit),2)))</f>
        <v/>
      </c>
      <c r="L1107" s="10" t="n"/>
      <c r="N1107" s="10" t="n"/>
      <c r="O1107" s="10">
        <f>IF(L1107="","",IF(M1107="Won",L1107*G1107,IF(M1107="Void",L1107,IF(M1107="Cash out",N(N1107),IF(M1107="Lost",0,"")))))</f>
        <v/>
      </c>
      <c r="P1107" s="10">
        <f>IF(OR(L1107="",M1107="",M1107="Pending"),"",O1107-L1107)</f>
        <v/>
      </c>
      <c r="Q1107" s="21" t="n"/>
      <c r="R1107" s="11">
        <f>IF(OR(G1107="",Q1107=""),"",G1107/Q1107-1)</f>
        <v/>
      </c>
      <c r="S1107" s="10">
        <f>IF(OR(L1107="",J1107=""),"",L1107*J1107)</f>
        <v/>
      </c>
      <c r="T1107" s="10">
        <f>IF(P1107="","",StartBank+SUM(P$2:P1107))</f>
        <v/>
      </c>
    </row>
    <row r="1108">
      <c r="A1108" s="22" t="n"/>
      <c r="G1108" s="21" t="n"/>
      <c r="H1108" s="11" t="n"/>
      <c r="I1108" s="21">
        <f>IF(OR(H1108="",H1108=0),"",1/H1108)</f>
        <v/>
      </c>
      <c r="J1108" s="11">
        <f>IF(OR(G1108="",H1108=""),"",H1108*G1108-1)</f>
        <v/>
      </c>
      <c r="K1108" s="10">
        <f>IF(OR(G1108="",H1108="",G1108&lt;=1),"",IF(J1108&lt;IF(D1108="Builder",MinEdgeBuilder,IF(D1108="Player",MinEdgePlayer,MinEdgeSingle)),0,ROUND(MIN(IF(D1108="Single",KellySingle,KellyBuilder)*(StartBank+SUM(P$1:P1107))*J1108/(G1108-1),IF(D1108="Builder",CapBuilder,CapSingle)*Unit),2)))</f>
        <v/>
      </c>
      <c r="L1108" s="10" t="n"/>
      <c r="N1108" s="10" t="n"/>
      <c r="O1108" s="10">
        <f>IF(L1108="","",IF(M1108="Won",L1108*G1108,IF(M1108="Void",L1108,IF(M1108="Cash out",N(N1108),IF(M1108="Lost",0,"")))))</f>
        <v/>
      </c>
      <c r="P1108" s="10">
        <f>IF(OR(L1108="",M1108="",M1108="Pending"),"",O1108-L1108)</f>
        <v/>
      </c>
      <c r="Q1108" s="21" t="n"/>
      <c r="R1108" s="11">
        <f>IF(OR(G1108="",Q1108=""),"",G1108/Q1108-1)</f>
        <v/>
      </c>
      <c r="S1108" s="10">
        <f>IF(OR(L1108="",J1108=""),"",L1108*J1108)</f>
        <v/>
      </c>
      <c r="T1108" s="10">
        <f>IF(P1108="","",StartBank+SUM(P$2:P1108))</f>
        <v/>
      </c>
    </row>
    <row r="1109">
      <c r="A1109" s="22" t="n"/>
      <c r="G1109" s="21" t="n"/>
      <c r="H1109" s="11" t="n"/>
      <c r="I1109" s="21">
        <f>IF(OR(H1109="",H1109=0),"",1/H1109)</f>
        <v/>
      </c>
      <c r="J1109" s="11">
        <f>IF(OR(G1109="",H1109=""),"",H1109*G1109-1)</f>
        <v/>
      </c>
      <c r="K1109" s="10">
        <f>IF(OR(G1109="",H1109="",G1109&lt;=1),"",IF(J1109&lt;IF(D1109="Builder",MinEdgeBuilder,IF(D1109="Player",MinEdgePlayer,MinEdgeSingle)),0,ROUND(MIN(IF(D1109="Single",KellySingle,KellyBuilder)*(StartBank+SUM(P$1:P1108))*J1109/(G1109-1),IF(D1109="Builder",CapBuilder,CapSingle)*Unit),2)))</f>
        <v/>
      </c>
      <c r="L1109" s="10" t="n"/>
      <c r="N1109" s="10" t="n"/>
      <c r="O1109" s="10">
        <f>IF(L1109="","",IF(M1109="Won",L1109*G1109,IF(M1109="Void",L1109,IF(M1109="Cash out",N(N1109),IF(M1109="Lost",0,"")))))</f>
        <v/>
      </c>
      <c r="P1109" s="10">
        <f>IF(OR(L1109="",M1109="",M1109="Pending"),"",O1109-L1109)</f>
        <v/>
      </c>
      <c r="Q1109" s="21" t="n"/>
      <c r="R1109" s="11">
        <f>IF(OR(G1109="",Q1109=""),"",G1109/Q1109-1)</f>
        <v/>
      </c>
      <c r="S1109" s="10">
        <f>IF(OR(L1109="",J1109=""),"",L1109*J1109)</f>
        <v/>
      </c>
      <c r="T1109" s="10">
        <f>IF(P1109="","",StartBank+SUM(P$2:P1109))</f>
        <v/>
      </c>
    </row>
    <row r="1110">
      <c r="A1110" s="22" t="n"/>
      <c r="G1110" s="21" t="n"/>
      <c r="H1110" s="11" t="n"/>
      <c r="I1110" s="21">
        <f>IF(OR(H1110="",H1110=0),"",1/H1110)</f>
        <v/>
      </c>
      <c r="J1110" s="11">
        <f>IF(OR(G1110="",H1110=""),"",H1110*G1110-1)</f>
        <v/>
      </c>
      <c r="K1110" s="10">
        <f>IF(OR(G1110="",H1110="",G1110&lt;=1),"",IF(J1110&lt;IF(D1110="Builder",MinEdgeBuilder,IF(D1110="Player",MinEdgePlayer,MinEdgeSingle)),0,ROUND(MIN(IF(D1110="Single",KellySingle,KellyBuilder)*(StartBank+SUM(P$1:P1109))*J1110/(G1110-1),IF(D1110="Builder",CapBuilder,CapSingle)*Unit),2)))</f>
        <v/>
      </c>
      <c r="L1110" s="10" t="n"/>
      <c r="N1110" s="10" t="n"/>
      <c r="O1110" s="10">
        <f>IF(L1110="","",IF(M1110="Won",L1110*G1110,IF(M1110="Void",L1110,IF(M1110="Cash out",N(N1110),IF(M1110="Lost",0,"")))))</f>
        <v/>
      </c>
      <c r="P1110" s="10">
        <f>IF(OR(L1110="",M1110="",M1110="Pending"),"",O1110-L1110)</f>
        <v/>
      </c>
      <c r="Q1110" s="21" t="n"/>
      <c r="R1110" s="11">
        <f>IF(OR(G1110="",Q1110=""),"",G1110/Q1110-1)</f>
        <v/>
      </c>
      <c r="S1110" s="10">
        <f>IF(OR(L1110="",J1110=""),"",L1110*J1110)</f>
        <v/>
      </c>
      <c r="T1110" s="10">
        <f>IF(P1110="","",StartBank+SUM(P$2:P1110))</f>
        <v/>
      </c>
    </row>
    <row r="1111">
      <c r="A1111" s="22" t="n"/>
      <c r="G1111" s="21" t="n"/>
      <c r="H1111" s="11" t="n"/>
      <c r="I1111" s="21">
        <f>IF(OR(H1111="",H1111=0),"",1/H1111)</f>
        <v/>
      </c>
      <c r="J1111" s="11">
        <f>IF(OR(G1111="",H1111=""),"",H1111*G1111-1)</f>
        <v/>
      </c>
      <c r="K1111" s="10">
        <f>IF(OR(G1111="",H1111="",G1111&lt;=1),"",IF(J1111&lt;IF(D1111="Builder",MinEdgeBuilder,IF(D1111="Player",MinEdgePlayer,MinEdgeSingle)),0,ROUND(MIN(IF(D1111="Single",KellySingle,KellyBuilder)*(StartBank+SUM(P$1:P1110))*J1111/(G1111-1),IF(D1111="Builder",CapBuilder,CapSingle)*Unit),2)))</f>
        <v/>
      </c>
      <c r="L1111" s="10" t="n"/>
      <c r="N1111" s="10" t="n"/>
      <c r="O1111" s="10">
        <f>IF(L1111="","",IF(M1111="Won",L1111*G1111,IF(M1111="Void",L1111,IF(M1111="Cash out",N(N1111),IF(M1111="Lost",0,"")))))</f>
        <v/>
      </c>
      <c r="P1111" s="10">
        <f>IF(OR(L1111="",M1111="",M1111="Pending"),"",O1111-L1111)</f>
        <v/>
      </c>
      <c r="Q1111" s="21" t="n"/>
      <c r="R1111" s="11">
        <f>IF(OR(G1111="",Q1111=""),"",G1111/Q1111-1)</f>
        <v/>
      </c>
      <c r="S1111" s="10">
        <f>IF(OR(L1111="",J1111=""),"",L1111*J1111)</f>
        <v/>
      </c>
      <c r="T1111" s="10">
        <f>IF(P1111="","",StartBank+SUM(P$2:P1111))</f>
        <v/>
      </c>
    </row>
    <row r="1112">
      <c r="A1112" s="22" t="n"/>
      <c r="G1112" s="21" t="n"/>
      <c r="H1112" s="11" t="n"/>
      <c r="I1112" s="21">
        <f>IF(OR(H1112="",H1112=0),"",1/H1112)</f>
        <v/>
      </c>
      <c r="J1112" s="11">
        <f>IF(OR(G1112="",H1112=""),"",H1112*G1112-1)</f>
        <v/>
      </c>
      <c r="K1112" s="10">
        <f>IF(OR(G1112="",H1112="",G1112&lt;=1),"",IF(J1112&lt;IF(D1112="Builder",MinEdgeBuilder,IF(D1112="Player",MinEdgePlayer,MinEdgeSingle)),0,ROUND(MIN(IF(D1112="Single",KellySingle,KellyBuilder)*(StartBank+SUM(P$1:P1111))*J1112/(G1112-1),IF(D1112="Builder",CapBuilder,CapSingle)*Unit),2)))</f>
        <v/>
      </c>
      <c r="L1112" s="10" t="n"/>
      <c r="N1112" s="10" t="n"/>
      <c r="O1112" s="10">
        <f>IF(L1112="","",IF(M1112="Won",L1112*G1112,IF(M1112="Void",L1112,IF(M1112="Cash out",N(N1112),IF(M1112="Lost",0,"")))))</f>
        <v/>
      </c>
      <c r="P1112" s="10">
        <f>IF(OR(L1112="",M1112="",M1112="Pending"),"",O1112-L1112)</f>
        <v/>
      </c>
      <c r="Q1112" s="21" t="n"/>
      <c r="R1112" s="11">
        <f>IF(OR(G1112="",Q1112=""),"",G1112/Q1112-1)</f>
        <v/>
      </c>
      <c r="S1112" s="10">
        <f>IF(OR(L1112="",J1112=""),"",L1112*J1112)</f>
        <v/>
      </c>
      <c r="T1112" s="10">
        <f>IF(P1112="","",StartBank+SUM(P$2:P1112))</f>
        <v/>
      </c>
    </row>
    <row r="1113">
      <c r="A1113" s="22" t="n"/>
      <c r="G1113" s="21" t="n"/>
      <c r="H1113" s="11" t="n"/>
      <c r="I1113" s="21">
        <f>IF(OR(H1113="",H1113=0),"",1/H1113)</f>
        <v/>
      </c>
      <c r="J1113" s="11">
        <f>IF(OR(G1113="",H1113=""),"",H1113*G1113-1)</f>
        <v/>
      </c>
      <c r="K1113" s="10">
        <f>IF(OR(G1113="",H1113="",G1113&lt;=1),"",IF(J1113&lt;IF(D1113="Builder",MinEdgeBuilder,IF(D1113="Player",MinEdgePlayer,MinEdgeSingle)),0,ROUND(MIN(IF(D1113="Single",KellySingle,KellyBuilder)*(StartBank+SUM(P$1:P1112))*J1113/(G1113-1),IF(D1113="Builder",CapBuilder,CapSingle)*Unit),2)))</f>
        <v/>
      </c>
      <c r="L1113" s="10" t="n"/>
      <c r="N1113" s="10" t="n"/>
      <c r="O1113" s="10">
        <f>IF(L1113="","",IF(M1113="Won",L1113*G1113,IF(M1113="Void",L1113,IF(M1113="Cash out",N(N1113),IF(M1113="Lost",0,"")))))</f>
        <v/>
      </c>
      <c r="P1113" s="10">
        <f>IF(OR(L1113="",M1113="",M1113="Pending"),"",O1113-L1113)</f>
        <v/>
      </c>
      <c r="Q1113" s="21" t="n"/>
      <c r="R1113" s="11">
        <f>IF(OR(G1113="",Q1113=""),"",G1113/Q1113-1)</f>
        <v/>
      </c>
      <c r="S1113" s="10">
        <f>IF(OR(L1113="",J1113=""),"",L1113*J1113)</f>
        <v/>
      </c>
      <c r="T1113" s="10">
        <f>IF(P1113="","",StartBank+SUM(P$2:P1113))</f>
        <v/>
      </c>
    </row>
    <row r="1114">
      <c r="A1114" s="22" t="n"/>
      <c r="G1114" s="21" t="n"/>
      <c r="H1114" s="11" t="n"/>
      <c r="I1114" s="21">
        <f>IF(OR(H1114="",H1114=0),"",1/H1114)</f>
        <v/>
      </c>
      <c r="J1114" s="11">
        <f>IF(OR(G1114="",H1114=""),"",H1114*G1114-1)</f>
        <v/>
      </c>
      <c r="K1114" s="10">
        <f>IF(OR(G1114="",H1114="",G1114&lt;=1),"",IF(J1114&lt;IF(D1114="Builder",MinEdgeBuilder,IF(D1114="Player",MinEdgePlayer,MinEdgeSingle)),0,ROUND(MIN(IF(D1114="Single",KellySingle,KellyBuilder)*(StartBank+SUM(P$1:P1113))*J1114/(G1114-1),IF(D1114="Builder",CapBuilder,CapSingle)*Unit),2)))</f>
        <v/>
      </c>
      <c r="L1114" s="10" t="n"/>
      <c r="N1114" s="10" t="n"/>
      <c r="O1114" s="10">
        <f>IF(L1114="","",IF(M1114="Won",L1114*G1114,IF(M1114="Void",L1114,IF(M1114="Cash out",N(N1114),IF(M1114="Lost",0,"")))))</f>
        <v/>
      </c>
      <c r="P1114" s="10">
        <f>IF(OR(L1114="",M1114="",M1114="Pending"),"",O1114-L1114)</f>
        <v/>
      </c>
      <c r="Q1114" s="21" t="n"/>
      <c r="R1114" s="11">
        <f>IF(OR(G1114="",Q1114=""),"",G1114/Q1114-1)</f>
        <v/>
      </c>
      <c r="S1114" s="10">
        <f>IF(OR(L1114="",J1114=""),"",L1114*J1114)</f>
        <v/>
      </c>
      <c r="T1114" s="10">
        <f>IF(P1114="","",StartBank+SUM(P$2:P1114))</f>
        <v/>
      </c>
    </row>
    <row r="1115">
      <c r="A1115" s="22" t="n"/>
      <c r="G1115" s="21" t="n"/>
      <c r="H1115" s="11" t="n"/>
      <c r="I1115" s="21">
        <f>IF(OR(H1115="",H1115=0),"",1/H1115)</f>
        <v/>
      </c>
      <c r="J1115" s="11">
        <f>IF(OR(G1115="",H1115=""),"",H1115*G1115-1)</f>
        <v/>
      </c>
      <c r="K1115" s="10">
        <f>IF(OR(G1115="",H1115="",G1115&lt;=1),"",IF(J1115&lt;IF(D1115="Builder",MinEdgeBuilder,IF(D1115="Player",MinEdgePlayer,MinEdgeSingle)),0,ROUND(MIN(IF(D1115="Single",KellySingle,KellyBuilder)*(StartBank+SUM(P$1:P1114))*J1115/(G1115-1),IF(D1115="Builder",CapBuilder,CapSingle)*Unit),2)))</f>
        <v/>
      </c>
      <c r="L1115" s="10" t="n"/>
      <c r="N1115" s="10" t="n"/>
      <c r="O1115" s="10">
        <f>IF(L1115="","",IF(M1115="Won",L1115*G1115,IF(M1115="Void",L1115,IF(M1115="Cash out",N(N1115),IF(M1115="Lost",0,"")))))</f>
        <v/>
      </c>
      <c r="P1115" s="10">
        <f>IF(OR(L1115="",M1115="",M1115="Pending"),"",O1115-L1115)</f>
        <v/>
      </c>
      <c r="Q1115" s="21" t="n"/>
      <c r="R1115" s="11">
        <f>IF(OR(G1115="",Q1115=""),"",G1115/Q1115-1)</f>
        <v/>
      </c>
      <c r="S1115" s="10">
        <f>IF(OR(L1115="",J1115=""),"",L1115*J1115)</f>
        <v/>
      </c>
      <c r="T1115" s="10">
        <f>IF(P1115="","",StartBank+SUM(P$2:P1115))</f>
        <v/>
      </c>
    </row>
    <row r="1116">
      <c r="A1116" s="22" t="n"/>
      <c r="G1116" s="21" t="n"/>
      <c r="H1116" s="11" t="n"/>
      <c r="I1116" s="21">
        <f>IF(OR(H1116="",H1116=0),"",1/H1116)</f>
        <v/>
      </c>
      <c r="J1116" s="11">
        <f>IF(OR(G1116="",H1116=""),"",H1116*G1116-1)</f>
        <v/>
      </c>
      <c r="K1116" s="10">
        <f>IF(OR(G1116="",H1116="",G1116&lt;=1),"",IF(J1116&lt;IF(D1116="Builder",MinEdgeBuilder,IF(D1116="Player",MinEdgePlayer,MinEdgeSingle)),0,ROUND(MIN(IF(D1116="Single",KellySingle,KellyBuilder)*(StartBank+SUM(P$1:P1115))*J1116/(G1116-1),IF(D1116="Builder",CapBuilder,CapSingle)*Unit),2)))</f>
        <v/>
      </c>
      <c r="L1116" s="10" t="n"/>
      <c r="N1116" s="10" t="n"/>
      <c r="O1116" s="10">
        <f>IF(L1116="","",IF(M1116="Won",L1116*G1116,IF(M1116="Void",L1116,IF(M1116="Cash out",N(N1116),IF(M1116="Lost",0,"")))))</f>
        <v/>
      </c>
      <c r="P1116" s="10">
        <f>IF(OR(L1116="",M1116="",M1116="Pending"),"",O1116-L1116)</f>
        <v/>
      </c>
      <c r="Q1116" s="21" t="n"/>
      <c r="R1116" s="11">
        <f>IF(OR(G1116="",Q1116=""),"",G1116/Q1116-1)</f>
        <v/>
      </c>
      <c r="S1116" s="10">
        <f>IF(OR(L1116="",J1116=""),"",L1116*J1116)</f>
        <v/>
      </c>
      <c r="T1116" s="10">
        <f>IF(P1116="","",StartBank+SUM(P$2:P1116))</f>
        <v/>
      </c>
    </row>
    <row r="1117">
      <c r="A1117" s="22" t="n"/>
      <c r="G1117" s="21" t="n"/>
      <c r="H1117" s="11" t="n"/>
      <c r="I1117" s="21">
        <f>IF(OR(H1117="",H1117=0),"",1/H1117)</f>
        <v/>
      </c>
      <c r="J1117" s="11">
        <f>IF(OR(G1117="",H1117=""),"",H1117*G1117-1)</f>
        <v/>
      </c>
      <c r="K1117" s="10">
        <f>IF(OR(G1117="",H1117="",G1117&lt;=1),"",IF(J1117&lt;IF(D1117="Builder",MinEdgeBuilder,IF(D1117="Player",MinEdgePlayer,MinEdgeSingle)),0,ROUND(MIN(IF(D1117="Single",KellySingle,KellyBuilder)*(StartBank+SUM(P$1:P1116))*J1117/(G1117-1),IF(D1117="Builder",CapBuilder,CapSingle)*Unit),2)))</f>
        <v/>
      </c>
      <c r="L1117" s="10" t="n"/>
      <c r="N1117" s="10" t="n"/>
      <c r="O1117" s="10">
        <f>IF(L1117="","",IF(M1117="Won",L1117*G1117,IF(M1117="Void",L1117,IF(M1117="Cash out",N(N1117),IF(M1117="Lost",0,"")))))</f>
        <v/>
      </c>
      <c r="P1117" s="10">
        <f>IF(OR(L1117="",M1117="",M1117="Pending"),"",O1117-L1117)</f>
        <v/>
      </c>
      <c r="Q1117" s="21" t="n"/>
      <c r="R1117" s="11">
        <f>IF(OR(G1117="",Q1117=""),"",G1117/Q1117-1)</f>
        <v/>
      </c>
      <c r="S1117" s="10">
        <f>IF(OR(L1117="",J1117=""),"",L1117*J1117)</f>
        <v/>
      </c>
      <c r="T1117" s="10">
        <f>IF(P1117="","",StartBank+SUM(P$2:P1117))</f>
        <v/>
      </c>
    </row>
    <row r="1118">
      <c r="A1118" s="22" t="n"/>
      <c r="G1118" s="21" t="n"/>
      <c r="H1118" s="11" t="n"/>
      <c r="I1118" s="21">
        <f>IF(OR(H1118="",H1118=0),"",1/H1118)</f>
        <v/>
      </c>
      <c r="J1118" s="11">
        <f>IF(OR(G1118="",H1118=""),"",H1118*G1118-1)</f>
        <v/>
      </c>
      <c r="K1118" s="10">
        <f>IF(OR(G1118="",H1118="",G1118&lt;=1),"",IF(J1118&lt;IF(D1118="Builder",MinEdgeBuilder,IF(D1118="Player",MinEdgePlayer,MinEdgeSingle)),0,ROUND(MIN(IF(D1118="Single",KellySingle,KellyBuilder)*(StartBank+SUM(P$1:P1117))*J1118/(G1118-1),IF(D1118="Builder",CapBuilder,CapSingle)*Unit),2)))</f>
        <v/>
      </c>
      <c r="L1118" s="10" t="n"/>
      <c r="N1118" s="10" t="n"/>
      <c r="O1118" s="10">
        <f>IF(L1118="","",IF(M1118="Won",L1118*G1118,IF(M1118="Void",L1118,IF(M1118="Cash out",N(N1118),IF(M1118="Lost",0,"")))))</f>
        <v/>
      </c>
      <c r="P1118" s="10">
        <f>IF(OR(L1118="",M1118="",M1118="Pending"),"",O1118-L1118)</f>
        <v/>
      </c>
      <c r="Q1118" s="21" t="n"/>
      <c r="R1118" s="11">
        <f>IF(OR(G1118="",Q1118=""),"",G1118/Q1118-1)</f>
        <v/>
      </c>
      <c r="S1118" s="10">
        <f>IF(OR(L1118="",J1118=""),"",L1118*J1118)</f>
        <v/>
      </c>
      <c r="T1118" s="10">
        <f>IF(P1118="","",StartBank+SUM(P$2:P1118))</f>
        <v/>
      </c>
    </row>
    <row r="1119">
      <c r="A1119" s="22" t="n"/>
      <c r="G1119" s="21" t="n"/>
      <c r="H1119" s="11" t="n"/>
      <c r="I1119" s="21">
        <f>IF(OR(H1119="",H1119=0),"",1/H1119)</f>
        <v/>
      </c>
      <c r="J1119" s="11">
        <f>IF(OR(G1119="",H1119=""),"",H1119*G1119-1)</f>
        <v/>
      </c>
      <c r="K1119" s="10">
        <f>IF(OR(G1119="",H1119="",G1119&lt;=1),"",IF(J1119&lt;IF(D1119="Builder",MinEdgeBuilder,IF(D1119="Player",MinEdgePlayer,MinEdgeSingle)),0,ROUND(MIN(IF(D1119="Single",KellySingle,KellyBuilder)*(StartBank+SUM(P$1:P1118))*J1119/(G1119-1),IF(D1119="Builder",CapBuilder,CapSingle)*Unit),2)))</f>
        <v/>
      </c>
      <c r="L1119" s="10" t="n"/>
      <c r="N1119" s="10" t="n"/>
      <c r="O1119" s="10">
        <f>IF(L1119="","",IF(M1119="Won",L1119*G1119,IF(M1119="Void",L1119,IF(M1119="Cash out",N(N1119),IF(M1119="Lost",0,"")))))</f>
        <v/>
      </c>
      <c r="P1119" s="10">
        <f>IF(OR(L1119="",M1119="",M1119="Pending"),"",O1119-L1119)</f>
        <v/>
      </c>
      <c r="Q1119" s="21" t="n"/>
      <c r="R1119" s="11">
        <f>IF(OR(G1119="",Q1119=""),"",G1119/Q1119-1)</f>
        <v/>
      </c>
      <c r="S1119" s="10">
        <f>IF(OR(L1119="",J1119=""),"",L1119*J1119)</f>
        <v/>
      </c>
      <c r="T1119" s="10">
        <f>IF(P1119="","",StartBank+SUM(P$2:P1119))</f>
        <v/>
      </c>
    </row>
    <row r="1120">
      <c r="A1120" s="22" t="n"/>
      <c r="G1120" s="21" t="n"/>
      <c r="H1120" s="11" t="n"/>
      <c r="I1120" s="21">
        <f>IF(OR(H1120="",H1120=0),"",1/H1120)</f>
        <v/>
      </c>
      <c r="J1120" s="11">
        <f>IF(OR(G1120="",H1120=""),"",H1120*G1120-1)</f>
        <v/>
      </c>
      <c r="K1120" s="10">
        <f>IF(OR(G1120="",H1120="",G1120&lt;=1),"",IF(J1120&lt;IF(D1120="Builder",MinEdgeBuilder,IF(D1120="Player",MinEdgePlayer,MinEdgeSingle)),0,ROUND(MIN(IF(D1120="Single",KellySingle,KellyBuilder)*(StartBank+SUM(P$1:P1119))*J1120/(G1120-1),IF(D1120="Builder",CapBuilder,CapSingle)*Unit),2)))</f>
        <v/>
      </c>
      <c r="L1120" s="10" t="n"/>
      <c r="N1120" s="10" t="n"/>
      <c r="O1120" s="10">
        <f>IF(L1120="","",IF(M1120="Won",L1120*G1120,IF(M1120="Void",L1120,IF(M1120="Cash out",N(N1120),IF(M1120="Lost",0,"")))))</f>
        <v/>
      </c>
      <c r="P1120" s="10">
        <f>IF(OR(L1120="",M1120="",M1120="Pending"),"",O1120-L1120)</f>
        <v/>
      </c>
      <c r="Q1120" s="21" t="n"/>
      <c r="R1120" s="11">
        <f>IF(OR(G1120="",Q1120=""),"",G1120/Q1120-1)</f>
        <v/>
      </c>
      <c r="S1120" s="10">
        <f>IF(OR(L1120="",J1120=""),"",L1120*J1120)</f>
        <v/>
      </c>
      <c r="T1120" s="10">
        <f>IF(P1120="","",StartBank+SUM(P$2:P1120))</f>
        <v/>
      </c>
    </row>
    <row r="1121">
      <c r="A1121" s="22" t="n"/>
      <c r="G1121" s="21" t="n"/>
      <c r="H1121" s="11" t="n"/>
      <c r="I1121" s="21">
        <f>IF(OR(H1121="",H1121=0),"",1/H1121)</f>
        <v/>
      </c>
      <c r="J1121" s="11">
        <f>IF(OR(G1121="",H1121=""),"",H1121*G1121-1)</f>
        <v/>
      </c>
      <c r="K1121" s="10">
        <f>IF(OR(G1121="",H1121="",G1121&lt;=1),"",IF(J1121&lt;IF(D1121="Builder",MinEdgeBuilder,IF(D1121="Player",MinEdgePlayer,MinEdgeSingle)),0,ROUND(MIN(IF(D1121="Single",KellySingle,KellyBuilder)*(StartBank+SUM(P$1:P1120))*J1121/(G1121-1),IF(D1121="Builder",CapBuilder,CapSingle)*Unit),2)))</f>
        <v/>
      </c>
      <c r="L1121" s="10" t="n"/>
      <c r="N1121" s="10" t="n"/>
      <c r="O1121" s="10">
        <f>IF(L1121="","",IF(M1121="Won",L1121*G1121,IF(M1121="Void",L1121,IF(M1121="Cash out",N(N1121),IF(M1121="Lost",0,"")))))</f>
        <v/>
      </c>
      <c r="P1121" s="10">
        <f>IF(OR(L1121="",M1121="",M1121="Pending"),"",O1121-L1121)</f>
        <v/>
      </c>
      <c r="Q1121" s="21" t="n"/>
      <c r="R1121" s="11">
        <f>IF(OR(G1121="",Q1121=""),"",G1121/Q1121-1)</f>
        <v/>
      </c>
      <c r="S1121" s="10">
        <f>IF(OR(L1121="",J1121=""),"",L1121*J1121)</f>
        <v/>
      </c>
      <c r="T1121" s="10">
        <f>IF(P1121="","",StartBank+SUM(P$2:P1121))</f>
        <v/>
      </c>
    </row>
    <row r="1122">
      <c r="A1122" s="22" t="n"/>
      <c r="G1122" s="21" t="n"/>
      <c r="H1122" s="11" t="n"/>
      <c r="I1122" s="21">
        <f>IF(OR(H1122="",H1122=0),"",1/H1122)</f>
        <v/>
      </c>
      <c r="J1122" s="11">
        <f>IF(OR(G1122="",H1122=""),"",H1122*G1122-1)</f>
        <v/>
      </c>
      <c r="K1122" s="10">
        <f>IF(OR(G1122="",H1122="",G1122&lt;=1),"",IF(J1122&lt;IF(D1122="Builder",MinEdgeBuilder,IF(D1122="Player",MinEdgePlayer,MinEdgeSingle)),0,ROUND(MIN(IF(D1122="Single",KellySingle,KellyBuilder)*(StartBank+SUM(P$1:P1121))*J1122/(G1122-1),IF(D1122="Builder",CapBuilder,CapSingle)*Unit),2)))</f>
        <v/>
      </c>
      <c r="L1122" s="10" t="n"/>
      <c r="N1122" s="10" t="n"/>
      <c r="O1122" s="10">
        <f>IF(L1122="","",IF(M1122="Won",L1122*G1122,IF(M1122="Void",L1122,IF(M1122="Cash out",N(N1122),IF(M1122="Lost",0,"")))))</f>
        <v/>
      </c>
      <c r="P1122" s="10">
        <f>IF(OR(L1122="",M1122="",M1122="Pending"),"",O1122-L1122)</f>
        <v/>
      </c>
      <c r="Q1122" s="21" t="n"/>
      <c r="R1122" s="11">
        <f>IF(OR(G1122="",Q1122=""),"",G1122/Q1122-1)</f>
        <v/>
      </c>
      <c r="S1122" s="10">
        <f>IF(OR(L1122="",J1122=""),"",L1122*J1122)</f>
        <v/>
      </c>
      <c r="T1122" s="10">
        <f>IF(P1122="","",StartBank+SUM(P$2:P1122))</f>
        <v/>
      </c>
    </row>
    <row r="1123">
      <c r="A1123" s="22" t="n"/>
      <c r="G1123" s="21" t="n"/>
      <c r="H1123" s="11" t="n"/>
      <c r="I1123" s="21">
        <f>IF(OR(H1123="",H1123=0),"",1/H1123)</f>
        <v/>
      </c>
      <c r="J1123" s="11">
        <f>IF(OR(G1123="",H1123=""),"",H1123*G1123-1)</f>
        <v/>
      </c>
      <c r="K1123" s="10">
        <f>IF(OR(G1123="",H1123="",G1123&lt;=1),"",IF(J1123&lt;IF(D1123="Builder",MinEdgeBuilder,IF(D1123="Player",MinEdgePlayer,MinEdgeSingle)),0,ROUND(MIN(IF(D1123="Single",KellySingle,KellyBuilder)*(StartBank+SUM(P$1:P1122))*J1123/(G1123-1),IF(D1123="Builder",CapBuilder,CapSingle)*Unit),2)))</f>
        <v/>
      </c>
      <c r="L1123" s="10" t="n"/>
      <c r="N1123" s="10" t="n"/>
      <c r="O1123" s="10">
        <f>IF(L1123="","",IF(M1123="Won",L1123*G1123,IF(M1123="Void",L1123,IF(M1123="Cash out",N(N1123),IF(M1123="Lost",0,"")))))</f>
        <v/>
      </c>
      <c r="P1123" s="10">
        <f>IF(OR(L1123="",M1123="",M1123="Pending"),"",O1123-L1123)</f>
        <v/>
      </c>
      <c r="Q1123" s="21" t="n"/>
      <c r="R1123" s="11">
        <f>IF(OR(G1123="",Q1123=""),"",G1123/Q1123-1)</f>
        <v/>
      </c>
      <c r="S1123" s="10">
        <f>IF(OR(L1123="",J1123=""),"",L1123*J1123)</f>
        <v/>
      </c>
      <c r="T1123" s="10">
        <f>IF(P1123="","",StartBank+SUM(P$2:P1123))</f>
        <v/>
      </c>
    </row>
    <row r="1124">
      <c r="A1124" s="22" t="n"/>
      <c r="G1124" s="21" t="n"/>
      <c r="H1124" s="11" t="n"/>
      <c r="I1124" s="21">
        <f>IF(OR(H1124="",H1124=0),"",1/H1124)</f>
        <v/>
      </c>
      <c r="J1124" s="11">
        <f>IF(OR(G1124="",H1124=""),"",H1124*G1124-1)</f>
        <v/>
      </c>
      <c r="K1124" s="10">
        <f>IF(OR(G1124="",H1124="",G1124&lt;=1),"",IF(J1124&lt;IF(D1124="Builder",MinEdgeBuilder,IF(D1124="Player",MinEdgePlayer,MinEdgeSingle)),0,ROUND(MIN(IF(D1124="Single",KellySingle,KellyBuilder)*(StartBank+SUM(P$1:P1123))*J1124/(G1124-1),IF(D1124="Builder",CapBuilder,CapSingle)*Unit),2)))</f>
        <v/>
      </c>
      <c r="L1124" s="10" t="n"/>
      <c r="N1124" s="10" t="n"/>
      <c r="O1124" s="10">
        <f>IF(L1124="","",IF(M1124="Won",L1124*G1124,IF(M1124="Void",L1124,IF(M1124="Cash out",N(N1124),IF(M1124="Lost",0,"")))))</f>
        <v/>
      </c>
      <c r="P1124" s="10">
        <f>IF(OR(L1124="",M1124="",M1124="Pending"),"",O1124-L1124)</f>
        <v/>
      </c>
      <c r="Q1124" s="21" t="n"/>
      <c r="R1124" s="11">
        <f>IF(OR(G1124="",Q1124=""),"",G1124/Q1124-1)</f>
        <v/>
      </c>
      <c r="S1124" s="10">
        <f>IF(OR(L1124="",J1124=""),"",L1124*J1124)</f>
        <v/>
      </c>
      <c r="T1124" s="10">
        <f>IF(P1124="","",StartBank+SUM(P$2:P1124))</f>
        <v/>
      </c>
    </row>
    <row r="1125">
      <c r="A1125" s="22" t="n"/>
      <c r="G1125" s="21" t="n"/>
      <c r="H1125" s="11" t="n"/>
      <c r="I1125" s="21">
        <f>IF(OR(H1125="",H1125=0),"",1/H1125)</f>
        <v/>
      </c>
      <c r="J1125" s="11">
        <f>IF(OR(G1125="",H1125=""),"",H1125*G1125-1)</f>
        <v/>
      </c>
      <c r="K1125" s="10">
        <f>IF(OR(G1125="",H1125="",G1125&lt;=1),"",IF(J1125&lt;IF(D1125="Builder",MinEdgeBuilder,IF(D1125="Player",MinEdgePlayer,MinEdgeSingle)),0,ROUND(MIN(IF(D1125="Single",KellySingle,KellyBuilder)*(StartBank+SUM(P$1:P1124))*J1125/(G1125-1),IF(D1125="Builder",CapBuilder,CapSingle)*Unit),2)))</f>
        <v/>
      </c>
      <c r="L1125" s="10" t="n"/>
      <c r="N1125" s="10" t="n"/>
      <c r="O1125" s="10">
        <f>IF(L1125="","",IF(M1125="Won",L1125*G1125,IF(M1125="Void",L1125,IF(M1125="Cash out",N(N1125),IF(M1125="Lost",0,"")))))</f>
        <v/>
      </c>
      <c r="P1125" s="10">
        <f>IF(OR(L1125="",M1125="",M1125="Pending"),"",O1125-L1125)</f>
        <v/>
      </c>
      <c r="Q1125" s="21" t="n"/>
      <c r="R1125" s="11">
        <f>IF(OR(G1125="",Q1125=""),"",G1125/Q1125-1)</f>
        <v/>
      </c>
      <c r="S1125" s="10">
        <f>IF(OR(L1125="",J1125=""),"",L1125*J1125)</f>
        <v/>
      </c>
      <c r="T1125" s="10">
        <f>IF(P1125="","",StartBank+SUM(P$2:P1125))</f>
        <v/>
      </c>
    </row>
    <row r="1126">
      <c r="A1126" s="22" t="n"/>
      <c r="G1126" s="21" t="n"/>
      <c r="H1126" s="11" t="n"/>
      <c r="I1126" s="21">
        <f>IF(OR(H1126="",H1126=0),"",1/H1126)</f>
        <v/>
      </c>
      <c r="J1126" s="11">
        <f>IF(OR(G1126="",H1126=""),"",H1126*G1126-1)</f>
        <v/>
      </c>
      <c r="K1126" s="10">
        <f>IF(OR(G1126="",H1126="",G1126&lt;=1),"",IF(J1126&lt;IF(D1126="Builder",MinEdgeBuilder,IF(D1126="Player",MinEdgePlayer,MinEdgeSingle)),0,ROUND(MIN(IF(D1126="Single",KellySingle,KellyBuilder)*(StartBank+SUM(P$1:P1125))*J1126/(G1126-1),IF(D1126="Builder",CapBuilder,CapSingle)*Unit),2)))</f>
        <v/>
      </c>
      <c r="L1126" s="10" t="n"/>
      <c r="N1126" s="10" t="n"/>
      <c r="O1126" s="10">
        <f>IF(L1126="","",IF(M1126="Won",L1126*G1126,IF(M1126="Void",L1126,IF(M1126="Cash out",N(N1126),IF(M1126="Lost",0,"")))))</f>
        <v/>
      </c>
      <c r="P1126" s="10">
        <f>IF(OR(L1126="",M1126="",M1126="Pending"),"",O1126-L1126)</f>
        <v/>
      </c>
      <c r="Q1126" s="21" t="n"/>
      <c r="R1126" s="11">
        <f>IF(OR(G1126="",Q1126=""),"",G1126/Q1126-1)</f>
        <v/>
      </c>
      <c r="S1126" s="10">
        <f>IF(OR(L1126="",J1126=""),"",L1126*J1126)</f>
        <v/>
      </c>
      <c r="T1126" s="10">
        <f>IF(P1126="","",StartBank+SUM(P$2:P1126))</f>
        <v/>
      </c>
    </row>
    <row r="1127">
      <c r="A1127" s="22" t="n"/>
      <c r="G1127" s="21" t="n"/>
      <c r="H1127" s="11" t="n"/>
      <c r="I1127" s="21">
        <f>IF(OR(H1127="",H1127=0),"",1/H1127)</f>
        <v/>
      </c>
      <c r="J1127" s="11">
        <f>IF(OR(G1127="",H1127=""),"",H1127*G1127-1)</f>
        <v/>
      </c>
      <c r="K1127" s="10">
        <f>IF(OR(G1127="",H1127="",G1127&lt;=1),"",IF(J1127&lt;IF(D1127="Builder",MinEdgeBuilder,IF(D1127="Player",MinEdgePlayer,MinEdgeSingle)),0,ROUND(MIN(IF(D1127="Single",KellySingle,KellyBuilder)*(StartBank+SUM(P$1:P1126))*J1127/(G1127-1),IF(D1127="Builder",CapBuilder,CapSingle)*Unit),2)))</f>
        <v/>
      </c>
      <c r="L1127" s="10" t="n"/>
      <c r="N1127" s="10" t="n"/>
      <c r="O1127" s="10">
        <f>IF(L1127="","",IF(M1127="Won",L1127*G1127,IF(M1127="Void",L1127,IF(M1127="Cash out",N(N1127),IF(M1127="Lost",0,"")))))</f>
        <v/>
      </c>
      <c r="P1127" s="10">
        <f>IF(OR(L1127="",M1127="",M1127="Pending"),"",O1127-L1127)</f>
        <v/>
      </c>
      <c r="Q1127" s="21" t="n"/>
      <c r="R1127" s="11">
        <f>IF(OR(G1127="",Q1127=""),"",G1127/Q1127-1)</f>
        <v/>
      </c>
      <c r="S1127" s="10">
        <f>IF(OR(L1127="",J1127=""),"",L1127*J1127)</f>
        <v/>
      </c>
      <c r="T1127" s="10">
        <f>IF(P1127="","",StartBank+SUM(P$2:P1127))</f>
        <v/>
      </c>
    </row>
    <row r="1128">
      <c r="A1128" s="22" t="n"/>
      <c r="G1128" s="21" t="n"/>
      <c r="H1128" s="11" t="n"/>
      <c r="I1128" s="21">
        <f>IF(OR(H1128="",H1128=0),"",1/H1128)</f>
        <v/>
      </c>
      <c r="J1128" s="11">
        <f>IF(OR(G1128="",H1128=""),"",H1128*G1128-1)</f>
        <v/>
      </c>
      <c r="K1128" s="10">
        <f>IF(OR(G1128="",H1128="",G1128&lt;=1),"",IF(J1128&lt;IF(D1128="Builder",MinEdgeBuilder,IF(D1128="Player",MinEdgePlayer,MinEdgeSingle)),0,ROUND(MIN(IF(D1128="Single",KellySingle,KellyBuilder)*(StartBank+SUM(P$1:P1127))*J1128/(G1128-1),IF(D1128="Builder",CapBuilder,CapSingle)*Unit),2)))</f>
        <v/>
      </c>
      <c r="L1128" s="10" t="n"/>
      <c r="N1128" s="10" t="n"/>
      <c r="O1128" s="10">
        <f>IF(L1128="","",IF(M1128="Won",L1128*G1128,IF(M1128="Void",L1128,IF(M1128="Cash out",N(N1128),IF(M1128="Lost",0,"")))))</f>
        <v/>
      </c>
      <c r="P1128" s="10">
        <f>IF(OR(L1128="",M1128="",M1128="Pending"),"",O1128-L1128)</f>
        <v/>
      </c>
      <c r="Q1128" s="21" t="n"/>
      <c r="R1128" s="11">
        <f>IF(OR(G1128="",Q1128=""),"",G1128/Q1128-1)</f>
        <v/>
      </c>
      <c r="S1128" s="10">
        <f>IF(OR(L1128="",J1128=""),"",L1128*J1128)</f>
        <v/>
      </c>
      <c r="T1128" s="10">
        <f>IF(P1128="","",StartBank+SUM(P$2:P1128))</f>
        <v/>
      </c>
    </row>
    <row r="1129">
      <c r="A1129" s="22" t="n"/>
      <c r="G1129" s="21" t="n"/>
      <c r="H1129" s="11" t="n"/>
      <c r="I1129" s="21">
        <f>IF(OR(H1129="",H1129=0),"",1/H1129)</f>
        <v/>
      </c>
      <c r="J1129" s="11">
        <f>IF(OR(G1129="",H1129=""),"",H1129*G1129-1)</f>
        <v/>
      </c>
      <c r="K1129" s="10">
        <f>IF(OR(G1129="",H1129="",G1129&lt;=1),"",IF(J1129&lt;IF(D1129="Builder",MinEdgeBuilder,IF(D1129="Player",MinEdgePlayer,MinEdgeSingle)),0,ROUND(MIN(IF(D1129="Single",KellySingle,KellyBuilder)*(StartBank+SUM(P$1:P1128))*J1129/(G1129-1),IF(D1129="Builder",CapBuilder,CapSingle)*Unit),2)))</f>
        <v/>
      </c>
      <c r="L1129" s="10" t="n"/>
      <c r="N1129" s="10" t="n"/>
      <c r="O1129" s="10">
        <f>IF(L1129="","",IF(M1129="Won",L1129*G1129,IF(M1129="Void",L1129,IF(M1129="Cash out",N(N1129),IF(M1129="Lost",0,"")))))</f>
        <v/>
      </c>
      <c r="P1129" s="10">
        <f>IF(OR(L1129="",M1129="",M1129="Pending"),"",O1129-L1129)</f>
        <v/>
      </c>
      <c r="Q1129" s="21" t="n"/>
      <c r="R1129" s="11">
        <f>IF(OR(G1129="",Q1129=""),"",G1129/Q1129-1)</f>
        <v/>
      </c>
      <c r="S1129" s="10">
        <f>IF(OR(L1129="",J1129=""),"",L1129*J1129)</f>
        <v/>
      </c>
      <c r="T1129" s="10">
        <f>IF(P1129="","",StartBank+SUM(P$2:P1129))</f>
        <v/>
      </c>
    </row>
    <row r="1130">
      <c r="A1130" s="22" t="n"/>
      <c r="G1130" s="21" t="n"/>
      <c r="H1130" s="11" t="n"/>
      <c r="I1130" s="21">
        <f>IF(OR(H1130="",H1130=0),"",1/H1130)</f>
        <v/>
      </c>
      <c r="J1130" s="11">
        <f>IF(OR(G1130="",H1130=""),"",H1130*G1130-1)</f>
        <v/>
      </c>
      <c r="K1130" s="10">
        <f>IF(OR(G1130="",H1130="",G1130&lt;=1),"",IF(J1130&lt;IF(D1130="Builder",MinEdgeBuilder,IF(D1130="Player",MinEdgePlayer,MinEdgeSingle)),0,ROUND(MIN(IF(D1130="Single",KellySingle,KellyBuilder)*(StartBank+SUM(P$1:P1129))*J1130/(G1130-1),IF(D1130="Builder",CapBuilder,CapSingle)*Unit),2)))</f>
        <v/>
      </c>
      <c r="L1130" s="10" t="n"/>
      <c r="N1130" s="10" t="n"/>
      <c r="O1130" s="10">
        <f>IF(L1130="","",IF(M1130="Won",L1130*G1130,IF(M1130="Void",L1130,IF(M1130="Cash out",N(N1130),IF(M1130="Lost",0,"")))))</f>
        <v/>
      </c>
      <c r="P1130" s="10">
        <f>IF(OR(L1130="",M1130="",M1130="Pending"),"",O1130-L1130)</f>
        <v/>
      </c>
      <c r="Q1130" s="21" t="n"/>
      <c r="R1130" s="11">
        <f>IF(OR(G1130="",Q1130=""),"",G1130/Q1130-1)</f>
        <v/>
      </c>
      <c r="S1130" s="10">
        <f>IF(OR(L1130="",J1130=""),"",L1130*J1130)</f>
        <v/>
      </c>
      <c r="T1130" s="10">
        <f>IF(P1130="","",StartBank+SUM(P$2:P1130))</f>
        <v/>
      </c>
    </row>
    <row r="1131">
      <c r="A1131" s="22" t="n"/>
      <c r="G1131" s="21" t="n"/>
      <c r="H1131" s="11" t="n"/>
      <c r="I1131" s="21">
        <f>IF(OR(H1131="",H1131=0),"",1/H1131)</f>
        <v/>
      </c>
      <c r="J1131" s="11">
        <f>IF(OR(G1131="",H1131=""),"",H1131*G1131-1)</f>
        <v/>
      </c>
      <c r="K1131" s="10">
        <f>IF(OR(G1131="",H1131="",G1131&lt;=1),"",IF(J1131&lt;IF(D1131="Builder",MinEdgeBuilder,IF(D1131="Player",MinEdgePlayer,MinEdgeSingle)),0,ROUND(MIN(IF(D1131="Single",KellySingle,KellyBuilder)*(StartBank+SUM(P$1:P1130))*J1131/(G1131-1),IF(D1131="Builder",CapBuilder,CapSingle)*Unit),2)))</f>
        <v/>
      </c>
      <c r="L1131" s="10" t="n"/>
      <c r="N1131" s="10" t="n"/>
      <c r="O1131" s="10">
        <f>IF(L1131="","",IF(M1131="Won",L1131*G1131,IF(M1131="Void",L1131,IF(M1131="Cash out",N(N1131),IF(M1131="Lost",0,"")))))</f>
        <v/>
      </c>
      <c r="P1131" s="10">
        <f>IF(OR(L1131="",M1131="",M1131="Pending"),"",O1131-L1131)</f>
        <v/>
      </c>
      <c r="Q1131" s="21" t="n"/>
      <c r="R1131" s="11">
        <f>IF(OR(G1131="",Q1131=""),"",G1131/Q1131-1)</f>
        <v/>
      </c>
      <c r="S1131" s="10">
        <f>IF(OR(L1131="",J1131=""),"",L1131*J1131)</f>
        <v/>
      </c>
      <c r="T1131" s="10">
        <f>IF(P1131="","",StartBank+SUM(P$2:P1131))</f>
        <v/>
      </c>
    </row>
    <row r="1132">
      <c r="A1132" s="22" t="n"/>
      <c r="G1132" s="21" t="n"/>
      <c r="H1132" s="11" t="n"/>
      <c r="I1132" s="21">
        <f>IF(OR(H1132="",H1132=0),"",1/H1132)</f>
        <v/>
      </c>
      <c r="J1132" s="11">
        <f>IF(OR(G1132="",H1132=""),"",H1132*G1132-1)</f>
        <v/>
      </c>
      <c r="K1132" s="10">
        <f>IF(OR(G1132="",H1132="",G1132&lt;=1),"",IF(J1132&lt;IF(D1132="Builder",MinEdgeBuilder,IF(D1132="Player",MinEdgePlayer,MinEdgeSingle)),0,ROUND(MIN(IF(D1132="Single",KellySingle,KellyBuilder)*(StartBank+SUM(P$1:P1131))*J1132/(G1132-1),IF(D1132="Builder",CapBuilder,CapSingle)*Unit),2)))</f>
        <v/>
      </c>
      <c r="L1132" s="10" t="n"/>
      <c r="N1132" s="10" t="n"/>
      <c r="O1132" s="10">
        <f>IF(L1132="","",IF(M1132="Won",L1132*G1132,IF(M1132="Void",L1132,IF(M1132="Cash out",N(N1132),IF(M1132="Lost",0,"")))))</f>
        <v/>
      </c>
      <c r="P1132" s="10">
        <f>IF(OR(L1132="",M1132="",M1132="Pending"),"",O1132-L1132)</f>
        <v/>
      </c>
      <c r="Q1132" s="21" t="n"/>
      <c r="R1132" s="11">
        <f>IF(OR(G1132="",Q1132=""),"",G1132/Q1132-1)</f>
        <v/>
      </c>
      <c r="S1132" s="10">
        <f>IF(OR(L1132="",J1132=""),"",L1132*J1132)</f>
        <v/>
      </c>
      <c r="T1132" s="10">
        <f>IF(P1132="","",StartBank+SUM(P$2:P1132))</f>
        <v/>
      </c>
    </row>
    <row r="1133">
      <c r="A1133" s="22" t="n"/>
      <c r="G1133" s="21" t="n"/>
      <c r="H1133" s="11" t="n"/>
      <c r="I1133" s="21">
        <f>IF(OR(H1133="",H1133=0),"",1/H1133)</f>
        <v/>
      </c>
      <c r="J1133" s="11">
        <f>IF(OR(G1133="",H1133=""),"",H1133*G1133-1)</f>
        <v/>
      </c>
      <c r="K1133" s="10">
        <f>IF(OR(G1133="",H1133="",G1133&lt;=1),"",IF(J1133&lt;IF(D1133="Builder",MinEdgeBuilder,IF(D1133="Player",MinEdgePlayer,MinEdgeSingle)),0,ROUND(MIN(IF(D1133="Single",KellySingle,KellyBuilder)*(StartBank+SUM(P$1:P1132))*J1133/(G1133-1),IF(D1133="Builder",CapBuilder,CapSingle)*Unit),2)))</f>
        <v/>
      </c>
      <c r="L1133" s="10" t="n"/>
      <c r="N1133" s="10" t="n"/>
      <c r="O1133" s="10">
        <f>IF(L1133="","",IF(M1133="Won",L1133*G1133,IF(M1133="Void",L1133,IF(M1133="Cash out",N(N1133),IF(M1133="Lost",0,"")))))</f>
        <v/>
      </c>
      <c r="P1133" s="10">
        <f>IF(OR(L1133="",M1133="",M1133="Pending"),"",O1133-L1133)</f>
        <v/>
      </c>
      <c r="Q1133" s="21" t="n"/>
      <c r="R1133" s="11">
        <f>IF(OR(G1133="",Q1133=""),"",G1133/Q1133-1)</f>
        <v/>
      </c>
      <c r="S1133" s="10">
        <f>IF(OR(L1133="",J1133=""),"",L1133*J1133)</f>
        <v/>
      </c>
      <c r="T1133" s="10">
        <f>IF(P1133="","",StartBank+SUM(P$2:P1133))</f>
        <v/>
      </c>
    </row>
    <row r="1134">
      <c r="A1134" s="22" t="n"/>
      <c r="G1134" s="21" t="n"/>
      <c r="H1134" s="11" t="n"/>
      <c r="I1134" s="21">
        <f>IF(OR(H1134="",H1134=0),"",1/H1134)</f>
        <v/>
      </c>
      <c r="J1134" s="11">
        <f>IF(OR(G1134="",H1134=""),"",H1134*G1134-1)</f>
        <v/>
      </c>
      <c r="K1134" s="10">
        <f>IF(OR(G1134="",H1134="",G1134&lt;=1),"",IF(J1134&lt;IF(D1134="Builder",MinEdgeBuilder,IF(D1134="Player",MinEdgePlayer,MinEdgeSingle)),0,ROUND(MIN(IF(D1134="Single",KellySingle,KellyBuilder)*(StartBank+SUM(P$1:P1133))*J1134/(G1134-1),IF(D1134="Builder",CapBuilder,CapSingle)*Unit),2)))</f>
        <v/>
      </c>
      <c r="L1134" s="10" t="n"/>
      <c r="N1134" s="10" t="n"/>
      <c r="O1134" s="10">
        <f>IF(L1134="","",IF(M1134="Won",L1134*G1134,IF(M1134="Void",L1134,IF(M1134="Cash out",N(N1134),IF(M1134="Lost",0,"")))))</f>
        <v/>
      </c>
      <c r="P1134" s="10">
        <f>IF(OR(L1134="",M1134="",M1134="Pending"),"",O1134-L1134)</f>
        <v/>
      </c>
      <c r="Q1134" s="21" t="n"/>
      <c r="R1134" s="11">
        <f>IF(OR(G1134="",Q1134=""),"",G1134/Q1134-1)</f>
        <v/>
      </c>
      <c r="S1134" s="10">
        <f>IF(OR(L1134="",J1134=""),"",L1134*J1134)</f>
        <v/>
      </c>
      <c r="T1134" s="10">
        <f>IF(P1134="","",StartBank+SUM(P$2:P1134))</f>
        <v/>
      </c>
    </row>
    <row r="1135">
      <c r="A1135" s="22" t="n"/>
      <c r="G1135" s="21" t="n"/>
      <c r="H1135" s="11" t="n"/>
      <c r="I1135" s="21">
        <f>IF(OR(H1135="",H1135=0),"",1/H1135)</f>
        <v/>
      </c>
      <c r="J1135" s="11">
        <f>IF(OR(G1135="",H1135=""),"",H1135*G1135-1)</f>
        <v/>
      </c>
      <c r="K1135" s="10">
        <f>IF(OR(G1135="",H1135="",G1135&lt;=1),"",IF(J1135&lt;IF(D1135="Builder",MinEdgeBuilder,IF(D1135="Player",MinEdgePlayer,MinEdgeSingle)),0,ROUND(MIN(IF(D1135="Single",KellySingle,KellyBuilder)*(StartBank+SUM(P$1:P1134))*J1135/(G1135-1),IF(D1135="Builder",CapBuilder,CapSingle)*Unit),2)))</f>
        <v/>
      </c>
      <c r="L1135" s="10" t="n"/>
      <c r="N1135" s="10" t="n"/>
      <c r="O1135" s="10">
        <f>IF(L1135="","",IF(M1135="Won",L1135*G1135,IF(M1135="Void",L1135,IF(M1135="Cash out",N(N1135),IF(M1135="Lost",0,"")))))</f>
        <v/>
      </c>
      <c r="P1135" s="10">
        <f>IF(OR(L1135="",M1135="",M1135="Pending"),"",O1135-L1135)</f>
        <v/>
      </c>
      <c r="Q1135" s="21" t="n"/>
      <c r="R1135" s="11">
        <f>IF(OR(G1135="",Q1135=""),"",G1135/Q1135-1)</f>
        <v/>
      </c>
      <c r="S1135" s="10">
        <f>IF(OR(L1135="",J1135=""),"",L1135*J1135)</f>
        <v/>
      </c>
      <c r="T1135" s="10">
        <f>IF(P1135="","",StartBank+SUM(P$2:P1135))</f>
        <v/>
      </c>
    </row>
    <row r="1136">
      <c r="A1136" s="22" t="n"/>
      <c r="G1136" s="21" t="n"/>
      <c r="H1136" s="11" t="n"/>
      <c r="I1136" s="21">
        <f>IF(OR(H1136="",H1136=0),"",1/H1136)</f>
        <v/>
      </c>
      <c r="J1136" s="11">
        <f>IF(OR(G1136="",H1136=""),"",H1136*G1136-1)</f>
        <v/>
      </c>
      <c r="K1136" s="10">
        <f>IF(OR(G1136="",H1136="",G1136&lt;=1),"",IF(J1136&lt;IF(D1136="Builder",MinEdgeBuilder,IF(D1136="Player",MinEdgePlayer,MinEdgeSingle)),0,ROUND(MIN(IF(D1136="Single",KellySingle,KellyBuilder)*(StartBank+SUM(P$1:P1135))*J1136/(G1136-1),IF(D1136="Builder",CapBuilder,CapSingle)*Unit),2)))</f>
        <v/>
      </c>
      <c r="L1136" s="10" t="n"/>
      <c r="N1136" s="10" t="n"/>
      <c r="O1136" s="10">
        <f>IF(L1136="","",IF(M1136="Won",L1136*G1136,IF(M1136="Void",L1136,IF(M1136="Cash out",N(N1136),IF(M1136="Lost",0,"")))))</f>
        <v/>
      </c>
      <c r="P1136" s="10">
        <f>IF(OR(L1136="",M1136="",M1136="Pending"),"",O1136-L1136)</f>
        <v/>
      </c>
      <c r="Q1136" s="21" t="n"/>
      <c r="R1136" s="11">
        <f>IF(OR(G1136="",Q1136=""),"",G1136/Q1136-1)</f>
        <v/>
      </c>
      <c r="S1136" s="10">
        <f>IF(OR(L1136="",J1136=""),"",L1136*J1136)</f>
        <v/>
      </c>
      <c r="T1136" s="10">
        <f>IF(P1136="","",StartBank+SUM(P$2:P1136))</f>
        <v/>
      </c>
    </row>
    <row r="1137">
      <c r="A1137" s="22" t="n"/>
      <c r="G1137" s="21" t="n"/>
      <c r="H1137" s="11" t="n"/>
      <c r="I1137" s="21">
        <f>IF(OR(H1137="",H1137=0),"",1/H1137)</f>
        <v/>
      </c>
      <c r="J1137" s="11">
        <f>IF(OR(G1137="",H1137=""),"",H1137*G1137-1)</f>
        <v/>
      </c>
      <c r="K1137" s="10">
        <f>IF(OR(G1137="",H1137="",G1137&lt;=1),"",IF(J1137&lt;IF(D1137="Builder",MinEdgeBuilder,IF(D1137="Player",MinEdgePlayer,MinEdgeSingle)),0,ROUND(MIN(IF(D1137="Single",KellySingle,KellyBuilder)*(StartBank+SUM(P$1:P1136))*J1137/(G1137-1),IF(D1137="Builder",CapBuilder,CapSingle)*Unit),2)))</f>
        <v/>
      </c>
      <c r="L1137" s="10" t="n"/>
      <c r="N1137" s="10" t="n"/>
      <c r="O1137" s="10">
        <f>IF(L1137="","",IF(M1137="Won",L1137*G1137,IF(M1137="Void",L1137,IF(M1137="Cash out",N(N1137),IF(M1137="Lost",0,"")))))</f>
        <v/>
      </c>
      <c r="P1137" s="10">
        <f>IF(OR(L1137="",M1137="",M1137="Pending"),"",O1137-L1137)</f>
        <v/>
      </c>
      <c r="Q1137" s="21" t="n"/>
      <c r="R1137" s="11">
        <f>IF(OR(G1137="",Q1137=""),"",G1137/Q1137-1)</f>
        <v/>
      </c>
      <c r="S1137" s="10">
        <f>IF(OR(L1137="",J1137=""),"",L1137*J1137)</f>
        <v/>
      </c>
      <c r="T1137" s="10">
        <f>IF(P1137="","",StartBank+SUM(P$2:P1137))</f>
        <v/>
      </c>
    </row>
    <row r="1138">
      <c r="A1138" s="22" t="n"/>
      <c r="G1138" s="21" t="n"/>
      <c r="H1138" s="11" t="n"/>
      <c r="I1138" s="21">
        <f>IF(OR(H1138="",H1138=0),"",1/H1138)</f>
        <v/>
      </c>
      <c r="J1138" s="11">
        <f>IF(OR(G1138="",H1138=""),"",H1138*G1138-1)</f>
        <v/>
      </c>
      <c r="K1138" s="10">
        <f>IF(OR(G1138="",H1138="",G1138&lt;=1),"",IF(J1138&lt;IF(D1138="Builder",MinEdgeBuilder,IF(D1138="Player",MinEdgePlayer,MinEdgeSingle)),0,ROUND(MIN(IF(D1138="Single",KellySingle,KellyBuilder)*(StartBank+SUM(P$1:P1137))*J1138/(G1138-1),IF(D1138="Builder",CapBuilder,CapSingle)*Unit),2)))</f>
        <v/>
      </c>
      <c r="L1138" s="10" t="n"/>
      <c r="N1138" s="10" t="n"/>
      <c r="O1138" s="10">
        <f>IF(L1138="","",IF(M1138="Won",L1138*G1138,IF(M1138="Void",L1138,IF(M1138="Cash out",N(N1138),IF(M1138="Lost",0,"")))))</f>
        <v/>
      </c>
      <c r="P1138" s="10">
        <f>IF(OR(L1138="",M1138="",M1138="Pending"),"",O1138-L1138)</f>
        <v/>
      </c>
      <c r="Q1138" s="21" t="n"/>
      <c r="R1138" s="11">
        <f>IF(OR(G1138="",Q1138=""),"",G1138/Q1138-1)</f>
        <v/>
      </c>
      <c r="S1138" s="10">
        <f>IF(OR(L1138="",J1138=""),"",L1138*J1138)</f>
        <v/>
      </c>
      <c r="T1138" s="10">
        <f>IF(P1138="","",StartBank+SUM(P$2:P1138))</f>
        <v/>
      </c>
    </row>
    <row r="1139">
      <c r="A1139" s="22" t="n"/>
      <c r="G1139" s="21" t="n"/>
      <c r="H1139" s="11" t="n"/>
      <c r="I1139" s="21">
        <f>IF(OR(H1139="",H1139=0),"",1/H1139)</f>
        <v/>
      </c>
      <c r="J1139" s="11">
        <f>IF(OR(G1139="",H1139=""),"",H1139*G1139-1)</f>
        <v/>
      </c>
      <c r="K1139" s="10">
        <f>IF(OR(G1139="",H1139="",G1139&lt;=1),"",IF(J1139&lt;IF(D1139="Builder",MinEdgeBuilder,IF(D1139="Player",MinEdgePlayer,MinEdgeSingle)),0,ROUND(MIN(IF(D1139="Single",KellySingle,KellyBuilder)*(StartBank+SUM(P$1:P1138))*J1139/(G1139-1),IF(D1139="Builder",CapBuilder,CapSingle)*Unit),2)))</f>
        <v/>
      </c>
      <c r="L1139" s="10" t="n"/>
      <c r="N1139" s="10" t="n"/>
      <c r="O1139" s="10">
        <f>IF(L1139="","",IF(M1139="Won",L1139*G1139,IF(M1139="Void",L1139,IF(M1139="Cash out",N(N1139),IF(M1139="Lost",0,"")))))</f>
        <v/>
      </c>
      <c r="P1139" s="10">
        <f>IF(OR(L1139="",M1139="",M1139="Pending"),"",O1139-L1139)</f>
        <v/>
      </c>
      <c r="Q1139" s="21" t="n"/>
      <c r="R1139" s="11">
        <f>IF(OR(G1139="",Q1139=""),"",G1139/Q1139-1)</f>
        <v/>
      </c>
      <c r="S1139" s="10">
        <f>IF(OR(L1139="",J1139=""),"",L1139*J1139)</f>
        <v/>
      </c>
      <c r="T1139" s="10">
        <f>IF(P1139="","",StartBank+SUM(P$2:P1139))</f>
        <v/>
      </c>
    </row>
    <row r="1140">
      <c r="A1140" s="22" t="n"/>
      <c r="G1140" s="21" t="n"/>
      <c r="H1140" s="11" t="n"/>
      <c r="I1140" s="21">
        <f>IF(OR(H1140="",H1140=0),"",1/H1140)</f>
        <v/>
      </c>
      <c r="J1140" s="11">
        <f>IF(OR(G1140="",H1140=""),"",H1140*G1140-1)</f>
        <v/>
      </c>
      <c r="K1140" s="10">
        <f>IF(OR(G1140="",H1140="",G1140&lt;=1),"",IF(J1140&lt;IF(D1140="Builder",MinEdgeBuilder,IF(D1140="Player",MinEdgePlayer,MinEdgeSingle)),0,ROUND(MIN(IF(D1140="Single",KellySingle,KellyBuilder)*(StartBank+SUM(P$1:P1139))*J1140/(G1140-1),IF(D1140="Builder",CapBuilder,CapSingle)*Unit),2)))</f>
        <v/>
      </c>
      <c r="L1140" s="10" t="n"/>
      <c r="N1140" s="10" t="n"/>
      <c r="O1140" s="10">
        <f>IF(L1140="","",IF(M1140="Won",L1140*G1140,IF(M1140="Void",L1140,IF(M1140="Cash out",N(N1140),IF(M1140="Lost",0,"")))))</f>
        <v/>
      </c>
      <c r="P1140" s="10">
        <f>IF(OR(L1140="",M1140="",M1140="Pending"),"",O1140-L1140)</f>
        <v/>
      </c>
      <c r="Q1140" s="21" t="n"/>
      <c r="R1140" s="11">
        <f>IF(OR(G1140="",Q1140=""),"",G1140/Q1140-1)</f>
        <v/>
      </c>
      <c r="S1140" s="10">
        <f>IF(OR(L1140="",J1140=""),"",L1140*J1140)</f>
        <v/>
      </c>
      <c r="T1140" s="10">
        <f>IF(P1140="","",StartBank+SUM(P$2:P1140))</f>
        <v/>
      </c>
    </row>
    <row r="1141">
      <c r="A1141" s="22" t="n"/>
      <c r="G1141" s="21" t="n"/>
      <c r="H1141" s="11" t="n"/>
      <c r="I1141" s="21">
        <f>IF(OR(H1141="",H1141=0),"",1/H1141)</f>
        <v/>
      </c>
      <c r="J1141" s="11">
        <f>IF(OR(G1141="",H1141=""),"",H1141*G1141-1)</f>
        <v/>
      </c>
      <c r="K1141" s="10">
        <f>IF(OR(G1141="",H1141="",G1141&lt;=1),"",IF(J1141&lt;IF(D1141="Builder",MinEdgeBuilder,IF(D1141="Player",MinEdgePlayer,MinEdgeSingle)),0,ROUND(MIN(IF(D1141="Single",KellySingle,KellyBuilder)*(StartBank+SUM(P$1:P1140))*J1141/(G1141-1),IF(D1141="Builder",CapBuilder,CapSingle)*Unit),2)))</f>
        <v/>
      </c>
      <c r="L1141" s="10" t="n"/>
      <c r="N1141" s="10" t="n"/>
      <c r="O1141" s="10">
        <f>IF(L1141="","",IF(M1141="Won",L1141*G1141,IF(M1141="Void",L1141,IF(M1141="Cash out",N(N1141),IF(M1141="Lost",0,"")))))</f>
        <v/>
      </c>
      <c r="P1141" s="10">
        <f>IF(OR(L1141="",M1141="",M1141="Pending"),"",O1141-L1141)</f>
        <v/>
      </c>
      <c r="Q1141" s="21" t="n"/>
      <c r="R1141" s="11">
        <f>IF(OR(G1141="",Q1141=""),"",G1141/Q1141-1)</f>
        <v/>
      </c>
      <c r="S1141" s="10">
        <f>IF(OR(L1141="",J1141=""),"",L1141*J1141)</f>
        <v/>
      </c>
      <c r="T1141" s="10">
        <f>IF(P1141="","",StartBank+SUM(P$2:P1141))</f>
        <v/>
      </c>
    </row>
    <row r="1142">
      <c r="A1142" s="22" t="n"/>
      <c r="G1142" s="21" t="n"/>
      <c r="H1142" s="11" t="n"/>
      <c r="I1142" s="21">
        <f>IF(OR(H1142="",H1142=0),"",1/H1142)</f>
        <v/>
      </c>
      <c r="J1142" s="11">
        <f>IF(OR(G1142="",H1142=""),"",H1142*G1142-1)</f>
        <v/>
      </c>
      <c r="K1142" s="10">
        <f>IF(OR(G1142="",H1142="",G1142&lt;=1),"",IF(J1142&lt;IF(D1142="Builder",MinEdgeBuilder,IF(D1142="Player",MinEdgePlayer,MinEdgeSingle)),0,ROUND(MIN(IF(D1142="Single",KellySingle,KellyBuilder)*(StartBank+SUM(P$1:P1141))*J1142/(G1142-1),IF(D1142="Builder",CapBuilder,CapSingle)*Unit),2)))</f>
        <v/>
      </c>
      <c r="L1142" s="10" t="n"/>
      <c r="N1142" s="10" t="n"/>
      <c r="O1142" s="10">
        <f>IF(L1142="","",IF(M1142="Won",L1142*G1142,IF(M1142="Void",L1142,IF(M1142="Cash out",N(N1142),IF(M1142="Lost",0,"")))))</f>
        <v/>
      </c>
      <c r="P1142" s="10">
        <f>IF(OR(L1142="",M1142="",M1142="Pending"),"",O1142-L1142)</f>
        <v/>
      </c>
      <c r="Q1142" s="21" t="n"/>
      <c r="R1142" s="11">
        <f>IF(OR(G1142="",Q1142=""),"",G1142/Q1142-1)</f>
        <v/>
      </c>
      <c r="S1142" s="10">
        <f>IF(OR(L1142="",J1142=""),"",L1142*J1142)</f>
        <v/>
      </c>
      <c r="T1142" s="10">
        <f>IF(P1142="","",StartBank+SUM(P$2:P1142))</f>
        <v/>
      </c>
    </row>
    <row r="1143">
      <c r="A1143" s="22" t="n"/>
      <c r="G1143" s="21" t="n"/>
      <c r="H1143" s="11" t="n"/>
      <c r="I1143" s="21">
        <f>IF(OR(H1143="",H1143=0),"",1/H1143)</f>
        <v/>
      </c>
      <c r="J1143" s="11">
        <f>IF(OR(G1143="",H1143=""),"",H1143*G1143-1)</f>
        <v/>
      </c>
      <c r="K1143" s="10">
        <f>IF(OR(G1143="",H1143="",G1143&lt;=1),"",IF(J1143&lt;IF(D1143="Builder",MinEdgeBuilder,IF(D1143="Player",MinEdgePlayer,MinEdgeSingle)),0,ROUND(MIN(IF(D1143="Single",KellySingle,KellyBuilder)*(StartBank+SUM(P$1:P1142))*J1143/(G1143-1),IF(D1143="Builder",CapBuilder,CapSingle)*Unit),2)))</f>
        <v/>
      </c>
      <c r="L1143" s="10" t="n"/>
      <c r="N1143" s="10" t="n"/>
      <c r="O1143" s="10">
        <f>IF(L1143="","",IF(M1143="Won",L1143*G1143,IF(M1143="Void",L1143,IF(M1143="Cash out",N(N1143),IF(M1143="Lost",0,"")))))</f>
        <v/>
      </c>
      <c r="P1143" s="10">
        <f>IF(OR(L1143="",M1143="",M1143="Pending"),"",O1143-L1143)</f>
        <v/>
      </c>
      <c r="Q1143" s="21" t="n"/>
      <c r="R1143" s="11">
        <f>IF(OR(G1143="",Q1143=""),"",G1143/Q1143-1)</f>
        <v/>
      </c>
      <c r="S1143" s="10">
        <f>IF(OR(L1143="",J1143=""),"",L1143*J1143)</f>
        <v/>
      </c>
      <c r="T1143" s="10">
        <f>IF(P1143="","",StartBank+SUM(P$2:P1143))</f>
        <v/>
      </c>
    </row>
    <row r="1144">
      <c r="A1144" s="22" t="n"/>
      <c r="G1144" s="21" t="n"/>
      <c r="H1144" s="11" t="n"/>
      <c r="I1144" s="21">
        <f>IF(OR(H1144="",H1144=0),"",1/H1144)</f>
        <v/>
      </c>
      <c r="J1144" s="11">
        <f>IF(OR(G1144="",H1144=""),"",H1144*G1144-1)</f>
        <v/>
      </c>
      <c r="K1144" s="10">
        <f>IF(OR(G1144="",H1144="",G1144&lt;=1),"",IF(J1144&lt;IF(D1144="Builder",MinEdgeBuilder,IF(D1144="Player",MinEdgePlayer,MinEdgeSingle)),0,ROUND(MIN(IF(D1144="Single",KellySingle,KellyBuilder)*(StartBank+SUM(P$1:P1143))*J1144/(G1144-1),IF(D1144="Builder",CapBuilder,CapSingle)*Unit),2)))</f>
        <v/>
      </c>
      <c r="L1144" s="10" t="n"/>
      <c r="N1144" s="10" t="n"/>
      <c r="O1144" s="10">
        <f>IF(L1144="","",IF(M1144="Won",L1144*G1144,IF(M1144="Void",L1144,IF(M1144="Cash out",N(N1144),IF(M1144="Lost",0,"")))))</f>
        <v/>
      </c>
      <c r="P1144" s="10">
        <f>IF(OR(L1144="",M1144="",M1144="Pending"),"",O1144-L1144)</f>
        <v/>
      </c>
      <c r="Q1144" s="21" t="n"/>
      <c r="R1144" s="11">
        <f>IF(OR(G1144="",Q1144=""),"",G1144/Q1144-1)</f>
        <v/>
      </c>
      <c r="S1144" s="10">
        <f>IF(OR(L1144="",J1144=""),"",L1144*J1144)</f>
        <v/>
      </c>
      <c r="T1144" s="10">
        <f>IF(P1144="","",StartBank+SUM(P$2:P1144))</f>
        <v/>
      </c>
    </row>
    <row r="1145">
      <c r="A1145" s="22" t="n"/>
      <c r="G1145" s="21" t="n"/>
      <c r="H1145" s="11" t="n"/>
      <c r="I1145" s="21">
        <f>IF(OR(H1145="",H1145=0),"",1/H1145)</f>
        <v/>
      </c>
      <c r="J1145" s="11">
        <f>IF(OR(G1145="",H1145=""),"",H1145*G1145-1)</f>
        <v/>
      </c>
      <c r="K1145" s="10">
        <f>IF(OR(G1145="",H1145="",G1145&lt;=1),"",IF(J1145&lt;IF(D1145="Builder",MinEdgeBuilder,IF(D1145="Player",MinEdgePlayer,MinEdgeSingle)),0,ROUND(MIN(IF(D1145="Single",KellySingle,KellyBuilder)*(StartBank+SUM(P$1:P1144))*J1145/(G1145-1),IF(D1145="Builder",CapBuilder,CapSingle)*Unit),2)))</f>
        <v/>
      </c>
      <c r="L1145" s="10" t="n"/>
      <c r="N1145" s="10" t="n"/>
      <c r="O1145" s="10">
        <f>IF(L1145="","",IF(M1145="Won",L1145*G1145,IF(M1145="Void",L1145,IF(M1145="Cash out",N(N1145),IF(M1145="Lost",0,"")))))</f>
        <v/>
      </c>
      <c r="P1145" s="10">
        <f>IF(OR(L1145="",M1145="",M1145="Pending"),"",O1145-L1145)</f>
        <v/>
      </c>
      <c r="Q1145" s="21" t="n"/>
      <c r="R1145" s="11">
        <f>IF(OR(G1145="",Q1145=""),"",G1145/Q1145-1)</f>
        <v/>
      </c>
      <c r="S1145" s="10">
        <f>IF(OR(L1145="",J1145=""),"",L1145*J1145)</f>
        <v/>
      </c>
      <c r="T1145" s="10">
        <f>IF(P1145="","",StartBank+SUM(P$2:P1145))</f>
        <v/>
      </c>
    </row>
    <row r="1146">
      <c r="A1146" s="22" t="n"/>
      <c r="G1146" s="21" t="n"/>
      <c r="H1146" s="11" t="n"/>
      <c r="I1146" s="21">
        <f>IF(OR(H1146="",H1146=0),"",1/H1146)</f>
        <v/>
      </c>
      <c r="J1146" s="11">
        <f>IF(OR(G1146="",H1146=""),"",H1146*G1146-1)</f>
        <v/>
      </c>
      <c r="K1146" s="10">
        <f>IF(OR(G1146="",H1146="",G1146&lt;=1),"",IF(J1146&lt;IF(D1146="Builder",MinEdgeBuilder,IF(D1146="Player",MinEdgePlayer,MinEdgeSingle)),0,ROUND(MIN(IF(D1146="Single",KellySingle,KellyBuilder)*(StartBank+SUM(P$1:P1145))*J1146/(G1146-1),IF(D1146="Builder",CapBuilder,CapSingle)*Unit),2)))</f>
        <v/>
      </c>
      <c r="L1146" s="10" t="n"/>
      <c r="N1146" s="10" t="n"/>
      <c r="O1146" s="10">
        <f>IF(L1146="","",IF(M1146="Won",L1146*G1146,IF(M1146="Void",L1146,IF(M1146="Cash out",N(N1146),IF(M1146="Lost",0,"")))))</f>
        <v/>
      </c>
      <c r="P1146" s="10">
        <f>IF(OR(L1146="",M1146="",M1146="Pending"),"",O1146-L1146)</f>
        <v/>
      </c>
      <c r="Q1146" s="21" t="n"/>
      <c r="R1146" s="11">
        <f>IF(OR(G1146="",Q1146=""),"",G1146/Q1146-1)</f>
        <v/>
      </c>
      <c r="S1146" s="10">
        <f>IF(OR(L1146="",J1146=""),"",L1146*J1146)</f>
        <v/>
      </c>
      <c r="T1146" s="10">
        <f>IF(P1146="","",StartBank+SUM(P$2:P1146))</f>
        <v/>
      </c>
    </row>
    <row r="1147">
      <c r="A1147" s="22" t="n"/>
      <c r="G1147" s="21" t="n"/>
      <c r="H1147" s="11" t="n"/>
      <c r="I1147" s="21">
        <f>IF(OR(H1147="",H1147=0),"",1/H1147)</f>
        <v/>
      </c>
      <c r="J1147" s="11">
        <f>IF(OR(G1147="",H1147=""),"",H1147*G1147-1)</f>
        <v/>
      </c>
      <c r="K1147" s="10">
        <f>IF(OR(G1147="",H1147="",G1147&lt;=1),"",IF(J1147&lt;IF(D1147="Builder",MinEdgeBuilder,IF(D1147="Player",MinEdgePlayer,MinEdgeSingle)),0,ROUND(MIN(IF(D1147="Single",KellySingle,KellyBuilder)*(StartBank+SUM(P$1:P1146))*J1147/(G1147-1),IF(D1147="Builder",CapBuilder,CapSingle)*Unit),2)))</f>
        <v/>
      </c>
      <c r="L1147" s="10" t="n"/>
      <c r="N1147" s="10" t="n"/>
      <c r="O1147" s="10">
        <f>IF(L1147="","",IF(M1147="Won",L1147*G1147,IF(M1147="Void",L1147,IF(M1147="Cash out",N(N1147),IF(M1147="Lost",0,"")))))</f>
        <v/>
      </c>
      <c r="P1147" s="10">
        <f>IF(OR(L1147="",M1147="",M1147="Pending"),"",O1147-L1147)</f>
        <v/>
      </c>
      <c r="Q1147" s="21" t="n"/>
      <c r="R1147" s="11">
        <f>IF(OR(G1147="",Q1147=""),"",G1147/Q1147-1)</f>
        <v/>
      </c>
      <c r="S1147" s="10">
        <f>IF(OR(L1147="",J1147=""),"",L1147*J1147)</f>
        <v/>
      </c>
      <c r="T1147" s="10">
        <f>IF(P1147="","",StartBank+SUM(P$2:P1147))</f>
        <v/>
      </c>
    </row>
    <row r="1148">
      <c r="A1148" s="22" t="n"/>
      <c r="G1148" s="21" t="n"/>
      <c r="H1148" s="11" t="n"/>
      <c r="I1148" s="21">
        <f>IF(OR(H1148="",H1148=0),"",1/H1148)</f>
        <v/>
      </c>
      <c r="J1148" s="11">
        <f>IF(OR(G1148="",H1148=""),"",H1148*G1148-1)</f>
        <v/>
      </c>
      <c r="K1148" s="10">
        <f>IF(OR(G1148="",H1148="",G1148&lt;=1),"",IF(J1148&lt;IF(D1148="Builder",MinEdgeBuilder,IF(D1148="Player",MinEdgePlayer,MinEdgeSingle)),0,ROUND(MIN(IF(D1148="Single",KellySingle,KellyBuilder)*(StartBank+SUM(P$1:P1147))*J1148/(G1148-1),IF(D1148="Builder",CapBuilder,CapSingle)*Unit),2)))</f>
        <v/>
      </c>
      <c r="L1148" s="10" t="n"/>
      <c r="N1148" s="10" t="n"/>
      <c r="O1148" s="10">
        <f>IF(L1148="","",IF(M1148="Won",L1148*G1148,IF(M1148="Void",L1148,IF(M1148="Cash out",N(N1148),IF(M1148="Lost",0,"")))))</f>
        <v/>
      </c>
      <c r="P1148" s="10">
        <f>IF(OR(L1148="",M1148="",M1148="Pending"),"",O1148-L1148)</f>
        <v/>
      </c>
      <c r="Q1148" s="21" t="n"/>
      <c r="R1148" s="11">
        <f>IF(OR(G1148="",Q1148=""),"",G1148/Q1148-1)</f>
        <v/>
      </c>
      <c r="S1148" s="10">
        <f>IF(OR(L1148="",J1148=""),"",L1148*J1148)</f>
        <v/>
      </c>
      <c r="T1148" s="10">
        <f>IF(P1148="","",StartBank+SUM(P$2:P1148))</f>
        <v/>
      </c>
    </row>
    <row r="1149">
      <c r="A1149" s="22" t="n"/>
      <c r="G1149" s="21" t="n"/>
      <c r="H1149" s="11" t="n"/>
      <c r="I1149" s="21">
        <f>IF(OR(H1149="",H1149=0),"",1/H1149)</f>
        <v/>
      </c>
      <c r="J1149" s="11">
        <f>IF(OR(G1149="",H1149=""),"",H1149*G1149-1)</f>
        <v/>
      </c>
      <c r="K1149" s="10">
        <f>IF(OR(G1149="",H1149="",G1149&lt;=1),"",IF(J1149&lt;IF(D1149="Builder",MinEdgeBuilder,IF(D1149="Player",MinEdgePlayer,MinEdgeSingle)),0,ROUND(MIN(IF(D1149="Single",KellySingle,KellyBuilder)*(StartBank+SUM(P$1:P1148))*J1149/(G1149-1),IF(D1149="Builder",CapBuilder,CapSingle)*Unit),2)))</f>
        <v/>
      </c>
      <c r="L1149" s="10" t="n"/>
      <c r="N1149" s="10" t="n"/>
      <c r="O1149" s="10">
        <f>IF(L1149="","",IF(M1149="Won",L1149*G1149,IF(M1149="Void",L1149,IF(M1149="Cash out",N(N1149),IF(M1149="Lost",0,"")))))</f>
        <v/>
      </c>
      <c r="P1149" s="10">
        <f>IF(OR(L1149="",M1149="",M1149="Pending"),"",O1149-L1149)</f>
        <v/>
      </c>
      <c r="Q1149" s="21" t="n"/>
      <c r="R1149" s="11">
        <f>IF(OR(G1149="",Q1149=""),"",G1149/Q1149-1)</f>
        <v/>
      </c>
      <c r="S1149" s="10">
        <f>IF(OR(L1149="",J1149=""),"",L1149*J1149)</f>
        <v/>
      </c>
      <c r="T1149" s="10">
        <f>IF(P1149="","",StartBank+SUM(P$2:P1149))</f>
        <v/>
      </c>
    </row>
    <row r="1150">
      <c r="A1150" s="22" t="n"/>
      <c r="G1150" s="21" t="n"/>
      <c r="H1150" s="11" t="n"/>
      <c r="I1150" s="21">
        <f>IF(OR(H1150="",H1150=0),"",1/H1150)</f>
        <v/>
      </c>
      <c r="J1150" s="11">
        <f>IF(OR(G1150="",H1150=""),"",H1150*G1150-1)</f>
        <v/>
      </c>
      <c r="K1150" s="10">
        <f>IF(OR(G1150="",H1150="",G1150&lt;=1),"",IF(J1150&lt;IF(D1150="Builder",MinEdgeBuilder,IF(D1150="Player",MinEdgePlayer,MinEdgeSingle)),0,ROUND(MIN(IF(D1150="Single",KellySingle,KellyBuilder)*(StartBank+SUM(P$1:P1149))*J1150/(G1150-1),IF(D1150="Builder",CapBuilder,CapSingle)*Unit),2)))</f>
        <v/>
      </c>
      <c r="L1150" s="10" t="n"/>
      <c r="N1150" s="10" t="n"/>
      <c r="O1150" s="10">
        <f>IF(L1150="","",IF(M1150="Won",L1150*G1150,IF(M1150="Void",L1150,IF(M1150="Cash out",N(N1150),IF(M1150="Lost",0,"")))))</f>
        <v/>
      </c>
      <c r="P1150" s="10">
        <f>IF(OR(L1150="",M1150="",M1150="Pending"),"",O1150-L1150)</f>
        <v/>
      </c>
      <c r="Q1150" s="21" t="n"/>
      <c r="R1150" s="11">
        <f>IF(OR(G1150="",Q1150=""),"",G1150/Q1150-1)</f>
        <v/>
      </c>
      <c r="S1150" s="10">
        <f>IF(OR(L1150="",J1150=""),"",L1150*J1150)</f>
        <v/>
      </c>
      <c r="T1150" s="10">
        <f>IF(P1150="","",StartBank+SUM(P$2:P1150))</f>
        <v/>
      </c>
    </row>
    <row r="1151">
      <c r="A1151" s="22" t="n"/>
      <c r="G1151" s="21" t="n"/>
      <c r="H1151" s="11" t="n"/>
      <c r="I1151" s="21">
        <f>IF(OR(H1151="",H1151=0),"",1/H1151)</f>
        <v/>
      </c>
      <c r="J1151" s="11">
        <f>IF(OR(G1151="",H1151=""),"",H1151*G1151-1)</f>
        <v/>
      </c>
      <c r="K1151" s="10">
        <f>IF(OR(G1151="",H1151="",G1151&lt;=1),"",IF(J1151&lt;IF(D1151="Builder",MinEdgeBuilder,IF(D1151="Player",MinEdgePlayer,MinEdgeSingle)),0,ROUND(MIN(IF(D1151="Single",KellySingle,KellyBuilder)*(StartBank+SUM(P$1:P1150))*J1151/(G1151-1),IF(D1151="Builder",CapBuilder,CapSingle)*Unit),2)))</f>
        <v/>
      </c>
      <c r="L1151" s="10" t="n"/>
      <c r="N1151" s="10" t="n"/>
      <c r="O1151" s="10">
        <f>IF(L1151="","",IF(M1151="Won",L1151*G1151,IF(M1151="Void",L1151,IF(M1151="Cash out",N(N1151),IF(M1151="Lost",0,"")))))</f>
        <v/>
      </c>
      <c r="P1151" s="10">
        <f>IF(OR(L1151="",M1151="",M1151="Pending"),"",O1151-L1151)</f>
        <v/>
      </c>
      <c r="Q1151" s="21" t="n"/>
      <c r="R1151" s="11">
        <f>IF(OR(G1151="",Q1151=""),"",G1151/Q1151-1)</f>
        <v/>
      </c>
      <c r="S1151" s="10">
        <f>IF(OR(L1151="",J1151=""),"",L1151*J1151)</f>
        <v/>
      </c>
      <c r="T1151" s="10">
        <f>IF(P1151="","",StartBank+SUM(P$2:P1151))</f>
        <v/>
      </c>
    </row>
    <row r="1152">
      <c r="A1152" s="22" t="n"/>
      <c r="G1152" s="21" t="n"/>
      <c r="H1152" s="11" t="n"/>
      <c r="I1152" s="21">
        <f>IF(OR(H1152="",H1152=0),"",1/H1152)</f>
        <v/>
      </c>
      <c r="J1152" s="11">
        <f>IF(OR(G1152="",H1152=""),"",H1152*G1152-1)</f>
        <v/>
      </c>
      <c r="K1152" s="10">
        <f>IF(OR(G1152="",H1152="",G1152&lt;=1),"",IF(J1152&lt;IF(D1152="Builder",MinEdgeBuilder,IF(D1152="Player",MinEdgePlayer,MinEdgeSingle)),0,ROUND(MIN(IF(D1152="Single",KellySingle,KellyBuilder)*(StartBank+SUM(P$1:P1151))*J1152/(G1152-1),IF(D1152="Builder",CapBuilder,CapSingle)*Unit),2)))</f>
        <v/>
      </c>
      <c r="L1152" s="10" t="n"/>
      <c r="N1152" s="10" t="n"/>
      <c r="O1152" s="10">
        <f>IF(L1152="","",IF(M1152="Won",L1152*G1152,IF(M1152="Void",L1152,IF(M1152="Cash out",N(N1152),IF(M1152="Lost",0,"")))))</f>
        <v/>
      </c>
      <c r="P1152" s="10">
        <f>IF(OR(L1152="",M1152="",M1152="Pending"),"",O1152-L1152)</f>
        <v/>
      </c>
      <c r="Q1152" s="21" t="n"/>
      <c r="R1152" s="11">
        <f>IF(OR(G1152="",Q1152=""),"",G1152/Q1152-1)</f>
        <v/>
      </c>
      <c r="S1152" s="10">
        <f>IF(OR(L1152="",J1152=""),"",L1152*J1152)</f>
        <v/>
      </c>
      <c r="T1152" s="10">
        <f>IF(P1152="","",StartBank+SUM(P$2:P1152))</f>
        <v/>
      </c>
    </row>
    <row r="1153">
      <c r="A1153" s="22" t="n"/>
      <c r="G1153" s="21" t="n"/>
      <c r="H1153" s="11" t="n"/>
      <c r="I1153" s="21">
        <f>IF(OR(H1153="",H1153=0),"",1/H1153)</f>
        <v/>
      </c>
      <c r="J1153" s="11">
        <f>IF(OR(G1153="",H1153=""),"",H1153*G1153-1)</f>
        <v/>
      </c>
      <c r="K1153" s="10">
        <f>IF(OR(G1153="",H1153="",G1153&lt;=1),"",IF(J1153&lt;IF(D1153="Builder",MinEdgeBuilder,IF(D1153="Player",MinEdgePlayer,MinEdgeSingle)),0,ROUND(MIN(IF(D1153="Single",KellySingle,KellyBuilder)*(StartBank+SUM(P$1:P1152))*J1153/(G1153-1),IF(D1153="Builder",CapBuilder,CapSingle)*Unit),2)))</f>
        <v/>
      </c>
      <c r="L1153" s="10" t="n"/>
      <c r="N1153" s="10" t="n"/>
      <c r="O1153" s="10">
        <f>IF(L1153="","",IF(M1153="Won",L1153*G1153,IF(M1153="Void",L1153,IF(M1153="Cash out",N(N1153),IF(M1153="Lost",0,"")))))</f>
        <v/>
      </c>
      <c r="P1153" s="10">
        <f>IF(OR(L1153="",M1153="",M1153="Pending"),"",O1153-L1153)</f>
        <v/>
      </c>
      <c r="Q1153" s="21" t="n"/>
      <c r="R1153" s="11">
        <f>IF(OR(G1153="",Q1153=""),"",G1153/Q1153-1)</f>
        <v/>
      </c>
      <c r="S1153" s="10">
        <f>IF(OR(L1153="",J1153=""),"",L1153*J1153)</f>
        <v/>
      </c>
      <c r="T1153" s="10">
        <f>IF(P1153="","",StartBank+SUM(P$2:P1153))</f>
        <v/>
      </c>
    </row>
    <row r="1154">
      <c r="A1154" s="22" t="n"/>
      <c r="G1154" s="21" t="n"/>
      <c r="H1154" s="11" t="n"/>
      <c r="I1154" s="21">
        <f>IF(OR(H1154="",H1154=0),"",1/H1154)</f>
        <v/>
      </c>
      <c r="J1154" s="11">
        <f>IF(OR(G1154="",H1154=""),"",H1154*G1154-1)</f>
        <v/>
      </c>
      <c r="K1154" s="10">
        <f>IF(OR(G1154="",H1154="",G1154&lt;=1),"",IF(J1154&lt;IF(D1154="Builder",MinEdgeBuilder,IF(D1154="Player",MinEdgePlayer,MinEdgeSingle)),0,ROUND(MIN(IF(D1154="Single",KellySingle,KellyBuilder)*(StartBank+SUM(P$1:P1153))*J1154/(G1154-1),IF(D1154="Builder",CapBuilder,CapSingle)*Unit),2)))</f>
        <v/>
      </c>
      <c r="L1154" s="10" t="n"/>
      <c r="N1154" s="10" t="n"/>
      <c r="O1154" s="10">
        <f>IF(L1154="","",IF(M1154="Won",L1154*G1154,IF(M1154="Void",L1154,IF(M1154="Cash out",N(N1154),IF(M1154="Lost",0,"")))))</f>
        <v/>
      </c>
      <c r="P1154" s="10">
        <f>IF(OR(L1154="",M1154="",M1154="Pending"),"",O1154-L1154)</f>
        <v/>
      </c>
      <c r="Q1154" s="21" t="n"/>
      <c r="R1154" s="11">
        <f>IF(OR(G1154="",Q1154=""),"",G1154/Q1154-1)</f>
        <v/>
      </c>
      <c r="S1154" s="10">
        <f>IF(OR(L1154="",J1154=""),"",L1154*J1154)</f>
        <v/>
      </c>
      <c r="T1154" s="10">
        <f>IF(P1154="","",StartBank+SUM(P$2:P1154))</f>
        <v/>
      </c>
    </row>
    <row r="1155">
      <c r="A1155" s="22" t="n"/>
      <c r="G1155" s="21" t="n"/>
      <c r="H1155" s="11" t="n"/>
      <c r="I1155" s="21">
        <f>IF(OR(H1155="",H1155=0),"",1/H1155)</f>
        <v/>
      </c>
      <c r="J1155" s="11">
        <f>IF(OR(G1155="",H1155=""),"",H1155*G1155-1)</f>
        <v/>
      </c>
      <c r="K1155" s="10">
        <f>IF(OR(G1155="",H1155="",G1155&lt;=1),"",IF(J1155&lt;IF(D1155="Builder",MinEdgeBuilder,IF(D1155="Player",MinEdgePlayer,MinEdgeSingle)),0,ROUND(MIN(IF(D1155="Single",KellySingle,KellyBuilder)*(StartBank+SUM(P$1:P1154))*J1155/(G1155-1),IF(D1155="Builder",CapBuilder,CapSingle)*Unit),2)))</f>
        <v/>
      </c>
      <c r="L1155" s="10" t="n"/>
      <c r="N1155" s="10" t="n"/>
      <c r="O1155" s="10">
        <f>IF(L1155="","",IF(M1155="Won",L1155*G1155,IF(M1155="Void",L1155,IF(M1155="Cash out",N(N1155),IF(M1155="Lost",0,"")))))</f>
        <v/>
      </c>
      <c r="P1155" s="10">
        <f>IF(OR(L1155="",M1155="",M1155="Pending"),"",O1155-L1155)</f>
        <v/>
      </c>
      <c r="Q1155" s="21" t="n"/>
      <c r="R1155" s="11">
        <f>IF(OR(G1155="",Q1155=""),"",G1155/Q1155-1)</f>
        <v/>
      </c>
      <c r="S1155" s="10">
        <f>IF(OR(L1155="",J1155=""),"",L1155*J1155)</f>
        <v/>
      </c>
      <c r="T1155" s="10">
        <f>IF(P1155="","",StartBank+SUM(P$2:P1155))</f>
        <v/>
      </c>
    </row>
    <row r="1156">
      <c r="A1156" s="22" t="n"/>
      <c r="G1156" s="21" t="n"/>
      <c r="H1156" s="11" t="n"/>
      <c r="I1156" s="21">
        <f>IF(OR(H1156="",H1156=0),"",1/H1156)</f>
        <v/>
      </c>
      <c r="J1156" s="11">
        <f>IF(OR(G1156="",H1156=""),"",H1156*G1156-1)</f>
        <v/>
      </c>
      <c r="K1156" s="10">
        <f>IF(OR(G1156="",H1156="",G1156&lt;=1),"",IF(J1156&lt;IF(D1156="Builder",MinEdgeBuilder,IF(D1156="Player",MinEdgePlayer,MinEdgeSingle)),0,ROUND(MIN(IF(D1156="Single",KellySingle,KellyBuilder)*(StartBank+SUM(P$1:P1155))*J1156/(G1156-1),IF(D1156="Builder",CapBuilder,CapSingle)*Unit),2)))</f>
        <v/>
      </c>
      <c r="L1156" s="10" t="n"/>
      <c r="N1156" s="10" t="n"/>
      <c r="O1156" s="10">
        <f>IF(L1156="","",IF(M1156="Won",L1156*G1156,IF(M1156="Void",L1156,IF(M1156="Cash out",N(N1156),IF(M1156="Lost",0,"")))))</f>
        <v/>
      </c>
      <c r="P1156" s="10">
        <f>IF(OR(L1156="",M1156="",M1156="Pending"),"",O1156-L1156)</f>
        <v/>
      </c>
      <c r="Q1156" s="21" t="n"/>
      <c r="R1156" s="11">
        <f>IF(OR(G1156="",Q1156=""),"",G1156/Q1156-1)</f>
        <v/>
      </c>
      <c r="S1156" s="10">
        <f>IF(OR(L1156="",J1156=""),"",L1156*J1156)</f>
        <v/>
      </c>
      <c r="T1156" s="10">
        <f>IF(P1156="","",StartBank+SUM(P$2:P1156))</f>
        <v/>
      </c>
    </row>
    <row r="1157">
      <c r="A1157" s="22" t="n"/>
      <c r="G1157" s="21" t="n"/>
      <c r="H1157" s="11" t="n"/>
      <c r="I1157" s="21">
        <f>IF(OR(H1157="",H1157=0),"",1/H1157)</f>
        <v/>
      </c>
      <c r="J1157" s="11">
        <f>IF(OR(G1157="",H1157=""),"",H1157*G1157-1)</f>
        <v/>
      </c>
      <c r="K1157" s="10">
        <f>IF(OR(G1157="",H1157="",G1157&lt;=1),"",IF(J1157&lt;IF(D1157="Builder",MinEdgeBuilder,IF(D1157="Player",MinEdgePlayer,MinEdgeSingle)),0,ROUND(MIN(IF(D1157="Single",KellySingle,KellyBuilder)*(StartBank+SUM(P$1:P1156))*J1157/(G1157-1),IF(D1157="Builder",CapBuilder,CapSingle)*Unit),2)))</f>
        <v/>
      </c>
      <c r="L1157" s="10" t="n"/>
      <c r="N1157" s="10" t="n"/>
      <c r="O1157" s="10">
        <f>IF(L1157="","",IF(M1157="Won",L1157*G1157,IF(M1157="Void",L1157,IF(M1157="Cash out",N(N1157),IF(M1157="Lost",0,"")))))</f>
        <v/>
      </c>
      <c r="P1157" s="10">
        <f>IF(OR(L1157="",M1157="",M1157="Pending"),"",O1157-L1157)</f>
        <v/>
      </c>
      <c r="Q1157" s="21" t="n"/>
      <c r="R1157" s="11">
        <f>IF(OR(G1157="",Q1157=""),"",G1157/Q1157-1)</f>
        <v/>
      </c>
      <c r="S1157" s="10">
        <f>IF(OR(L1157="",J1157=""),"",L1157*J1157)</f>
        <v/>
      </c>
      <c r="T1157" s="10">
        <f>IF(P1157="","",StartBank+SUM(P$2:P1157))</f>
        <v/>
      </c>
    </row>
    <row r="1158">
      <c r="A1158" s="22" t="n"/>
      <c r="G1158" s="21" t="n"/>
      <c r="H1158" s="11" t="n"/>
      <c r="I1158" s="21">
        <f>IF(OR(H1158="",H1158=0),"",1/H1158)</f>
        <v/>
      </c>
      <c r="J1158" s="11">
        <f>IF(OR(G1158="",H1158=""),"",H1158*G1158-1)</f>
        <v/>
      </c>
      <c r="K1158" s="10">
        <f>IF(OR(G1158="",H1158="",G1158&lt;=1),"",IF(J1158&lt;IF(D1158="Builder",MinEdgeBuilder,IF(D1158="Player",MinEdgePlayer,MinEdgeSingle)),0,ROUND(MIN(IF(D1158="Single",KellySingle,KellyBuilder)*(StartBank+SUM(P$1:P1157))*J1158/(G1158-1),IF(D1158="Builder",CapBuilder,CapSingle)*Unit),2)))</f>
        <v/>
      </c>
      <c r="L1158" s="10" t="n"/>
      <c r="N1158" s="10" t="n"/>
      <c r="O1158" s="10">
        <f>IF(L1158="","",IF(M1158="Won",L1158*G1158,IF(M1158="Void",L1158,IF(M1158="Cash out",N(N1158),IF(M1158="Lost",0,"")))))</f>
        <v/>
      </c>
      <c r="P1158" s="10">
        <f>IF(OR(L1158="",M1158="",M1158="Pending"),"",O1158-L1158)</f>
        <v/>
      </c>
      <c r="Q1158" s="21" t="n"/>
      <c r="R1158" s="11">
        <f>IF(OR(G1158="",Q1158=""),"",G1158/Q1158-1)</f>
        <v/>
      </c>
      <c r="S1158" s="10">
        <f>IF(OR(L1158="",J1158=""),"",L1158*J1158)</f>
        <v/>
      </c>
      <c r="T1158" s="10">
        <f>IF(P1158="","",StartBank+SUM(P$2:P1158))</f>
        <v/>
      </c>
    </row>
    <row r="1159">
      <c r="A1159" s="22" t="n"/>
      <c r="G1159" s="21" t="n"/>
      <c r="H1159" s="11" t="n"/>
      <c r="I1159" s="21">
        <f>IF(OR(H1159="",H1159=0),"",1/H1159)</f>
        <v/>
      </c>
      <c r="J1159" s="11">
        <f>IF(OR(G1159="",H1159=""),"",H1159*G1159-1)</f>
        <v/>
      </c>
      <c r="K1159" s="10">
        <f>IF(OR(G1159="",H1159="",G1159&lt;=1),"",IF(J1159&lt;IF(D1159="Builder",MinEdgeBuilder,IF(D1159="Player",MinEdgePlayer,MinEdgeSingle)),0,ROUND(MIN(IF(D1159="Single",KellySingle,KellyBuilder)*(StartBank+SUM(P$1:P1158))*J1159/(G1159-1),IF(D1159="Builder",CapBuilder,CapSingle)*Unit),2)))</f>
        <v/>
      </c>
      <c r="L1159" s="10" t="n"/>
      <c r="N1159" s="10" t="n"/>
      <c r="O1159" s="10">
        <f>IF(L1159="","",IF(M1159="Won",L1159*G1159,IF(M1159="Void",L1159,IF(M1159="Cash out",N(N1159),IF(M1159="Lost",0,"")))))</f>
        <v/>
      </c>
      <c r="P1159" s="10">
        <f>IF(OR(L1159="",M1159="",M1159="Pending"),"",O1159-L1159)</f>
        <v/>
      </c>
      <c r="Q1159" s="21" t="n"/>
      <c r="R1159" s="11">
        <f>IF(OR(G1159="",Q1159=""),"",G1159/Q1159-1)</f>
        <v/>
      </c>
      <c r="S1159" s="10">
        <f>IF(OR(L1159="",J1159=""),"",L1159*J1159)</f>
        <v/>
      </c>
      <c r="T1159" s="10">
        <f>IF(P1159="","",StartBank+SUM(P$2:P1159))</f>
        <v/>
      </c>
    </row>
    <row r="1160">
      <c r="A1160" s="22" t="n"/>
      <c r="G1160" s="21" t="n"/>
      <c r="H1160" s="11" t="n"/>
      <c r="I1160" s="21">
        <f>IF(OR(H1160="",H1160=0),"",1/H1160)</f>
        <v/>
      </c>
      <c r="J1160" s="11">
        <f>IF(OR(G1160="",H1160=""),"",H1160*G1160-1)</f>
        <v/>
      </c>
      <c r="K1160" s="10">
        <f>IF(OR(G1160="",H1160="",G1160&lt;=1),"",IF(J1160&lt;IF(D1160="Builder",MinEdgeBuilder,IF(D1160="Player",MinEdgePlayer,MinEdgeSingle)),0,ROUND(MIN(IF(D1160="Single",KellySingle,KellyBuilder)*(StartBank+SUM(P$1:P1159))*J1160/(G1160-1),IF(D1160="Builder",CapBuilder,CapSingle)*Unit),2)))</f>
        <v/>
      </c>
      <c r="L1160" s="10" t="n"/>
      <c r="N1160" s="10" t="n"/>
      <c r="O1160" s="10">
        <f>IF(L1160="","",IF(M1160="Won",L1160*G1160,IF(M1160="Void",L1160,IF(M1160="Cash out",N(N1160),IF(M1160="Lost",0,"")))))</f>
        <v/>
      </c>
      <c r="P1160" s="10">
        <f>IF(OR(L1160="",M1160="",M1160="Pending"),"",O1160-L1160)</f>
        <v/>
      </c>
      <c r="Q1160" s="21" t="n"/>
      <c r="R1160" s="11">
        <f>IF(OR(G1160="",Q1160=""),"",G1160/Q1160-1)</f>
        <v/>
      </c>
      <c r="S1160" s="10">
        <f>IF(OR(L1160="",J1160=""),"",L1160*J1160)</f>
        <v/>
      </c>
      <c r="T1160" s="10">
        <f>IF(P1160="","",StartBank+SUM(P$2:P1160))</f>
        <v/>
      </c>
    </row>
    <row r="1161">
      <c r="A1161" s="22" t="n"/>
      <c r="G1161" s="21" t="n"/>
      <c r="H1161" s="11" t="n"/>
      <c r="I1161" s="21">
        <f>IF(OR(H1161="",H1161=0),"",1/H1161)</f>
        <v/>
      </c>
      <c r="J1161" s="11">
        <f>IF(OR(G1161="",H1161=""),"",H1161*G1161-1)</f>
        <v/>
      </c>
      <c r="K1161" s="10">
        <f>IF(OR(G1161="",H1161="",G1161&lt;=1),"",IF(J1161&lt;IF(D1161="Builder",MinEdgeBuilder,IF(D1161="Player",MinEdgePlayer,MinEdgeSingle)),0,ROUND(MIN(IF(D1161="Single",KellySingle,KellyBuilder)*(StartBank+SUM(P$1:P1160))*J1161/(G1161-1),IF(D1161="Builder",CapBuilder,CapSingle)*Unit),2)))</f>
        <v/>
      </c>
      <c r="L1161" s="10" t="n"/>
      <c r="N1161" s="10" t="n"/>
      <c r="O1161" s="10">
        <f>IF(L1161="","",IF(M1161="Won",L1161*G1161,IF(M1161="Void",L1161,IF(M1161="Cash out",N(N1161),IF(M1161="Lost",0,"")))))</f>
        <v/>
      </c>
      <c r="P1161" s="10">
        <f>IF(OR(L1161="",M1161="",M1161="Pending"),"",O1161-L1161)</f>
        <v/>
      </c>
      <c r="Q1161" s="21" t="n"/>
      <c r="R1161" s="11">
        <f>IF(OR(G1161="",Q1161=""),"",G1161/Q1161-1)</f>
        <v/>
      </c>
      <c r="S1161" s="10">
        <f>IF(OR(L1161="",J1161=""),"",L1161*J1161)</f>
        <v/>
      </c>
      <c r="T1161" s="10">
        <f>IF(P1161="","",StartBank+SUM(P$2:P1161))</f>
        <v/>
      </c>
    </row>
    <row r="1162">
      <c r="A1162" s="22" t="n"/>
      <c r="G1162" s="21" t="n"/>
      <c r="H1162" s="11" t="n"/>
      <c r="I1162" s="21">
        <f>IF(OR(H1162="",H1162=0),"",1/H1162)</f>
        <v/>
      </c>
      <c r="J1162" s="11">
        <f>IF(OR(G1162="",H1162=""),"",H1162*G1162-1)</f>
        <v/>
      </c>
      <c r="K1162" s="10">
        <f>IF(OR(G1162="",H1162="",G1162&lt;=1),"",IF(J1162&lt;IF(D1162="Builder",MinEdgeBuilder,IF(D1162="Player",MinEdgePlayer,MinEdgeSingle)),0,ROUND(MIN(IF(D1162="Single",KellySingle,KellyBuilder)*(StartBank+SUM(P$1:P1161))*J1162/(G1162-1),IF(D1162="Builder",CapBuilder,CapSingle)*Unit),2)))</f>
        <v/>
      </c>
      <c r="L1162" s="10" t="n"/>
      <c r="N1162" s="10" t="n"/>
      <c r="O1162" s="10">
        <f>IF(L1162="","",IF(M1162="Won",L1162*G1162,IF(M1162="Void",L1162,IF(M1162="Cash out",N(N1162),IF(M1162="Lost",0,"")))))</f>
        <v/>
      </c>
      <c r="P1162" s="10">
        <f>IF(OR(L1162="",M1162="",M1162="Pending"),"",O1162-L1162)</f>
        <v/>
      </c>
      <c r="Q1162" s="21" t="n"/>
      <c r="R1162" s="11">
        <f>IF(OR(G1162="",Q1162=""),"",G1162/Q1162-1)</f>
        <v/>
      </c>
      <c r="S1162" s="10">
        <f>IF(OR(L1162="",J1162=""),"",L1162*J1162)</f>
        <v/>
      </c>
      <c r="T1162" s="10">
        <f>IF(P1162="","",StartBank+SUM(P$2:P1162))</f>
        <v/>
      </c>
    </row>
    <row r="1163">
      <c r="A1163" s="22" t="n"/>
      <c r="G1163" s="21" t="n"/>
      <c r="H1163" s="11" t="n"/>
      <c r="I1163" s="21">
        <f>IF(OR(H1163="",H1163=0),"",1/H1163)</f>
        <v/>
      </c>
      <c r="J1163" s="11">
        <f>IF(OR(G1163="",H1163=""),"",H1163*G1163-1)</f>
        <v/>
      </c>
      <c r="K1163" s="10">
        <f>IF(OR(G1163="",H1163="",G1163&lt;=1),"",IF(J1163&lt;IF(D1163="Builder",MinEdgeBuilder,IF(D1163="Player",MinEdgePlayer,MinEdgeSingle)),0,ROUND(MIN(IF(D1163="Single",KellySingle,KellyBuilder)*(StartBank+SUM(P$1:P1162))*J1163/(G1163-1),IF(D1163="Builder",CapBuilder,CapSingle)*Unit),2)))</f>
        <v/>
      </c>
      <c r="L1163" s="10" t="n"/>
      <c r="N1163" s="10" t="n"/>
      <c r="O1163" s="10">
        <f>IF(L1163="","",IF(M1163="Won",L1163*G1163,IF(M1163="Void",L1163,IF(M1163="Cash out",N(N1163),IF(M1163="Lost",0,"")))))</f>
        <v/>
      </c>
      <c r="P1163" s="10">
        <f>IF(OR(L1163="",M1163="",M1163="Pending"),"",O1163-L1163)</f>
        <v/>
      </c>
      <c r="Q1163" s="21" t="n"/>
      <c r="R1163" s="11">
        <f>IF(OR(G1163="",Q1163=""),"",G1163/Q1163-1)</f>
        <v/>
      </c>
      <c r="S1163" s="10">
        <f>IF(OR(L1163="",J1163=""),"",L1163*J1163)</f>
        <v/>
      </c>
      <c r="T1163" s="10">
        <f>IF(P1163="","",StartBank+SUM(P$2:P1163))</f>
        <v/>
      </c>
    </row>
    <row r="1164">
      <c r="A1164" s="22" t="n"/>
      <c r="G1164" s="21" t="n"/>
      <c r="H1164" s="11" t="n"/>
      <c r="I1164" s="21">
        <f>IF(OR(H1164="",H1164=0),"",1/H1164)</f>
        <v/>
      </c>
      <c r="J1164" s="11">
        <f>IF(OR(G1164="",H1164=""),"",H1164*G1164-1)</f>
        <v/>
      </c>
      <c r="K1164" s="10">
        <f>IF(OR(G1164="",H1164="",G1164&lt;=1),"",IF(J1164&lt;IF(D1164="Builder",MinEdgeBuilder,IF(D1164="Player",MinEdgePlayer,MinEdgeSingle)),0,ROUND(MIN(IF(D1164="Single",KellySingle,KellyBuilder)*(StartBank+SUM(P$1:P1163))*J1164/(G1164-1),IF(D1164="Builder",CapBuilder,CapSingle)*Unit),2)))</f>
        <v/>
      </c>
      <c r="L1164" s="10" t="n"/>
      <c r="N1164" s="10" t="n"/>
      <c r="O1164" s="10">
        <f>IF(L1164="","",IF(M1164="Won",L1164*G1164,IF(M1164="Void",L1164,IF(M1164="Cash out",N(N1164),IF(M1164="Lost",0,"")))))</f>
        <v/>
      </c>
      <c r="P1164" s="10">
        <f>IF(OR(L1164="",M1164="",M1164="Pending"),"",O1164-L1164)</f>
        <v/>
      </c>
      <c r="Q1164" s="21" t="n"/>
      <c r="R1164" s="11">
        <f>IF(OR(G1164="",Q1164=""),"",G1164/Q1164-1)</f>
        <v/>
      </c>
      <c r="S1164" s="10">
        <f>IF(OR(L1164="",J1164=""),"",L1164*J1164)</f>
        <v/>
      </c>
      <c r="T1164" s="10">
        <f>IF(P1164="","",StartBank+SUM(P$2:P1164))</f>
        <v/>
      </c>
    </row>
    <row r="1165">
      <c r="A1165" s="22" t="n"/>
      <c r="G1165" s="21" t="n"/>
      <c r="H1165" s="11" t="n"/>
      <c r="I1165" s="21">
        <f>IF(OR(H1165="",H1165=0),"",1/H1165)</f>
        <v/>
      </c>
      <c r="J1165" s="11">
        <f>IF(OR(G1165="",H1165=""),"",H1165*G1165-1)</f>
        <v/>
      </c>
      <c r="K1165" s="10">
        <f>IF(OR(G1165="",H1165="",G1165&lt;=1),"",IF(J1165&lt;IF(D1165="Builder",MinEdgeBuilder,IF(D1165="Player",MinEdgePlayer,MinEdgeSingle)),0,ROUND(MIN(IF(D1165="Single",KellySingle,KellyBuilder)*(StartBank+SUM(P$1:P1164))*J1165/(G1165-1),IF(D1165="Builder",CapBuilder,CapSingle)*Unit),2)))</f>
        <v/>
      </c>
      <c r="L1165" s="10" t="n"/>
      <c r="N1165" s="10" t="n"/>
      <c r="O1165" s="10">
        <f>IF(L1165="","",IF(M1165="Won",L1165*G1165,IF(M1165="Void",L1165,IF(M1165="Cash out",N(N1165),IF(M1165="Lost",0,"")))))</f>
        <v/>
      </c>
      <c r="P1165" s="10">
        <f>IF(OR(L1165="",M1165="",M1165="Pending"),"",O1165-L1165)</f>
        <v/>
      </c>
      <c r="Q1165" s="21" t="n"/>
      <c r="R1165" s="11">
        <f>IF(OR(G1165="",Q1165=""),"",G1165/Q1165-1)</f>
        <v/>
      </c>
      <c r="S1165" s="10">
        <f>IF(OR(L1165="",J1165=""),"",L1165*J1165)</f>
        <v/>
      </c>
      <c r="T1165" s="10">
        <f>IF(P1165="","",StartBank+SUM(P$2:P1165))</f>
        <v/>
      </c>
    </row>
    <row r="1166">
      <c r="A1166" s="22" t="n"/>
      <c r="G1166" s="21" t="n"/>
      <c r="H1166" s="11" t="n"/>
      <c r="I1166" s="21">
        <f>IF(OR(H1166="",H1166=0),"",1/H1166)</f>
        <v/>
      </c>
      <c r="J1166" s="11">
        <f>IF(OR(G1166="",H1166=""),"",H1166*G1166-1)</f>
        <v/>
      </c>
      <c r="K1166" s="10">
        <f>IF(OR(G1166="",H1166="",G1166&lt;=1),"",IF(J1166&lt;IF(D1166="Builder",MinEdgeBuilder,IF(D1166="Player",MinEdgePlayer,MinEdgeSingle)),0,ROUND(MIN(IF(D1166="Single",KellySingle,KellyBuilder)*(StartBank+SUM(P$1:P1165))*J1166/(G1166-1),IF(D1166="Builder",CapBuilder,CapSingle)*Unit),2)))</f>
        <v/>
      </c>
      <c r="L1166" s="10" t="n"/>
      <c r="N1166" s="10" t="n"/>
      <c r="O1166" s="10">
        <f>IF(L1166="","",IF(M1166="Won",L1166*G1166,IF(M1166="Void",L1166,IF(M1166="Cash out",N(N1166),IF(M1166="Lost",0,"")))))</f>
        <v/>
      </c>
      <c r="P1166" s="10">
        <f>IF(OR(L1166="",M1166="",M1166="Pending"),"",O1166-L1166)</f>
        <v/>
      </c>
      <c r="Q1166" s="21" t="n"/>
      <c r="R1166" s="11">
        <f>IF(OR(G1166="",Q1166=""),"",G1166/Q1166-1)</f>
        <v/>
      </c>
      <c r="S1166" s="10">
        <f>IF(OR(L1166="",J1166=""),"",L1166*J1166)</f>
        <v/>
      </c>
      <c r="T1166" s="10">
        <f>IF(P1166="","",StartBank+SUM(P$2:P1166))</f>
        <v/>
      </c>
    </row>
    <row r="1167">
      <c r="A1167" s="22" t="n"/>
      <c r="G1167" s="21" t="n"/>
      <c r="H1167" s="11" t="n"/>
      <c r="I1167" s="21">
        <f>IF(OR(H1167="",H1167=0),"",1/H1167)</f>
        <v/>
      </c>
      <c r="J1167" s="11">
        <f>IF(OR(G1167="",H1167=""),"",H1167*G1167-1)</f>
        <v/>
      </c>
      <c r="K1167" s="10">
        <f>IF(OR(G1167="",H1167="",G1167&lt;=1),"",IF(J1167&lt;IF(D1167="Builder",MinEdgeBuilder,IF(D1167="Player",MinEdgePlayer,MinEdgeSingle)),0,ROUND(MIN(IF(D1167="Single",KellySingle,KellyBuilder)*(StartBank+SUM(P$1:P1166))*J1167/(G1167-1),IF(D1167="Builder",CapBuilder,CapSingle)*Unit),2)))</f>
        <v/>
      </c>
      <c r="L1167" s="10" t="n"/>
      <c r="N1167" s="10" t="n"/>
      <c r="O1167" s="10">
        <f>IF(L1167="","",IF(M1167="Won",L1167*G1167,IF(M1167="Void",L1167,IF(M1167="Cash out",N(N1167),IF(M1167="Lost",0,"")))))</f>
        <v/>
      </c>
      <c r="P1167" s="10">
        <f>IF(OR(L1167="",M1167="",M1167="Pending"),"",O1167-L1167)</f>
        <v/>
      </c>
      <c r="Q1167" s="21" t="n"/>
      <c r="R1167" s="11">
        <f>IF(OR(G1167="",Q1167=""),"",G1167/Q1167-1)</f>
        <v/>
      </c>
      <c r="S1167" s="10">
        <f>IF(OR(L1167="",J1167=""),"",L1167*J1167)</f>
        <v/>
      </c>
      <c r="T1167" s="10">
        <f>IF(P1167="","",StartBank+SUM(P$2:P1167))</f>
        <v/>
      </c>
    </row>
    <row r="1168">
      <c r="A1168" s="22" t="n"/>
      <c r="G1168" s="21" t="n"/>
      <c r="H1168" s="11" t="n"/>
      <c r="I1168" s="21">
        <f>IF(OR(H1168="",H1168=0),"",1/H1168)</f>
        <v/>
      </c>
      <c r="J1168" s="11">
        <f>IF(OR(G1168="",H1168=""),"",H1168*G1168-1)</f>
        <v/>
      </c>
      <c r="K1168" s="10">
        <f>IF(OR(G1168="",H1168="",G1168&lt;=1),"",IF(J1168&lt;IF(D1168="Builder",MinEdgeBuilder,IF(D1168="Player",MinEdgePlayer,MinEdgeSingle)),0,ROUND(MIN(IF(D1168="Single",KellySingle,KellyBuilder)*(StartBank+SUM(P$1:P1167))*J1168/(G1168-1),IF(D1168="Builder",CapBuilder,CapSingle)*Unit),2)))</f>
        <v/>
      </c>
      <c r="L1168" s="10" t="n"/>
      <c r="N1168" s="10" t="n"/>
      <c r="O1168" s="10">
        <f>IF(L1168="","",IF(M1168="Won",L1168*G1168,IF(M1168="Void",L1168,IF(M1168="Cash out",N(N1168),IF(M1168="Lost",0,"")))))</f>
        <v/>
      </c>
      <c r="P1168" s="10">
        <f>IF(OR(L1168="",M1168="",M1168="Pending"),"",O1168-L1168)</f>
        <v/>
      </c>
      <c r="Q1168" s="21" t="n"/>
      <c r="R1168" s="11">
        <f>IF(OR(G1168="",Q1168=""),"",G1168/Q1168-1)</f>
        <v/>
      </c>
      <c r="S1168" s="10">
        <f>IF(OR(L1168="",J1168=""),"",L1168*J1168)</f>
        <v/>
      </c>
      <c r="T1168" s="10">
        <f>IF(P1168="","",StartBank+SUM(P$2:P1168))</f>
        <v/>
      </c>
    </row>
    <row r="1169">
      <c r="A1169" s="22" t="n"/>
      <c r="G1169" s="21" t="n"/>
      <c r="H1169" s="11" t="n"/>
      <c r="I1169" s="21">
        <f>IF(OR(H1169="",H1169=0),"",1/H1169)</f>
        <v/>
      </c>
      <c r="J1169" s="11">
        <f>IF(OR(G1169="",H1169=""),"",H1169*G1169-1)</f>
        <v/>
      </c>
      <c r="K1169" s="10">
        <f>IF(OR(G1169="",H1169="",G1169&lt;=1),"",IF(J1169&lt;IF(D1169="Builder",MinEdgeBuilder,IF(D1169="Player",MinEdgePlayer,MinEdgeSingle)),0,ROUND(MIN(IF(D1169="Single",KellySingle,KellyBuilder)*(StartBank+SUM(P$1:P1168))*J1169/(G1169-1),IF(D1169="Builder",CapBuilder,CapSingle)*Unit),2)))</f>
        <v/>
      </c>
      <c r="L1169" s="10" t="n"/>
      <c r="N1169" s="10" t="n"/>
      <c r="O1169" s="10">
        <f>IF(L1169="","",IF(M1169="Won",L1169*G1169,IF(M1169="Void",L1169,IF(M1169="Cash out",N(N1169),IF(M1169="Lost",0,"")))))</f>
        <v/>
      </c>
      <c r="P1169" s="10">
        <f>IF(OR(L1169="",M1169="",M1169="Pending"),"",O1169-L1169)</f>
        <v/>
      </c>
      <c r="Q1169" s="21" t="n"/>
      <c r="R1169" s="11">
        <f>IF(OR(G1169="",Q1169=""),"",G1169/Q1169-1)</f>
        <v/>
      </c>
      <c r="S1169" s="10">
        <f>IF(OR(L1169="",J1169=""),"",L1169*J1169)</f>
        <v/>
      </c>
      <c r="T1169" s="10">
        <f>IF(P1169="","",StartBank+SUM(P$2:P1169))</f>
        <v/>
      </c>
    </row>
    <row r="1170">
      <c r="A1170" s="22" t="n"/>
      <c r="G1170" s="21" t="n"/>
      <c r="H1170" s="11" t="n"/>
      <c r="I1170" s="21">
        <f>IF(OR(H1170="",H1170=0),"",1/H1170)</f>
        <v/>
      </c>
      <c r="J1170" s="11">
        <f>IF(OR(G1170="",H1170=""),"",H1170*G1170-1)</f>
        <v/>
      </c>
      <c r="K1170" s="10">
        <f>IF(OR(G1170="",H1170="",G1170&lt;=1),"",IF(J1170&lt;IF(D1170="Builder",MinEdgeBuilder,IF(D1170="Player",MinEdgePlayer,MinEdgeSingle)),0,ROUND(MIN(IF(D1170="Single",KellySingle,KellyBuilder)*(StartBank+SUM(P$1:P1169))*J1170/(G1170-1),IF(D1170="Builder",CapBuilder,CapSingle)*Unit),2)))</f>
        <v/>
      </c>
      <c r="L1170" s="10" t="n"/>
      <c r="N1170" s="10" t="n"/>
      <c r="O1170" s="10">
        <f>IF(L1170="","",IF(M1170="Won",L1170*G1170,IF(M1170="Void",L1170,IF(M1170="Cash out",N(N1170),IF(M1170="Lost",0,"")))))</f>
        <v/>
      </c>
      <c r="P1170" s="10">
        <f>IF(OR(L1170="",M1170="",M1170="Pending"),"",O1170-L1170)</f>
        <v/>
      </c>
      <c r="Q1170" s="21" t="n"/>
      <c r="R1170" s="11">
        <f>IF(OR(G1170="",Q1170=""),"",G1170/Q1170-1)</f>
        <v/>
      </c>
      <c r="S1170" s="10">
        <f>IF(OR(L1170="",J1170=""),"",L1170*J1170)</f>
        <v/>
      </c>
      <c r="T1170" s="10">
        <f>IF(P1170="","",StartBank+SUM(P$2:P1170))</f>
        <v/>
      </c>
    </row>
    <row r="1171">
      <c r="A1171" s="22" t="n"/>
      <c r="G1171" s="21" t="n"/>
      <c r="H1171" s="11" t="n"/>
      <c r="I1171" s="21">
        <f>IF(OR(H1171="",H1171=0),"",1/H1171)</f>
        <v/>
      </c>
      <c r="J1171" s="11">
        <f>IF(OR(G1171="",H1171=""),"",H1171*G1171-1)</f>
        <v/>
      </c>
      <c r="K1171" s="10">
        <f>IF(OR(G1171="",H1171="",G1171&lt;=1),"",IF(J1171&lt;IF(D1171="Builder",MinEdgeBuilder,IF(D1171="Player",MinEdgePlayer,MinEdgeSingle)),0,ROUND(MIN(IF(D1171="Single",KellySingle,KellyBuilder)*(StartBank+SUM(P$1:P1170))*J1171/(G1171-1),IF(D1171="Builder",CapBuilder,CapSingle)*Unit),2)))</f>
        <v/>
      </c>
      <c r="L1171" s="10" t="n"/>
      <c r="N1171" s="10" t="n"/>
      <c r="O1171" s="10">
        <f>IF(L1171="","",IF(M1171="Won",L1171*G1171,IF(M1171="Void",L1171,IF(M1171="Cash out",N(N1171),IF(M1171="Lost",0,"")))))</f>
        <v/>
      </c>
      <c r="P1171" s="10">
        <f>IF(OR(L1171="",M1171="",M1171="Pending"),"",O1171-L1171)</f>
        <v/>
      </c>
      <c r="Q1171" s="21" t="n"/>
      <c r="R1171" s="11">
        <f>IF(OR(G1171="",Q1171=""),"",G1171/Q1171-1)</f>
        <v/>
      </c>
      <c r="S1171" s="10">
        <f>IF(OR(L1171="",J1171=""),"",L1171*J1171)</f>
        <v/>
      </c>
      <c r="T1171" s="10">
        <f>IF(P1171="","",StartBank+SUM(P$2:P1171))</f>
        <v/>
      </c>
    </row>
    <row r="1172">
      <c r="A1172" s="22" t="n"/>
      <c r="G1172" s="21" t="n"/>
      <c r="H1172" s="11" t="n"/>
      <c r="I1172" s="21">
        <f>IF(OR(H1172="",H1172=0),"",1/H1172)</f>
        <v/>
      </c>
      <c r="J1172" s="11">
        <f>IF(OR(G1172="",H1172=""),"",H1172*G1172-1)</f>
        <v/>
      </c>
      <c r="K1172" s="10">
        <f>IF(OR(G1172="",H1172="",G1172&lt;=1),"",IF(J1172&lt;IF(D1172="Builder",MinEdgeBuilder,IF(D1172="Player",MinEdgePlayer,MinEdgeSingle)),0,ROUND(MIN(IF(D1172="Single",KellySingle,KellyBuilder)*(StartBank+SUM(P$1:P1171))*J1172/(G1172-1),IF(D1172="Builder",CapBuilder,CapSingle)*Unit),2)))</f>
        <v/>
      </c>
      <c r="L1172" s="10" t="n"/>
      <c r="N1172" s="10" t="n"/>
      <c r="O1172" s="10">
        <f>IF(L1172="","",IF(M1172="Won",L1172*G1172,IF(M1172="Void",L1172,IF(M1172="Cash out",N(N1172),IF(M1172="Lost",0,"")))))</f>
        <v/>
      </c>
      <c r="P1172" s="10">
        <f>IF(OR(L1172="",M1172="",M1172="Pending"),"",O1172-L1172)</f>
        <v/>
      </c>
      <c r="Q1172" s="21" t="n"/>
      <c r="R1172" s="11">
        <f>IF(OR(G1172="",Q1172=""),"",G1172/Q1172-1)</f>
        <v/>
      </c>
      <c r="S1172" s="10">
        <f>IF(OR(L1172="",J1172=""),"",L1172*J1172)</f>
        <v/>
      </c>
      <c r="T1172" s="10">
        <f>IF(P1172="","",StartBank+SUM(P$2:P1172))</f>
        <v/>
      </c>
    </row>
    <row r="1173">
      <c r="A1173" s="22" t="n"/>
      <c r="G1173" s="21" t="n"/>
      <c r="H1173" s="11" t="n"/>
      <c r="I1173" s="21">
        <f>IF(OR(H1173="",H1173=0),"",1/H1173)</f>
        <v/>
      </c>
      <c r="J1173" s="11">
        <f>IF(OR(G1173="",H1173=""),"",H1173*G1173-1)</f>
        <v/>
      </c>
      <c r="K1173" s="10">
        <f>IF(OR(G1173="",H1173="",G1173&lt;=1),"",IF(J1173&lt;IF(D1173="Builder",MinEdgeBuilder,IF(D1173="Player",MinEdgePlayer,MinEdgeSingle)),0,ROUND(MIN(IF(D1173="Single",KellySingle,KellyBuilder)*(StartBank+SUM(P$1:P1172))*J1173/(G1173-1),IF(D1173="Builder",CapBuilder,CapSingle)*Unit),2)))</f>
        <v/>
      </c>
      <c r="L1173" s="10" t="n"/>
      <c r="N1173" s="10" t="n"/>
      <c r="O1173" s="10">
        <f>IF(L1173="","",IF(M1173="Won",L1173*G1173,IF(M1173="Void",L1173,IF(M1173="Cash out",N(N1173),IF(M1173="Lost",0,"")))))</f>
        <v/>
      </c>
      <c r="P1173" s="10">
        <f>IF(OR(L1173="",M1173="",M1173="Pending"),"",O1173-L1173)</f>
        <v/>
      </c>
      <c r="Q1173" s="21" t="n"/>
      <c r="R1173" s="11">
        <f>IF(OR(G1173="",Q1173=""),"",G1173/Q1173-1)</f>
        <v/>
      </c>
      <c r="S1173" s="10">
        <f>IF(OR(L1173="",J1173=""),"",L1173*J1173)</f>
        <v/>
      </c>
      <c r="T1173" s="10">
        <f>IF(P1173="","",StartBank+SUM(P$2:P1173))</f>
        <v/>
      </c>
    </row>
    <row r="1174">
      <c r="A1174" s="22" t="n"/>
      <c r="G1174" s="21" t="n"/>
      <c r="H1174" s="11" t="n"/>
      <c r="I1174" s="21">
        <f>IF(OR(H1174="",H1174=0),"",1/H1174)</f>
        <v/>
      </c>
      <c r="J1174" s="11">
        <f>IF(OR(G1174="",H1174=""),"",H1174*G1174-1)</f>
        <v/>
      </c>
      <c r="K1174" s="10">
        <f>IF(OR(G1174="",H1174="",G1174&lt;=1),"",IF(J1174&lt;IF(D1174="Builder",MinEdgeBuilder,IF(D1174="Player",MinEdgePlayer,MinEdgeSingle)),0,ROUND(MIN(IF(D1174="Single",KellySingle,KellyBuilder)*(StartBank+SUM(P$1:P1173))*J1174/(G1174-1),IF(D1174="Builder",CapBuilder,CapSingle)*Unit),2)))</f>
        <v/>
      </c>
      <c r="L1174" s="10" t="n"/>
      <c r="N1174" s="10" t="n"/>
      <c r="O1174" s="10">
        <f>IF(L1174="","",IF(M1174="Won",L1174*G1174,IF(M1174="Void",L1174,IF(M1174="Cash out",N(N1174),IF(M1174="Lost",0,"")))))</f>
        <v/>
      </c>
      <c r="P1174" s="10">
        <f>IF(OR(L1174="",M1174="",M1174="Pending"),"",O1174-L1174)</f>
        <v/>
      </c>
      <c r="Q1174" s="21" t="n"/>
      <c r="R1174" s="11">
        <f>IF(OR(G1174="",Q1174=""),"",G1174/Q1174-1)</f>
        <v/>
      </c>
      <c r="S1174" s="10">
        <f>IF(OR(L1174="",J1174=""),"",L1174*J1174)</f>
        <v/>
      </c>
      <c r="T1174" s="10">
        <f>IF(P1174="","",StartBank+SUM(P$2:P1174))</f>
        <v/>
      </c>
    </row>
    <row r="1175">
      <c r="A1175" s="22" t="n"/>
      <c r="G1175" s="21" t="n"/>
      <c r="H1175" s="11" t="n"/>
      <c r="I1175" s="21">
        <f>IF(OR(H1175="",H1175=0),"",1/H1175)</f>
        <v/>
      </c>
      <c r="J1175" s="11">
        <f>IF(OR(G1175="",H1175=""),"",H1175*G1175-1)</f>
        <v/>
      </c>
      <c r="K1175" s="10">
        <f>IF(OR(G1175="",H1175="",G1175&lt;=1),"",IF(J1175&lt;IF(D1175="Builder",MinEdgeBuilder,IF(D1175="Player",MinEdgePlayer,MinEdgeSingle)),0,ROUND(MIN(IF(D1175="Single",KellySingle,KellyBuilder)*(StartBank+SUM(P$1:P1174))*J1175/(G1175-1),IF(D1175="Builder",CapBuilder,CapSingle)*Unit),2)))</f>
        <v/>
      </c>
      <c r="L1175" s="10" t="n"/>
      <c r="N1175" s="10" t="n"/>
      <c r="O1175" s="10">
        <f>IF(L1175="","",IF(M1175="Won",L1175*G1175,IF(M1175="Void",L1175,IF(M1175="Cash out",N(N1175),IF(M1175="Lost",0,"")))))</f>
        <v/>
      </c>
      <c r="P1175" s="10">
        <f>IF(OR(L1175="",M1175="",M1175="Pending"),"",O1175-L1175)</f>
        <v/>
      </c>
      <c r="Q1175" s="21" t="n"/>
      <c r="R1175" s="11">
        <f>IF(OR(G1175="",Q1175=""),"",G1175/Q1175-1)</f>
        <v/>
      </c>
      <c r="S1175" s="10">
        <f>IF(OR(L1175="",J1175=""),"",L1175*J1175)</f>
        <v/>
      </c>
      <c r="T1175" s="10">
        <f>IF(P1175="","",StartBank+SUM(P$2:P1175))</f>
        <v/>
      </c>
    </row>
    <row r="1176">
      <c r="A1176" s="22" t="n"/>
      <c r="G1176" s="21" t="n"/>
      <c r="H1176" s="11" t="n"/>
      <c r="I1176" s="21">
        <f>IF(OR(H1176="",H1176=0),"",1/H1176)</f>
        <v/>
      </c>
      <c r="J1176" s="11">
        <f>IF(OR(G1176="",H1176=""),"",H1176*G1176-1)</f>
        <v/>
      </c>
      <c r="K1176" s="10">
        <f>IF(OR(G1176="",H1176="",G1176&lt;=1),"",IF(J1176&lt;IF(D1176="Builder",MinEdgeBuilder,IF(D1176="Player",MinEdgePlayer,MinEdgeSingle)),0,ROUND(MIN(IF(D1176="Single",KellySingle,KellyBuilder)*(StartBank+SUM(P$1:P1175))*J1176/(G1176-1),IF(D1176="Builder",CapBuilder,CapSingle)*Unit),2)))</f>
        <v/>
      </c>
      <c r="L1176" s="10" t="n"/>
      <c r="N1176" s="10" t="n"/>
      <c r="O1176" s="10">
        <f>IF(L1176="","",IF(M1176="Won",L1176*G1176,IF(M1176="Void",L1176,IF(M1176="Cash out",N(N1176),IF(M1176="Lost",0,"")))))</f>
        <v/>
      </c>
      <c r="P1176" s="10">
        <f>IF(OR(L1176="",M1176="",M1176="Pending"),"",O1176-L1176)</f>
        <v/>
      </c>
      <c r="Q1176" s="21" t="n"/>
      <c r="R1176" s="11">
        <f>IF(OR(G1176="",Q1176=""),"",G1176/Q1176-1)</f>
        <v/>
      </c>
      <c r="S1176" s="10">
        <f>IF(OR(L1176="",J1176=""),"",L1176*J1176)</f>
        <v/>
      </c>
      <c r="T1176" s="10">
        <f>IF(P1176="","",StartBank+SUM(P$2:P1176))</f>
        <v/>
      </c>
    </row>
    <row r="1177">
      <c r="A1177" s="22" t="n"/>
      <c r="G1177" s="21" t="n"/>
      <c r="H1177" s="11" t="n"/>
      <c r="I1177" s="21">
        <f>IF(OR(H1177="",H1177=0),"",1/H1177)</f>
        <v/>
      </c>
      <c r="J1177" s="11">
        <f>IF(OR(G1177="",H1177=""),"",H1177*G1177-1)</f>
        <v/>
      </c>
      <c r="K1177" s="10">
        <f>IF(OR(G1177="",H1177="",G1177&lt;=1),"",IF(J1177&lt;IF(D1177="Builder",MinEdgeBuilder,IF(D1177="Player",MinEdgePlayer,MinEdgeSingle)),0,ROUND(MIN(IF(D1177="Single",KellySingle,KellyBuilder)*(StartBank+SUM(P$1:P1176))*J1177/(G1177-1),IF(D1177="Builder",CapBuilder,CapSingle)*Unit),2)))</f>
        <v/>
      </c>
      <c r="L1177" s="10" t="n"/>
      <c r="N1177" s="10" t="n"/>
      <c r="O1177" s="10">
        <f>IF(L1177="","",IF(M1177="Won",L1177*G1177,IF(M1177="Void",L1177,IF(M1177="Cash out",N(N1177),IF(M1177="Lost",0,"")))))</f>
        <v/>
      </c>
      <c r="P1177" s="10">
        <f>IF(OR(L1177="",M1177="",M1177="Pending"),"",O1177-L1177)</f>
        <v/>
      </c>
      <c r="Q1177" s="21" t="n"/>
      <c r="R1177" s="11">
        <f>IF(OR(G1177="",Q1177=""),"",G1177/Q1177-1)</f>
        <v/>
      </c>
      <c r="S1177" s="10">
        <f>IF(OR(L1177="",J1177=""),"",L1177*J1177)</f>
        <v/>
      </c>
      <c r="T1177" s="10">
        <f>IF(P1177="","",StartBank+SUM(P$2:P1177))</f>
        <v/>
      </c>
    </row>
    <row r="1178">
      <c r="A1178" s="22" t="n"/>
      <c r="G1178" s="21" t="n"/>
      <c r="H1178" s="11" t="n"/>
      <c r="I1178" s="21">
        <f>IF(OR(H1178="",H1178=0),"",1/H1178)</f>
        <v/>
      </c>
      <c r="J1178" s="11">
        <f>IF(OR(G1178="",H1178=""),"",H1178*G1178-1)</f>
        <v/>
      </c>
      <c r="K1178" s="10">
        <f>IF(OR(G1178="",H1178="",G1178&lt;=1),"",IF(J1178&lt;IF(D1178="Builder",MinEdgeBuilder,IF(D1178="Player",MinEdgePlayer,MinEdgeSingle)),0,ROUND(MIN(IF(D1178="Single",KellySingle,KellyBuilder)*(StartBank+SUM(P$1:P1177))*J1178/(G1178-1),IF(D1178="Builder",CapBuilder,CapSingle)*Unit),2)))</f>
        <v/>
      </c>
      <c r="L1178" s="10" t="n"/>
      <c r="N1178" s="10" t="n"/>
      <c r="O1178" s="10">
        <f>IF(L1178="","",IF(M1178="Won",L1178*G1178,IF(M1178="Void",L1178,IF(M1178="Cash out",N(N1178),IF(M1178="Lost",0,"")))))</f>
        <v/>
      </c>
      <c r="P1178" s="10">
        <f>IF(OR(L1178="",M1178="",M1178="Pending"),"",O1178-L1178)</f>
        <v/>
      </c>
      <c r="Q1178" s="21" t="n"/>
      <c r="R1178" s="11">
        <f>IF(OR(G1178="",Q1178=""),"",G1178/Q1178-1)</f>
        <v/>
      </c>
      <c r="S1178" s="10">
        <f>IF(OR(L1178="",J1178=""),"",L1178*J1178)</f>
        <v/>
      </c>
      <c r="T1178" s="10">
        <f>IF(P1178="","",StartBank+SUM(P$2:P1178))</f>
        <v/>
      </c>
    </row>
    <row r="1179">
      <c r="A1179" s="22" t="n"/>
      <c r="G1179" s="21" t="n"/>
      <c r="H1179" s="11" t="n"/>
      <c r="I1179" s="21">
        <f>IF(OR(H1179="",H1179=0),"",1/H1179)</f>
        <v/>
      </c>
      <c r="J1179" s="11">
        <f>IF(OR(G1179="",H1179=""),"",H1179*G1179-1)</f>
        <v/>
      </c>
      <c r="K1179" s="10">
        <f>IF(OR(G1179="",H1179="",G1179&lt;=1),"",IF(J1179&lt;IF(D1179="Builder",MinEdgeBuilder,IF(D1179="Player",MinEdgePlayer,MinEdgeSingle)),0,ROUND(MIN(IF(D1179="Single",KellySingle,KellyBuilder)*(StartBank+SUM(P$1:P1178))*J1179/(G1179-1),IF(D1179="Builder",CapBuilder,CapSingle)*Unit),2)))</f>
        <v/>
      </c>
      <c r="L1179" s="10" t="n"/>
      <c r="N1179" s="10" t="n"/>
      <c r="O1179" s="10">
        <f>IF(L1179="","",IF(M1179="Won",L1179*G1179,IF(M1179="Void",L1179,IF(M1179="Cash out",N(N1179),IF(M1179="Lost",0,"")))))</f>
        <v/>
      </c>
      <c r="P1179" s="10">
        <f>IF(OR(L1179="",M1179="",M1179="Pending"),"",O1179-L1179)</f>
        <v/>
      </c>
      <c r="Q1179" s="21" t="n"/>
      <c r="R1179" s="11">
        <f>IF(OR(G1179="",Q1179=""),"",G1179/Q1179-1)</f>
        <v/>
      </c>
      <c r="S1179" s="10">
        <f>IF(OR(L1179="",J1179=""),"",L1179*J1179)</f>
        <v/>
      </c>
      <c r="T1179" s="10">
        <f>IF(P1179="","",StartBank+SUM(P$2:P1179))</f>
        <v/>
      </c>
    </row>
    <row r="1180">
      <c r="A1180" s="22" t="n"/>
      <c r="G1180" s="21" t="n"/>
      <c r="H1180" s="11" t="n"/>
      <c r="I1180" s="21">
        <f>IF(OR(H1180="",H1180=0),"",1/H1180)</f>
        <v/>
      </c>
      <c r="J1180" s="11">
        <f>IF(OR(G1180="",H1180=""),"",H1180*G1180-1)</f>
        <v/>
      </c>
      <c r="K1180" s="10">
        <f>IF(OR(G1180="",H1180="",G1180&lt;=1),"",IF(J1180&lt;IF(D1180="Builder",MinEdgeBuilder,IF(D1180="Player",MinEdgePlayer,MinEdgeSingle)),0,ROUND(MIN(IF(D1180="Single",KellySingle,KellyBuilder)*(StartBank+SUM(P$1:P1179))*J1180/(G1180-1),IF(D1180="Builder",CapBuilder,CapSingle)*Unit),2)))</f>
        <v/>
      </c>
      <c r="L1180" s="10" t="n"/>
      <c r="N1180" s="10" t="n"/>
      <c r="O1180" s="10">
        <f>IF(L1180="","",IF(M1180="Won",L1180*G1180,IF(M1180="Void",L1180,IF(M1180="Cash out",N(N1180),IF(M1180="Lost",0,"")))))</f>
        <v/>
      </c>
      <c r="P1180" s="10">
        <f>IF(OR(L1180="",M1180="",M1180="Pending"),"",O1180-L1180)</f>
        <v/>
      </c>
      <c r="Q1180" s="21" t="n"/>
      <c r="R1180" s="11">
        <f>IF(OR(G1180="",Q1180=""),"",G1180/Q1180-1)</f>
        <v/>
      </c>
      <c r="S1180" s="10">
        <f>IF(OR(L1180="",J1180=""),"",L1180*J1180)</f>
        <v/>
      </c>
      <c r="T1180" s="10">
        <f>IF(P1180="","",StartBank+SUM(P$2:P1180))</f>
        <v/>
      </c>
    </row>
    <row r="1181">
      <c r="A1181" s="22" t="n"/>
      <c r="G1181" s="21" t="n"/>
      <c r="H1181" s="11" t="n"/>
      <c r="I1181" s="21">
        <f>IF(OR(H1181="",H1181=0),"",1/H1181)</f>
        <v/>
      </c>
      <c r="J1181" s="11">
        <f>IF(OR(G1181="",H1181=""),"",H1181*G1181-1)</f>
        <v/>
      </c>
      <c r="K1181" s="10">
        <f>IF(OR(G1181="",H1181="",G1181&lt;=1),"",IF(J1181&lt;IF(D1181="Builder",MinEdgeBuilder,IF(D1181="Player",MinEdgePlayer,MinEdgeSingle)),0,ROUND(MIN(IF(D1181="Single",KellySingle,KellyBuilder)*(StartBank+SUM(P$1:P1180))*J1181/(G1181-1),IF(D1181="Builder",CapBuilder,CapSingle)*Unit),2)))</f>
        <v/>
      </c>
      <c r="L1181" s="10" t="n"/>
      <c r="N1181" s="10" t="n"/>
      <c r="O1181" s="10">
        <f>IF(L1181="","",IF(M1181="Won",L1181*G1181,IF(M1181="Void",L1181,IF(M1181="Cash out",N(N1181),IF(M1181="Lost",0,"")))))</f>
        <v/>
      </c>
      <c r="P1181" s="10">
        <f>IF(OR(L1181="",M1181="",M1181="Pending"),"",O1181-L1181)</f>
        <v/>
      </c>
      <c r="Q1181" s="21" t="n"/>
      <c r="R1181" s="11">
        <f>IF(OR(G1181="",Q1181=""),"",G1181/Q1181-1)</f>
        <v/>
      </c>
      <c r="S1181" s="10">
        <f>IF(OR(L1181="",J1181=""),"",L1181*J1181)</f>
        <v/>
      </c>
      <c r="T1181" s="10">
        <f>IF(P1181="","",StartBank+SUM(P$2:P1181))</f>
        <v/>
      </c>
    </row>
    <row r="1182">
      <c r="A1182" s="22" t="n"/>
      <c r="G1182" s="21" t="n"/>
      <c r="H1182" s="11" t="n"/>
      <c r="I1182" s="21">
        <f>IF(OR(H1182="",H1182=0),"",1/H1182)</f>
        <v/>
      </c>
      <c r="J1182" s="11">
        <f>IF(OR(G1182="",H1182=""),"",H1182*G1182-1)</f>
        <v/>
      </c>
      <c r="K1182" s="10">
        <f>IF(OR(G1182="",H1182="",G1182&lt;=1),"",IF(J1182&lt;IF(D1182="Builder",MinEdgeBuilder,IF(D1182="Player",MinEdgePlayer,MinEdgeSingle)),0,ROUND(MIN(IF(D1182="Single",KellySingle,KellyBuilder)*(StartBank+SUM(P$1:P1181))*J1182/(G1182-1),IF(D1182="Builder",CapBuilder,CapSingle)*Unit),2)))</f>
        <v/>
      </c>
      <c r="L1182" s="10" t="n"/>
      <c r="N1182" s="10" t="n"/>
      <c r="O1182" s="10">
        <f>IF(L1182="","",IF(M1182="Won",L1182*G1182,IF(M1182="Void",L1182,IF(M1182="Cash out",N(N1182),IF(M1182="Lost",0,"")))))</f>
        <v/>
      </c>
      <c r="P1182" s="10">
        <f>IF(OR(L1182="",M1182="",M1182="Pending"),"",O1182-L1182)</f>
        <v/>
      </c>
      <c r="Q1182" s="21" t="n"/>
      <c r="R1182" s="11">
        <f>IF(OR(G1182="",Q1182=""),"",G1182/Q1182-1)</f>
        <v/>
      </c>
      <c r="S1182" s="10">
        <f>IF(OR(L1182="",J1182=""),"",L1182*J1182)</f>
        <v/>
      </c>
      <c r="T1182" s="10">
        <f>IF(P1182="","",StartBank+SUM(P$2:P1182))</f>
        <v/>
      </c>
    </row>
    <row r="1183">
      <c r="A1183" s="22" t="n"/>
      <c r="G1183" s="21" t="n"/>
      <c r="H1183" s="11" t="n"/>
      <c r="I1183" s="21">
        <f>IF(OR(H1183="",H1183=0),"",1/H1183)</f>
        <v/>
      </c>
      <c r="J1183" s="11">
        <f>IF(OR(G1183="",H1183=""),"",H1183*G1183-1)</f>
        <v/>
      </c>
      <c r="K1183" s="10">
        <f>IF(OR(G1183="",H1183="",G1183&lt;=1),"",IF(J1183&lt;IF(D1183="Builder",MinEdgeBuilder,IF(D1183="Player",MinEdgePlayer,MinEdgeSingle)),0,ROUND(MIN(IF(D1183="Single",KellySingle,KellyBuilder)*(StartBank+SUM(P$1:P1182))*J1183/(G1183-1),IF(D1183="Builder",CapBuilder,CapSingle)*Unit),2)))</f>
        <v/>
      </c>
      <c r="L1183" s="10" t="n"/>
      <c r="N1183" s="10" t="n"/>
      <c r="O1183" s="10">
        <f>IF(L1183="","",IF(M1183="Won",L1183*G1183,IF(M1183="Void",L1183,IF(M1183="Cash out",N(N1183),IF(M1183="Lost",0,"")))))</f>
        <v/>
      </c>
      <c r="P1183" s="10">
        <f>IF(OR(L1183="",M1183="",M1183="Pending"),"",O1183-L1183)</f>
        <v/>
      </c>
      <c r="Q1183" s="21" t="n"/>
      <c r="R1183" s="11">
        <f>IF(OR(G1183="",Q1183=""),"",G1183/Q1183-1)</f>
        <v/>
      </c>
      <c r="S1183" s="10">
        <f>IF(OR(L1183="",J1183=""),"",L1183*J1183)</f>
        <v/>
      </c>
      <c r="T1183" s="10">
        <f>IF(P1183="","",StartBank+SUM(P$2:P1183))</f>
        <v/>
      </c>
    </row>
    <row r="1184">
      <c r="A1184" s="22" t="n"/>
      <c r="G1184" s="21" t="n"/>
      <c r="H1184" s="11" t="n"/>
      <c r="I1184" s="21">
        <f>IF(OR(H1184="",H1184=0),"",1/H1184)</f>
        <v/>
      </c>
      <c r="J1184" s="11">
        <f>IF(OR(G1184="",H1184=""),"",H1184*G1184-1)</f>
        <v/>
      </c>
      <c r="K1184" s="10">
        <f>IF(OR(G1184="",H1184="",G1184&lt;=1),"",IF(J1184&lt;IF(D1184="Builder",MinEdgeBuilder,IF(D1184="Player",MinEdgePlayer,MinEdgeSingle)),0,ROUND(MIN(IF(D1184="Single",KellySingle,KellyBuilder)*(StartBank+SUM(P$1:P1183))*J1184/(G1184-1),IF(D1184="Builder",CapBuilder,CapSingle)*Unit),2)))</f>
        <v/>
      </c>
      <c r="L1184" s="10" t="n"/>
      <c r="N1184" s="10" t="n"/>
      <c r="O1184" s="10">
        <f>IF(L1184="","",IF(M1184="Won",L1184*G1184,IF(M1184="Void",L1184,IF(M1184="Cash out",N(N1184),IF(M1184="Lost",0,"")))))</f>
        <v/>
      </c>
      <c r="P1184" s="10">
        <f>IF(OR(L1184="",M1184="",M1184="Pending"),"",O1184-L1184)</f>
        <v/>
      </c>
      <c r="Q1184" s="21" t="n"/>
      <c r="R1184" s="11">
        <f>IF(OR(G1184="",Q1184=""),"",G1184/Q1184-1)</f>
        <v/>
      </c>
      <c r="S1184" s="10">
        <f>IF(OR(L1184="",J1184=""),"",L1184*J1184)</f>
        <v/>
      </c>
      <c r="T1184" s="10">
        <f>IF(P1184="","",StartBank+SUM(P$2:P1184))</f>
        <v/>
      </c>
    </row>
    <row r="1185">
      <c r="A1185" s="22" t="n"/>
      <c r="G1185" s="21" t="n"/>
      <c r="H1185" s="11" t="n"/>
      <c r="I1185" s="21">
        <f>IF(OR(H1185="",H1185=0),"",1/H1185)</f>
        <v/>
      </c>
      <c r="J1185" s="11">
        <f>IF(OR(G1185="",H1185=""),"",H1185*G1185-1)</f>
        <v/>
      </c>
      <c r="K1185" s="10">
        <f>IF(OR(G1185="",H1185="",G1185&lt;=1),"",IF(J1185&lt;IF(D1185="Builder",MinEdgeBuilder,IF(D1185="Player",MinEdgePlayer,MinEdgeSingle)),0,ROUND(MIN(IF(D1185="Single",KellySingle,KellyBuilder)*(StartBank+SUM(P$1:P1184))*J1185/(G1185-1),IF(D1185="Builder",CapBuilder,CapSingle)*Unit),2)))</f>
        <v/>
      </c>
      <c r="L1185" s="10" t="n"/>
      <c r="N1185" s="10" t="n"/>
      <c r="O1185" s="10">
        <f>IF(L1185="","",IF(M1185="Won",L1185*G1185,IF(M1185="Void",L1185,IF(M1185="Cash out",N(N1185),IF(M1185="Lost",0,"")))))</f>
        <v/>
      </c>
      <c r="P1185" s="10">
        <f>IF(OR(L1185="",M1185="",M1185="Pending"),"",O1185-L1185)</f>
        <v/>
      </c>
      <c r="Q1185" s="21" t="n"/>
      <c r="R1185" s="11">
        <f>IF(OR(G1185="",Q1185=""),"",G1185/Q1185-1)</f>
        <v/>
      </c>
      <c r="S1185" s="10">
        <f>IF(OR(L1185="",J1185=""),"",L1185*J1185)</f>
        <v/>
      </c>
      <c r="T1185" s="10">
        <f>IF(P1185="","",StartBank+SUM(P$2:P1185))</f>
        <v/>
      </c>
    </row>
    <row r="1186">
      <c r="A1186" s="22" t="n"/>
      <c r="G1186" s="21" t="n"/>
      <c r="H1186" s="11" t="n"/>
      <c r="I1186" s="21">
        <f>IF(OR(H1186="",H1186=0),"",1/H1186)</f>
        <v/>
      </c>
      <c r="J1186" s="11">
        <f>IF(OR(G1186="",H1186=""),"",H1186*G1186-1)</f>
        <v/>
      </c>
      <c r="K1186" s="10">
        <f>IF(OR(G1186="",H1186="",G1186&lt;=1),"",IF(J1186&lt;IF(D1186="Builder",MinEdgeBuilder,IF(D1186="Player",MinEdgePlayer,MinEdgeSingle)),0,ROUND(MIN(IF(D1186="Single",KellySingle,KellyBuilder)*(StartBank+SUM(P$1:P1185))*J1186/(G1186-1),IF(D1186="Builder",CapBuilder,CapSingle)*Unit),2)))</f>
        <v/>
      </c>
      <c r="L1186" s="10" t="n"/>
      <c r="N1186" s="10" t="n"/>
      <c r="O1186" s="10">
        <f>IF(L1186="","",IF(M1186="Won",L1186*G1186,IF(M1186="Void",L1186,IF(M1186="Cash out",N(N1186),IF(M1186="Lost",0,"")))))</f>
        <v/>
      </c>
      <c r="P1186" s="10">
        <f>IF(OR(L1186="",M1186="",M1186="Pending"),"",O1186-L1186)</f>
        <v/>
      </c>
      <c r="Q1186" s="21" t="n"/>
      <c r="R1186" s="11">
        <f>IF(OR(G1186="",Q1186=""),"",G1186/Q1186-1)</f>
        <v/>
      </c>
      <c r="S1186" s="10">
        <f>IF(OR(L1186="",J1186=""),"",L1186*J1186)</f>
        <v/>
      </c>
      <c r="T1186" s="10">
        <f>IF(P1186="","",StartBank+SUM(P$2:P1186))</f>
        <v/>
      </c>
    </row>
    <row r="1187">
      <c r="A1187" s="22" t="n"/>
      <c r="G1187" s="21" t="n"/>
      <c r="H1187" s="11" t="n"/>
      <c r="I1187" s="21">
        <f>IF(OR(H1187="",H1187=0),"",1/H1187)</f>
        <v/>
      </c>
      <c r="J1187" s="11">
        <f>IF(OR(G1187="",H1187=""),"",H1187*G1187-1)</f>
        <v/>
      </c>
      <c r="K1187" s="10">
        <f>IF(OR(G1187="",H1187="",G1187&lt;=1),"",IF(J1187&lt;IF(D1187="Builder",MinEdgeBuilder,IF(D1187="Player",MinEdgePlayer,MinEdgeSingle)),0,ROUND(MIN(IF(D1187="Single",KellySingle,KellyBuilder)*(StartBank+SUM(P$1:P1186))*J1187/(G1187-1),IF(D1187="Builder",CapBuilder,CapSingle)*Unit),2)))</f>
        <v/>
      </c>
      <c r="L1187" s="10" t="n"/>
      <c r="N1187" s="10" t="n"/>
      <c r="O1187" s="10">
        <f>IF(L1187="","",IF(M1187="Won",L1187*G1187,IF(M1187="Void",L1187,IF(M1187="Cash out",N(N1187),IF(M1187="Lost",0,"")))))</f>
        <v/>
      </c>
      <c r="P1187" s="10">
        <f>IF(OR(L1187="",M1187="",M1187="Pending"),"",O1187-L1187)</f>
        <v/>
      </c>
      <c r="Q1187" s="21" t="n"/>
      <c r="R1187" s="11">
        <f>IF(OR(G1187="",Q1187=""),"",G1187/Q1187-1)</f>
        <v/>
      </c>
      <c r="S1187" s="10">
        <f>IF(OR(L1187="",J1187=""),"",L1187*J1187)</f>
        <v/>
      </c>
      <c r="T1187" s="10">
        <f>IF(P1187="","",StartBank+SUM(P$2:P1187))</f>
        <v/>
      </c>
    </row>
    <row r="1188">
      <c r="A1188" s="22" t="n"/>
      <c r="G1188" s="21" t="n"/>
      <c r="H1188" s="11" t="n"/>
      <c r="I1188" s="21">
        <f>IF(OR(H1188="",H1188=0),"",1/H1188)</f>
        <v/>
      </c>
      <c r="J1188" s="11">
        <f>IF(OR(G1188="",H1188=""),"",H1188*G1188-1)</f>
        <v/>
      </c>
      <c r="K1188" s="10">
        <f>IF(OR(G1188="",H1188="",G1188&lt;=1),"",IF(J1188&lt;IF(D1188="Builder",MinEdgeBuilder,IF(D1188="Player",MinEdgePlayer,MinEdgeSingle)),0,ROUND(MIN(IF(D1188="Single",KellySingle,KellyBuilder)*(StartBank+SUM(P$1:P1187))*J1188/(G1188-1),IF(D1188="Builder",CapBuilder,CapSingle)*Unit),2)))</f>
        <v/>
      </c>
      <c r="L1188" s="10" t="n"/>
      <c r="N1188" s="10" t="n"/>
      <c r="O1188" s="10">
        <f>IF(L1188="","",IF(M1188="Won",L1188*G1188,IF(M1188="Void",L1188,IF(M1188="Cash out",N(N1188),IF(M1188="Lost",0,"")))))</f>
        <v/>
      </c>
      <c r="P1188" s="10">
        <f>IF(OR(L1188="",M1188="",M1188="Pending"),"",O1188-L1188)</f>
        <v/>
      </c>
      <c r="Q1188" s="21" t="n"/>
      <c r="R1188" s="11">
        <f>IF(OR(G1188="",Q1188=""),"",G1188/Q1188-1)</f>
        <v/>
      </c>
      <c r="S1188" s="10">
        <f>IF(OR(L1188="",J1188=""),"",L1188*J1188)</f>
        <v/>
      </c>
      <c r="T1188" s="10">
        <f>IF(P1188="","",StartBank+SUM(P$2:P1188))</f>
        <v/>
      </c>
    </row>
    <row r="1189">
      <c r="A1189" s="22" t="n"/>
      <c r="G1189" s="21" t="n"/>
      <c r="H1189" s="11" t="n"/>
      <c r="I1189" s="21">
        <f>IF(OR(H1189="",H1189=0),"",1/H1189)</f>
        <v/>
      </c>
      <c r="J1189" s="11">
        <f>IF(OR(G1189="",H1189=""),"",H1189*G1189-1)</f>
        <v/>
      </c>
      <c r="K1189" s="10">
        <f>IF(OR(G1189="",H1189="",G1189&lt;=1),"",IF(J1189&lt;IF(D1189="Builder",MinEdgeBuilder,IF(D1189="Player",MinEdgePlayer,MinEdgeSingle)),0,ROUND(MIN(IF(D1189="Single",KellySingle,KellyBuilder)*(StartBank+SUM(P$1:P1188))*J1189/(G1189-1),IF(D1189="Builder",CapBuilder,CapSingle)*Unit),2)))</f>
        <v/>
      </c>
      <c r="L1189" s="10" t="n"/>
      <c r="N1189" s="10" t="n"/>
      <c r="O1189" s="10">
        <f>IF(L1189="","",IF(M1189="Won",L1189*G1189,IF(M1189="Void",L1189,IF(M1189="Cash out",N(N1189),IF(M1189="Lost",0,"")))))</f>
        <v/>
      </c>
      <c r="P1189" s="10">
        <f>IF(OR(L1189="",M1189="",M1189="Pending"),"",O1189-L1189)</f>
        <v/>
      </c>
      <c r="Q1189" s="21" t="n"/>
      <c r="R1189" s="11">
        <f>IF(OR(G1189="",Q1189=""),"",G1189/Q1189-1)</f>
        <v/>
      </c>
      <c r="S1189" s="10">
        <f>IF(OR(L1189="",J1189=""),"",L1189*J1189)</f>
        <v/>
      </c>
      <c r="T1189" s="10">
        <f>IF(P1189="","",StartBank+SUM(P$2:P1189))</f>
        <v/>
      </c>
    </row>
    <row r="1190">
      <c r="A1190" s="22" t="n"/>
      <c r="G1190" s="21" t="n"/>
      <c r="H1190" s="11" t="n"/>
      <c r="I1190" s="21">
        <f>IF(OR(H1190="",H1190=0),"",1/H1190)</f>
        <v/>
      </c>
      <c r="J1190" s="11">
        <f>IF(OR(G1190="",H1190=""),"",H1190*G1190-1)</f>
        <v/>
      </c>
      <c r="K1190" s="10">
        <f>IF(OR(G1190="",H1190="",G1190&lt;=1),"",IF(J1190&lt;IF(D1190="Builder",MinEdgeBuilder,IF(D1190="Player",MinEdgePlayer,MinEdgeSingle)),0,ROUND(MIN(IF(D1190="Single",KellySingle,KellyBuilder)*(StartBank+SUM(P$1:P1189))*J1190/(G1190-1),IF(D1190="Builder",CapBuilder,CapSingle)*Unit),2)))</f>
        <v/>
      </c>
      <c r="L1190" s="10" t="n"/>
      <c r="N1190" s="10" t="n"/>
      <c r="O1190" s="10">
        <f>IF(L1190="","",IF(M1190="Won",L1190*G1190,IF(M1190="Void",L1190,IF(M1190="Cash out",N(N1190),IF(M1190="Lost",0,"")))))</f>
        <v/>
      </c>
      <c r="P1190" s="10">
        <f>IF(OR(L1190="",M1190="",M1190="Pending"),"",O1190-L1190)</f>
        <v/>
      </c>
      <c r="Q1190" s="21" t="n"/>
      <c r="R1190" s="11">
        <f>IF(OR(G1190="",Q1190=""),"",G1190/Q1190-1)</f>
        <v/>
      </c>
      <c r="S1190" s="10">
        <f>IF(OR(L1190="",J1190=""),"",L1190*J1190)</f>
        <v/>
      </c>
      <c r="T1190" s="10">
        <f>IF(P1190="","",StartBank+SUM(P$2:P1190))</f>
        <v/>
      </c>
    </row>
    <row r="1191">
      <c r="A1191" s="22" t="n"/>
      <c r="G1191" s="21" t="n"/>
      <c r="H1191" s="11" t="n"/>
      <c r="I1191" s="21">
        <f>IF(OR(H1191="",H1191=0),"",1/H1191)</f>
        <v/>
      </c>
      <c r="J1191" s="11">
        <f>IF(OR(G1191="",H1191=""),"",H1191*G1191-1)</f>
        <v/>
      </c>
      <c r="K1191" s="10">
        <f>IF(OR(G1191="",H1191="",G1191&lt;=1),"",IF(J1191&lt;IF(D1191="Builder",MinEdgeBuilder,IF(D1191="Player",MinEdgePlayer,MinEdgeSingle)),0,ROUND(MIN(IF(D1191="Single",KellySingle,KellyBuilder)*(StartBank+SUM(P$1:P1190))*J1191/(G1191-1),IF(D1191="Builder",CapBuilder,CapSingle)*Unit),2)))</f>
        <v/>
      </c>
      <c r="L1191" s="10" t="n"/>
      <c r="N1191" s="10" t="n"/>
      <c r="O1191" s="10">
        <f>IF(L1191="","",IF(M1191="Won",L1191*G1191,IF(M1191="Void",L1191,IF(M1191="Cash out",N(N1191),IF(M1191="Lost",0,"")))))</f>
        <v/>
      </c>
      <c r="P1191" s="10">
        <f>IF(OR(L1191="",M1191="",M1191="Pending"),"",O1191-L1191)</f>
        <v/>
      </c>
      <c r="Q1191" s="21" t="n"/>
      <c r="R1191" s="11">
        <f>IF(OR(G1191="",Q1191=""),"",G1191/Q1191-1)</f>
        <v/>
      </c>
      <c r="S1191" s="10">
        <f>IF(OR(L1191="",J1191=""),"",L1191*J1191)</f>
        <v/>
      </c>
      <c r="T1191" s="10">
        <f>IF(P1191="","",StartBank+SUM(P$2:P1191))</f>
        <v/>
      </c>
    </row>
    <row r="1192">
      <c r="A1192" s="22" t="n"/>
      <c r="G1192" s="21" t="n"/>
      <c r="H1192" s="11" t="n"/>
      <c r="I1192" s="21">
        <f>IF(OR(H1192="",H1192=0),"",1/H1192)</f>
        <v/>
      </c>
      <c r="J1192" s="11">
        <f>IF(OR(G1192="",H1192=""),"",H1192*G1192-1)</f>
        <v/>
      </c>
      <c r="K1192" s="10">
        <f>IF(OR(G1192="",H1192="",G1192&lt;=1),"",IF(J1192&lt;IF(D1192="Builder",MinEdgeBuilder,IF(D1192="Player",MinEdgePlayer,MinEdgeSingle)),0,ROUND(MIN(IF(D1192="Single",KellySingle,KellyBuilder)*(StartBank+SUM(P$1:P1191))*J1192/(G1192-1),IF(D1192="Builder",CapBuilder,CapSingle)*Unit),2)))</f>
        <v/>
      </c>
      <c r="L1192" s="10" t="n"/>
      <c r="N1192" s="10" t="n"/>
      <c r="O1192" s="10">
        <f>IF(L1192="","",IF(M1192="Won",L1192*G1192,IF(M1192="Void",L1192,IF(M1192="Cash out",N(N1192),IF(M1192="Lost",0,"")))))</f>
        <v/>
      </c>
      <c r="P1192" s="10">
        <f>IF(OR(L1192="",M1192="",M1192="Pending"),"",O1192-L1192)</f>
        <v/>
      </c>
      <c r="Q1192" s="21" t="n"/>
      <c r="R1192" s="11">
        <f>IF(OR(G1192="",Q1192=""),"",G1192/Q1192-1)</f>
        <v/>
      </c>
      <c r="S1192" s="10">
        <f>IF(OR(L1192="",J1192=""),"",L1192*J1192)</f>
        <v/>
      </c>
      <c r="T1192" s="10">
        <f>IF(P1192="","",StartBank+SUM(P$2:P1192))</f>
        <v/>
      </c>
    </row>
    <row r="1193">
      <c r="A1193" s="22" t="n"/>
      <c r="G1193" s="21" t="n"/>
      <c r="H1193" s="11" t="n"/>
      <c r="I1193" s="21">
        <f>IF(OR(H1193="",H1193=0),"",1/H1193)</f>
        <v/>
      </c>
      <c r="J1193" s="11">
        <f>IF(OR(G1193="",H1193=""),"",H1193*G1193-1)</f>
        <v/>
      </c>
      <c r="K1193" s="10">
        <f>IF(OR(G1193="",H1193="",G1193&lt;=1),"",IF(J1193&lt;IF(D1193="Builder",MinEdgeBuilder,IF(D1193="Player",MinEdgePlayer,MinEdgeSingle)),0,ROUND(MIN(IF(D1193="Single",KellySingle,KellyBuilder)*(StartBank+SUM(P$1:P1192))*J1193/(G1193-1),IF(D1193="Builder",CapBuilder,CapSingle)*Unit),2)))</f>
        <v/>
      </c>
      <c r="L1193" s="10" t="n"/>
      <c r="N1193" s="10" t="n"/>
      <c r="O1193" s="10">
        <f>IF(L1193="","",IF(M1193="Won",L1193*G1193,IF(M1193="Void",L1193,IF(M1193="Cash out",N(N1193),IF(M1193="Lost",0,"")))))</f>
        <v/>
      </c>
      <c r="P1193" s="10">
        <f>IF(OR(L1193="",M1193="",M1193="Pending"),"",O1193-L1193)</f>
        <v/>
      </c>
      <c r="Q1193" s="21" t="n"/>
      <c r="R1193" s="11">
        <f>IF(OR(G1193="",Q1193=""),"",G1193/Q1193-1)</f>
        <v/>
      </c>
      <c r="S1193" s="10">
        <f>IF(OR(L1193="",J1193=""),"",L1193*J1193)</f>
        <v/>
      </c>
      <c r="T1193" s="10">
        <f>IF(P1193="","",StartBank+SUM(P$2:P1193))</f>
        <v/>
      </c>
    </row>
    <row r="1194">
      <c r="A1194" s="22" t="n"/>
      <c r="G1194" s="21" t="n"/>
      <c r="H1194" s="11" t="n"/>
      <c r="I1194" s="21">
        <f>IF(OR(H1194="",H1194=0),"",1/H1194)</f>
        <v/>
      </c>
      <c r="J1194" s="11">
        <f>IF(OR(G1194="",H1194=""),"",H1194*G1194-1)</f>
        <v/>
      </c>
      <c r="K1194" s="10">
        <f>IF(OR(G1194="",H1194="",G1194&lt;=1),"",IF(J1194&lt;IF(D1194="Builder",MinEdgeBuilder,IF(D1194="Player",MinEdgePlayer,MinEdgeSingle)),0,ROUND(MIN(IF(D1194="Single",KellySingle,KellyBuilder)*(StartBank+SUM(P$1:P1193))*J1194/(G1194-1),IF(D1194="Builder",CapBuilder,CapSingle)*Unit),2)))</f>
        <v/>
      </c>
      <c r="L1194" s="10" t="n"/>
      <c r="N1194" s="10" t="n"/>
      <c r="O1194" s="10">
        <f>IF(L1194="","",IF(M1194="Won",L1194*G1194,IF(M1194="Void",L1194,IF(M1194="Cash out",N(N1194),IF(M1194="Lost",0,"")))))</f>
        <v/>
      </c>
      <c r="P1194" s="10">
        <f>IF(OR(L1194="",M1194="",M1194="Pending"),"",O1194-L1194)</f>
        <v/>
      </c>
      <c r="Q1194" s="21" t="n"/>
      <c r="R1194" s="11">
        <f>IF(OR(G1194="",Q1194=""),"",G1194/Q1194-1)</f>
        <v/>
      </c>
      <c r="S1194" s="10">
        <f>IF(OR(L1194="",J1194=""),"",L1194*J1194)</f>
        <v/>
      </c>
      <c r="T1194" s="10">
        <f>IF(P1194="","",StartBank+SUM(P$2:P1194))</f>
        <v/>
      </c>
    </row>
    <row r="1195">
      <c r="A1195" s="22" t="n"/>
      <c r="G1195" s="21" t="n"/>
      <c r="H1195" s="11" t="n"/>
      <c r="I1195" s="21">
        <f>IF(OR(H1195="",H1195=0),"",1/H1195)</f>
        <v/>
      </c>
      <c r="J1195" s="11">
        <f>IF(OR(G1195="",H1195=""),"",H1195*G1195-1)</f>
        <v/>
      </c>
      <c r="K1195" s="10">
        <f>IF(OR(G1195="",H1195="",G1195&lt;=1),"",IF(J1195&lt;IF(D1195="Builder",MinEdgeBuilder,IF(D1195="Player",MinEdgePlayer,MinEdgeSingle)),0,ROUND(MIN(IF(D1195="Single",KellySingle,KellyBuilder)*(StartBank+SUM(P$1:P1194))*J1195/(G1195-1),IF(D1195="Builder",CapBuilder,CapSingle)*Unit),2)))</f>
        <v/>
      </c>
      <c r="L1195" s="10" t="n"/>
      <c r="N1195" s="10" t="n"/>
      <c r="O1195" s="10">
        <f>IF(L1195="","",IF(M1195="Won",L1195*G1195,IF(M1195="Void",L1195,IF(M1195="Cash out",N(N1195),IF(M1195="Lost",0,"")))))</f>
        <v/>
      </c>
      <c r="P1195" s="10">
        <f>IF(OR(L1195="",M1195="",M1195="Pending"),"",O1195-L1195)</f>
        <v/>
      </c>
      <c r="Q1195" s="21" t="n"/>
      <c r="R1195" s="11">
        <f>IF(OR(G1195="",Q1195=""),"",G1195/Q1195-1)</f>
        <v/>
      </c>
      <c r="S1195" s="10">
        <f>IF(OR(L1195="",J1195=""),"",L1195*J1195)</f>
        <v/>
      </c>
      <c r="T1195" s="10">
        <f>IF(P1195="","",StartBank+SUM(P$2:P1195))</f>
        <v/>
      </c>
    </row>
    <row r="1196">
      <c r="A1196" s="22" t="n"/>
      <c r="G1196" s="21" t="n"/>
      <c r="H1196" s="11" t="n"/>
      <c r="I1196" s="21">
        <f>IF(OR(H1196="",H1196=0),"",1/H1196)</f>
        <v/>
      </c>
      <c r="J1196" s="11">
        <f>IF(OR(G1196="",H1196=""),"",H1196*G1196-1)</f>
        <v/>
      </c>
      <c r="K1196" s="10">
        <f>IF(OR(G1196="",H1196="",G1196&lt;=1),"",IF(J1196&lt;IF(D1196="Builder",MinEdgeBuilder,IF(D1196="Player",MinEdgePlayer,MinEdgeSingle)),0,ROUND(MIN(IF(D1196="Single",KellySingle,KellyBuilder)*(StartBank+SUM(P$1:P1195))*J1196/(G1196-1),IF(D1196="Builder",CapBuilder,CapSingle)*Unit),2)))</f>
        <v/>
      </c>
      <c r="L1196" s="10" t="n"/>
      <c r="N1196" s="10" t="n"/>
      <c r="O1196" s="10">
        <f>IF(L1196="","",IF(M1196="Won",L1196*G1196,IF(M1196="Void",L1196,IF(M1196="Cash out",N(N1196),IF(M1196="Lost",0,"")))))</f>
        <v/>
      </c>
      <c r="P1196" s="10">
        <f>IF(OR(L1196="",M1196="",M1196="Pending"),"",O1196-L1196)</f>
        <v/>
      </c>
      <c r="Q1196" s="21" t="n"/>
      <c r="R1196" s="11">
        <f>IF(OR(G1196="",Q1196=""),"",G1196/Q1196-1)</f>
        <v/>
      </c>
      <c r="S1196" s="10">
        <f>IF(OR(L1196="",J1196=""),"",L1196*J1196)</f>
        <v/>
      </c>
      <c r="T1196" s="10">
        <f>IF(P1196="","",StartBank+SUM(P$2:P1196))</f>
        <v/>
      </c>
    </row>
    <row r="1197">
      <c r="A1197" s="22" t="n"/>
      <c r="G1197" s="21" t="n"/>
      <c r="H1197" s="11" t="n"/>
      <c r="I1197" s="21">
        <f>IF(OR(H1197="",H1197=0),"",1/H1197)</f>
        <v/>
      </c>
      <c r="J1197" s="11">
        <f>IF(OR(G1197="",H1197=""),"",H1197*G1197-1)</f>
        <v/>
      </c>
      <c r="K1197" s="10">
        <f>IF(OR(G1197="",H1197="",G1197&lt;=1),"",IF(J1197&lt;IF(D1197="Builder",MinEdgeBuilder,IF(D1197="Player",MinEdgePlayer,MinEdgeSingle)),0,ROUND(MIN(IF(D1197="Single",KellySingle,KellyBuilder)*(StartBank+SUM(P$1:P1196))*J1197/(G1197-1),IF(D1197="Builder",CapBuilder,CapSingle)*Unit),2)))</f>
        <v/>
      </c>
      <c r="L1197" s="10" t="n"/>
      <c r="N1197" s="10" t="n"/>
      <c r="O1197" s="10">
        <f>IF(L1197="","",IF(M1197="Won",L1197*G1197,IF(M1197="Void",L1197,IF(M1197="Cash out",N(N1197),IF(M1197="Lost",0,"")))))</f>
        <v/>
      </c>
      <c r="P1197" s="10">
        <f>IF(OR(L1197="",M1197="",M1197="Pending"),"",O1197-L1197)</f>
        <v/>
      </c>
      <c r="Q1197" s="21" t="n"/>
      <c r="R1197" s="11">
        <f>IF(OR(G1197="",Q1197=""),"",G1197/Q1197-1)</f>
        <v/>
      </c>
      <c r="S1197" s="10">
        <f>IF(OR(L1197="",J1197=""),"",L1197*J1197)</f>
        <v/>
      </c>
      <c r="T1197" s="10">
        <f>IF(P1197="","",StartBank+SUM(P$2:P1197))</f>
        <v/>
      </c>
    </row>
    <row r="1198">
      <c r="A1198" s="22" t="n"/>
      <c r="G1198" s="21" t="n"/>
      <c r="H1198" s="11" t="n"/>
      <c r="I1198" s="21">
        <f>IF(OR(H1198="",H1198=0),"",1/H1198)</f>
        <v/>
      </c>
      <c r="J1198" s="11">
        <f>IF(OR(G1198="",H1198=""),"",H1198*G1198-1)</f>
        <v/>
      </c>
      <c r="K1198" s="10">
        <f>IF(OR(G1198="",H1198="",G1198&lt;=1),"",IF(J1198&lt;IF(D1198="Builder",MinEdgeBuilder,IF(D1198="Player",MinEdgePlayer,MinEdgeSingle)),0,ROUND(MIN(IF(D1198="Single",KellySingle,KellyBuilder)*(StartBank+SUM(P$1:P1197))*J1198/(G1198-1),IF(D1198="Builder",CapBuilder,CapSingle)*Unit),2)))</f>
        <v/>
      </c>
      <c r="L1198" s="10" t="n"/>
      <c r="N1198" s="10" t="n"/>
      <c r="O1198" s="10">
        <f>IF(L1198="","",IF(M1198="Won",L1198*G1198,IF(M1198="Void",L1198,IF(M1198="Cash out",N(N1198),IF(M1198="Lost",0,"")))))</f>
        <v/>
      </c>
      <c r="P1198" s="10">
        <f>IF(OR(L1198="",M1198="",M1198="Pending"),"",O1198-L1198)</f>
        <v/>
      </c>
      <c r="Q1198" s="21" t="n"/>
      <c r="R1198" s="11">
        <f>IF(OR(G1198="",Q1198=""),"",G1198/Q1198-1)</f>
        <v/>
      </c>
      <c r="S1198" s="10">
        <f>IF(OR(L1198="",J1198=""),"",L1198*J1198)</f>
        <v/>
      </c>
      <c r="T1198" s="10">
        <f>IF(P1198="","",StartBank+SUM(P$2:P1198))</f>
        <v/>
      </c>
    </row>
    <row r="1199">
      <c r="A1199" s="22" t="n"/>
      <c r="G1199" s="21" t="n"/>
      <c r="H1199" s="11" t="n"/>
      <c r="I1199" s="21">
        <f>IF(OR(H1199="",H1199=0),"",1/H1199)</f>
        <v/>
      </c>
      <c r="J1199" s="11">
        <f>IF(OR(G1199="",H1199=""),"",H1199*G1199-1)</f>
        <v/>
      </c>
      <c r="K1199" s="10">
        <f>IF(OR(G1199="",H1199="",G1199&lt;=1),"",IF(J1199&lt;IF(D1199="Builder",MinEdgeBuilder,IF(D1199="Player",MinEdgePlayer,MinEdgeSingle)),0,ROUND(MIN(IF(D1199="Single",KellySingle,KellyBuilder)*(StartBank+SUM(P$1:P1198))*J1199/(G1199-1),IF(D1199="Builder",CapBuilder,CapSingle)*Unit),2)))</f>
        <v/>
      </c>
      <c r="L1199" s="10" t="n"/>
      <c r="N1199" s="10" t="n"/>
      <c r="O1199" s="10">
        <f>IF(L1199="","",IF(M1199="Won",L1199*G1199,IF(M1199="Void",L1199,IF(M1199="Cash out",N(N1199),IF(M1199="Lost",0,"")))))</f>
        <v/>
      </c>
      <c r="P1199" s="10">
        <f>IF(OR(L1199="",M1199="",M1199="Pending"),"",O1199-L1199)</f>
        <v/>
      </c>
      <c r="Q1199" s="21" t="n"/>
      <c r="R1199" s="11">
        <f>IF(OR(G1199="",Q1199=""),"",G1199/Q1199-1)</f>
        <v/>
      </c>
      <c r="S1199" s="10">
        <f>IF(OR(L1199="",J1199=""),"",L1199*J1199)</f>
        <v/>
      </c>
      <c r="T1199" s="10">
        <f>IF(P1199="","",StartBank+SUM(P$2:P1199))</f>
        <v/>
      </c>
    </row>
    <row r="1200">
      <c r="A1200" s="22" t="n"/>
      <c r="G1200" s="21" t="n"/>
      <c r="H1200" s="11" t="n"/>
      <c r="I1200" s="21">
        <f>IF(OR(H1200="",H1200=0),"",1/H1200)</f>
        <v/>
      </c>
      <c r="J1200" s="11">
        <f>IF(OR(G1200="",H1200=""),"",H1200*G1200-1)</f>
        <v/>
      </c>
      <c r="K1200" s="10">
        <f>IF(OR(G1200="",H1200="",G1200&lt;=1),"",IF(J1200&lt;IF(D1200="Builder",MinEdgeBuilder,IF(D1200="Player",MinEdgePlayer,MinEdgeSingle)),0,ROUND(MIN(IF(D1200="Single",KellySingle,KellyBuilder)*(StartBank+SUM(P$1:P1199))*J1200/(G1200-1),IF(D1200="Builder",CapBuilder,CapSingle)*Unit),2)))</f>
        <v/>
      </c>
      <c r="L1200" s="10" t="n"/>
      <c r="N1200" s="10" t="n"/>
      <c r="O1200" s="10">
        <f>IF(L1200="","",IF(M1200="Won",L1200*G1200,IF(M1200="Void",L1200,IF(M1200="Cash out",N(N1200),IF(M1200="Lost",0,"")))))</f>
        <v/>
      </c>
      <c r="P1200" s="10">
        <f>IF(OR(L1200="",M1200="",M1200="Pending"),"",O1200-L1200)</f>
        <v/>
      </c>
      <c r="Q1200" s="21" t="n"/>
      <c r="R1200" s="11">
        <f>IF(OR(G1200="",Q1200=""),"",G1200/Q1200-1)</f>
        <v/>
      </c>
      <c r="S1200" s="10">
        <f>IF(OR(L1200="",J1200=""),"",L1200*J1200)</f>
        <v/>
      </c>
      <c r="T1200" s="10">
        <f>IF(P1200="","",StartBank+SUM(P$2:P1200))</f>
        <v/>
      </c>
    </row>
    <row r="1201">
      <c r="A1201" s="22" t="n"/>
      <c r="G1201" s="21" t="n"/>
      <c r="H1201" s="11" t="n"/>
      <c r="I1201" s="21">
        <f>IF(OR(H1201="",H1201=0),"",1/H1201)</f>
        <v/>
      </c>
      <c r="J1201" s="11">
        <f>IF(OR(G1201="",H1201=""),"",H1201*G1201-1)</f>
        <v/>
      </c>
      <c r="K1201" s="10">
        <f>IF(OR(G1201="",H1201="",G1201&lt;=1),"",IF(J1201&lt;IF(D1201="Builder",MinEdgeBuilder,IF(D1201="Player",MinEdgePlayer,MinEdgeSingle)),0,ROUND(MIN(IF(D1201="Single",KellySingle,KellyBuilder)*(StartBank+SUM(P$1:P1200))*J1201/(G1201-1),IF(D1201="Builder",CapBuilder,CapSingle)*Unit),2)))</f>
        <v/>
      </c>
      <c r="L1201" s="10" t="n"/>
      <c r="N1201" s="10" t="n"/>
      <c r="O1201" s="10">
        <f>IF(L1201="","",IF(M1201="Won",L1201*G1201,IF(M1201="Void",L1201,IF(M1201="Cash out",N(N1201),IF(M1201="Lost",0,"")))))</f>
        <v/>
      </c>
      <c r="P1201" s="10">
        <f>IF(OR(L1201="",M1201="",M1201="Pending"),"",O1201-L1201)</f>
        <v/>
      </c>
      <c r="Q1201" s="21" t="n"/>
      <c r="R1201" s="11">
        <f>IF(OR(G1201="",Q1201=""),"",G1201/Q1201-1)</f>
        <v/>
      </c>
      <c r="S1201" s="10">
        <f>IF(OR(L1201="",J1201=""),"",L1201*J1201)</f>
        <v/>
      </c>
      <c r="T1201" s="10">
        <f>IF(P1201="","",StartBank+SUM(P$2:P1201))</f>
        <v/>
      </c>
    </row>
    <row r="1202">
      <c r="A1202" s="22" t="n"/>
      <c r="G1202" s="21" t="n"/>
      <c r="H1202" s="11" t="n"/>
      <c r="I1202" s="21">
        <f>IF(OR(H1202="",H1202=0),"",1/H1202)</f>
        <v/>
      </c>
      <c r="J1202" s="11">
        <f>IF(OR(G1202="",H1202=""),"",H1202*G1202-1)</f>
        <v/>
      </c>
      <c r="K1202" s="10">
        <f>IF(OR(G1202="",H1202="",G1202&lt;=1),"",IF(J1202&lt;IF(D1202="Builder",MinEdgeBuilder,IF(D1202="Player",MinEdgePlayer,MinEdgeSingle)),0,ROUND(MIN(IF(D1202="Single",KellySingle,KellyBuilder)*(StartBank+SUM(P$1:P1201))*J1202/(G1202-1),IF(D1202="Builder",CapBuilder,CapSingle)*Unit),2)))</f>
        <v/>
      </c>
      <c r="L1202" s="10" t="n"/>
      <c r="N1202" s="10" t="n"/>
      <c r="O1202" s="10">
        <f>IF(L1202="","",IF(M1202="Won",L1202*G1202,IF(M1202="Void",L1202,IF(M1202="Cash out",N(N1202),IF(M1202="Lost",0,"")))))</f>
        <v/>
      </c>
      <c r="P1202" s="10">
        <f>IF(OR(L1202="",M1202="",M1202="Pending"),"",O1202-L1202)</f>
        <v/>
      </c>
      <c r="Q1202" s="21" t="n"/>
      <c r="R1202" s="11">
        <f>IF(OR(G1202="",Q1202=""),"",G1202/Q1202-1)</f>
        <v/>
      </c>
      <c r="S1202" s="10">
        <f>IF(OR(L1202="",J1202=""),"",L1202*J1202)</f>
        <v/>
      </c>
      <c r="T1202" s="10">
        <f>IF(P1202="","",StartBank+SUM(P$2:P1202))</f>
        <v/>
      </c>
    </row>
    <row r="1203">
      <c r="A1203" s="22" t="n"/>
      <c r="G1203" s="21" t="n"/>
      <c r="H1203" s="11" t="n"/>
      <c r="I1203" s="21">
        <f>IF(OR(H1203="",H1203=0),"",1/H1203)</f>
        <v/>
      </c>
      <c r="J1203" s="11">
        <f>IF(OR(G1203="",H1203=""),"",H1203*G1203-1)</f>
        <v/>
      </c>
      <c r="K1203" s="10">
        <f>IF(OR(G1203="",H1203="",G1203&lt;=1),"",IF(J1203&lt;IF(D1203="Builder",MinEdgeBuilder,IF(D1203="Player",MinEdgePlayer,MinEdgeSingle)),0,ROUND(MIN(IF(D1203="Single",KellySingle,KellyBuilder)*(StartBank+SUM(P$1:P1202))*J1203/(G1203-1),IF(D1203="Builder",CapBuilder,CapSingle)*Unit),2)))</f>
        <v/>
      </c>
      <c r="L1203" s="10" t="n"/>
      <c r="N1203" s="10" t="n"/>
      <c r="O1203" s="10">
        <f>IF(L1203="","",IF(M1203="Won",L1203*G1203,IF(M1203="Void",L1203,IF(M1203="Cash out",N(N1203),IF(M1203="Lost",0,"")))))</f>
        <v/>
      </c>
      <c r="P1203" s="10">
        <f>IF(OR(L1203="",M1203="",M1203="Pending"),"",O1203-L1203)</f>
        <v/>
      </c>
      <c r="Q1203" s="21" t="n"/>
      <c r="R1203" s="11">
        <f>IF(OR(G1203="",Q1203=""),"",G1203/Q1203-1)</f>
        <v/>
      </c>
      <c r="S1203" s="10">
        <f>IF(OR(L1203="",J1203=""),"",L1203*J1203)</f>
        <v/>
      </c>
      <c r="T1203" s="10">
        <f>IF(P1203="","",StartBank+SUM(P$2:P1203))</f>
        <v/>
      </c>
    </row>
    <row r="1204">
      <c r="A1204" s="22" t="n"/>
      <c r="G1204" s="21" t="n"/>
      <c r="H1204" s="11" t="n"/>
      <c r="I1204" s="21">
        <f>IF(OR(H1204="",H1204=0),"",1/H1204)</f>
        <v/>
      </c>
      <c r="J1204" s="11">
        <f>IF(OR(G1204="",H1204=""),"",H1204*G1204-1)</f>
        <v/>
      </c>
      <c r="K1204" s="10">
        <f>IF(OR(G1204="",H1204="",G1204&lt;=1),"",IF(J1204&lt;IF(D1204="Builder",MinEdgeBuilder,IF(D1204="Player",MinEdgePlayer,MinEdgeSingle)),0,ROUND(MIN(IF(D1204="Single",KellySingle,KellyBuilder)*(StartBank+SUM(P$1:P1203))*J1204/(G1204-1),IF(D1204="Builder",CapBuilder,CapSingle)*Unit),2)))</f>
        <v/>
      </c>
      <c r="L1204" s="10" t="n"/>
      <c r="N1204" s="10" t="n"/>
      <c r="O1204" s="10">
        <f>IF(L1204="","",IF(M1204="Won",L1204*G1204,IF(M1204="Void",L1204,IF(M1204="Cash out",N(N1204),IF(M1204="Lost",0,"")))))</f>
        <v/>
      </c>
      <c r="P1204" s="10">
        <f>IF(OR(L1204="",M1204="",M1204="Pending"),"",O1204-L1204)</f>
        <v/>
      </c>
      <c r="Q1204" s="21" t="n"/>
      <c r="R1204" s="11">
        <f>IF(OR(G1204="",Q1204=""),"",G1204/Q1204-1)</f>
        <v/>
      </c>
      <c r="S1204" s="10">
        <f>IF(OR(L1204="",J1204=""),"",L1204*J1204)</f>
        <v/>
      </c>
      <c r="T1204" s="10">
        <f>IF(P1204="","",StartBank+SUM(P$2:P1204))</f>
        <v/>
      </c>
    </row>
    <row r="1205">
      <c r="A1205" s="22" t="n"/>
      <c r="G1205" s="21" t="n"/>
      <c r="H1205" s="11" t="n"/>
      <c r="I1205" s="21">
        <f>IF(OR(H1205="",H1205=0),"",1/H1205)</f>
        <v/>
      </c>
      <c r="J1205" s="11">
        <f>IF(OR(G1205="",H1205=""),"",H1205*G1205-1)</f>
        <v/>
      </c>
      <c r="K1205" s="10">
        <f>IF(OR(G1205="",H1205="",G1205&lt;=1),"",IF(J1205&lt;IF(D1205="Builder",MinEdgeBuilder,IF(D1205="Player",MinEdgePlayer,MinEdgeSingle)),0,ROUND(MIN(IF(D1205="Single",KellySingle,KellyBuilder)*(StartBank+SUM(P$1:P1204))*J1205/(G1205-1),IF(D1205="Builder",CapBuilder,CapSingle)*Unit),2)))</f>
        <v/>
      </c>
      <c r="L1205" s="10" t="n"/>
      <c r="N1205" s="10" t="n"/>
      <c r="O1205" s="10">
        <f>IF(L1205="","",IF(M1205="Won",L1205*G1205,IF(M1205="Void",L1205,IF(M1205="Cash out",N(N1205),IF(M1205="Lost",0,"")))))</f>
        <v/>
      </c>
      <c r="P1205" s="10">
        <f>IF(OR(L1205="",M1205="",M1205="Pending"),"",O1205-L1205)</f>
        <v/>
      </c>
      <c r="Q1205" s="21" t="n"/>
      <c r="R1205" s="11">
        <f>IF(OR(G1205="",Q1205=""),"",G1205/Q1205-1)</f>
        <v/>
      </c>
      <c r="S1205" s="10">
        <f>IF(OR(L1205="",J1205=""),"",L1205*J1205)</f>
        <v/>
      </c>
      <c r="T1205" s="10">
        <f>IF(P1205="","",StartBank+SUM(P$2:P1205))</f>
        <v/>
      </c>
    </row>
    <row r="1206">
      <c r="A1206" s="22" t="n"/>
      <c r="G1206" s="21" t="n"/>
      <c r="H1206" s="11" t="n"/>
      <c r="I1206" s="21">
        <f>IF(OR(H1206="",H1206=0),"",1/H1206)</f>
        <v/>
      </c>
      <c r="J1206" s="11">
        <f>IF(OR(G1206="",H1206=""),"",H1206*G1206-1)</f>
        <v/>
      </c>
      <c r="K1206" s="10">
        <f>IF(OR(G1206="",H1206="",G1206&lt;=1),"",IF(J1206&lt;IF(D1206="Builder",MinEdgeBuilder,IF(D1206="Player",MinEdgePlayer,MinEdgeSingle)),0,ROUND(MIN(IF(D1206="Single",KellySingle,KellyBuilder)*(StartBank+SUM(P$1:P1205))*J1206/(G1206-1),IF(D1206="Builder",CapBuilder,CapSingle)*Unit),2)))</f>
        <v/>
      </c>
      <c r="L1206" s="10" t="n"/>
      <c r="N1206" s="10" t="n"/>
      <c r="O1206" s="10">
        <f>IF(L1206="","",IF(M1206="Won",L1206*G1206,IF(M1206="Void",L1206,IF(M1206="Cash out",N(N1206),IF(M1206="Lost",0,"")))))</f>
        <v/>
      </c>
      <c r="P1206" s="10">
        <f>IF(OR(L1206="",M1206="",M1206="Pending"),"",O1206-L1206)</f>
        <v/>
      </c>
      <c r="Q1206" s="21" t="n"/>
      <c r="R1206" s="11">
        <f>IF(OR(G1206="",Q1206=""),"",G1206/Q1206-1)</f>
        <v/>
      </c>
      <c r="S1206" s="10">
        <f>IF(OR(L1206="",J1206=""),"",L1206*J1206)</f>
        <v/>
      </c>
      <c r="T1206" s="10">
        <f>IF(P1206="","",StartBank+SUM(P$2:P1206))</f>
        <v/>
      </c>
    </row>
    <row r="1207">
      <c r="A1207" s="22" t="n"/>
      <c r="G1207" s="21" t="n"/>
      <c r="H1207" s="11" t="n"/>
      <c r="I1207" s="21">
        <f>IF(OR(H1207="",H1207=0),"",1/H1207)</f>
        <v/>
      </c>
      <c r="J1207" s="11">
        <f>IF(OR(G1207="",H1207=""),"",H1207*G1207-1)</f>
        <v/>
      </c>
      <c r="K1207" s="10">
        <f>IF(OR(G1207="",H1207="",G1207&lt;=1),"",IF(J1207&lt;IF(D1207="Builder",MinEdgeBuilder,IF(D1207="Player",MinEdgePlayer,MinEdgeSingle)),0,ROUND(MIN(IF(D1207="Single",KellySingle,KellyBuilder)*(StartBank+SUM(P$1:P1206))*J1207/(G1207-1),IF(D1207="Builder",CapBuilder,CapSingle)*Unit),2)))</f>
        <v/>
      </c>
      <c r="L1207" s="10" t="n"/>
      <c r="N1207" s="10" t="n"/>
      <c r="O1207" s="10">
        <f>IF(L1207="","",IF(M1207="Won",L1207*G1207,IF(M1207="Void",L1207,IF(M1207="Cash out",N(N1207),IF(M1207="Lost",0,"")))))</f>
        <v/>
      </c>
      <c r="P1207" s="10">
        <f>IF(OR(L1207="",M1207="",M1207="Pending"),"",O1207-L1207)</f>
        <v/>
      </c>
      <c r="Q1207" s="21" t="n"/>
      <c r="R1207" s="11">
        <f>IF(OR(G1207="",Q1207=""),"",G1207/Q1207-1)</f>
        <v/>
      </c>
      <c r="S1207" s="10">
        <f>IF(OR(L1207="",J1207=""),"",L1207*J1207)</f>
        <v/>
      </c>
      <c r="T1207" s="10">
        <f>IF(P1207="","",StartBank+SUM(P$2:P1207))</f>
        <v/>
      </c>
    </row>
    <row r="1208">
      <c r="A1208" s="22" t="n"/>
      <c r="G1208" s="21" t="n"/>
      <c r="H1208" s="11" t="n"/>
      <c r="I1208" s="21">
        <f>IF(OR(H1208="",H1208=0),"",1/H1208)</f>
        <v/>
      </c>
      <c r="J1208" s="11">
        <f>IF(OR(G1208="",H1208=""),"",H1208*G1208-1)</f>
        <v/>
      </c>
      <c r="K1208" s="10">
        <f>IF(OR(G1208="",H1208="",G1208&lt;=1),"",IF(J1208&lt;IF(D1208="Builder",MinEdgeBuilder,IF(D1208="Player",MinEdgePlayer,MinEdgeSingle)),0,ROUND(MIN(IF(D1208="Single",KellySingle,KellyBuilder)*(StartBank+SUM(P$1:P1207))*J1208/(G1208-1),IF(D1208="Builder",CapBuilder,CapSingle)*Unit),2)))</f>
        <v/>
      </c>
      <c r="L1208" s="10" t="n"/>
      <c r="N1208" s="10" t="n"/>
      <c r="O1208" s="10">
        <f>IF(L1208="","",IF(M1208="Won",L1208*G1208,IF(M1208="Void",L1208,IF(M1208="Cash out",N(N1208),IF(M1208="Lost",0,"")))))</f>
        <v/>
      </c>
      <c r="P1208" s="10">
        <f>IF(OR(L1208="",M1208="",M1208="Pending"),"",O1208-L1208)</f>
        <v/>
      </c>
      <c r="Q1208" s="21" t="n"/>
      <c r="R1208" s="11">
        <f>IF(OR(G1208="",Q1208=""),"",G1208/Q1208-1)</f>
        <v/>
      </c>
      <c r="S1208" s="10">
        <f>IF(OR(L1208="",J1208=""),"",L1208*J1208)</f>
        <v/>
      </c>
      <c r="T1208" s="10">
        <f>IF(P1208="","",StartBank+SUM(P$2:P1208))</f>
        <v/>
      </c>
    </row>
    <row r="1209">
      <c r="A1209" s="22" t="n"/>
      <c r="G1209" s="21" t="n"/>
      <c r="H1209" s="11" t="n"/>
      <c r="I1209" s="21">
        <f>IF(OR(H1209="",H1209=0),"",1/H1209)</f>
        <v/>
      </c>
      <c r="J1209" s="11">
        <f>IF(OR(G1209="",H1209=""),"",H1209*G1209-1)</f>
        <v/>
      </c>
      <c r="K1209" s="10">
        <f>IF(OR(G1209="",H1209="",G1209&lt;=1),"",IF(J1209&lt;IF(D1209="Builder",MinEdgeBuilder,IF(D1209="Player",MinEdgePlayer,MinEdgeSingle)),0,ROUND(MIN(IF(D1209="Single",KellySingle,KellyBuilder)*(StartBank+SUM(P$1:P1208))*J1209/(G1209-1),IF(D1209="Builder",CapBuilder,CapSingle)*Unit),2)))</f>
        <v/>
      </c>
      <c r="L1209" s="10" t="n"/>
      <c r="N1209" s="10" t="n"/>
      <c r="O1209" s="10">
        <f>IF(L1209="","",IF(M1209="Won",L1209*G1209,IF(M1209="Void",L1209,IF(M1209="Cash out",N(N1209),IF(M1209="Lost",0,"")))))</f>
        <v/>
      </c>
      <c r="P1209" s="10">
        <f>IF(OR(L1209="",M1209="",M1209="Pending"),"",O1209-L1209)</f>
        <v/>
      </c>
      <c r="Q1209" s="21" t="n"/>
      <c r="R1209" s="11">
        <f>IF(OR(G1209="",Q1209=""),"",G1209/Q1209-1)</f>
        <v/>
      </c>
      <c r="S1209" s="10">
        <f>IF(OR(L1209="",J1209=""),"",L1209*J1209)</f>
        <v/>
      </c>
      <c r="T1209" s="10">
        <f>IF(P1209="","",StartBank+SUM(P$2:P1209))</f>
        <v/>
      </c>
    </row>
    <row r="1210">
      <c r="A1210" s="22" t="n"/>
      <c r="G1210" s="21" t="n"/>
      <c r="H1210" s="11" t="n"/>
      <c r="I1210" s="21">
        <f>IF(OR(H1210="",H1210=0),"",1/H1210)</f>
        <v/>
      </c>
      <c r="J1210" s="11">
        <f>IF(OR(G1210="",H1210=""),"",H1210*G1210-1)</f>
        <v/>
      </c>
      <c r="K1210" s="10">
        <f>IF(OR(G1210="",H1210="",G1210&lt;=1),"",IF(J1210&lt;IF(D1210="Builder",MinEdgeBuilder,IF(D1210="Player",MinEdgePlayer,MinEdgeSingle)),0,ROUND(MIN(IF(D1210="Single",KellySingle,KellyBuilder)*(StartBank+SUM(P$1:P1209))*J1210/(G1210-1),IF(D1210="Builder",CapBuilder,CapSingle)*Unit),2)))</f>
        <v/>
      </c>
      <c r="L1210" s="10" t="n"/>
      <c r="N1210" s="10" t="n"/>
      <c r="O1210" s="10">
        <f>IF(L1210="","",IF(M1210="Won",L1210*G1210,IF(M1210="Void",L1210,IF(M1210="Cash out",N(N1210),IF(M1210="Lost",0,"")))))</f>
        <v/>
      </c>
      <c r="P1210" s="10">
        <f>IF(OR(L1210="",M1210="",M1210="Pending"),"",O1210-L1210)</f>
        <v/>
      </c>
      <c r="Q1210" s="21" t="n"/>
      <c r="R1210" s="11">
        <f>IF(OR(G1210="",Q1210=""),"",G1210/Q1210-1)</f>
        <v/>
      </c>
      <c r="S1210" s="10">
        <f>IF(OR(L1210="",J1210=""),"",L1210*J1210)</f>
        <v/>
      </c>
      <c r="T1210" s="10">
        <f>IF(P1210="","",StartBank+SUM(P$2:P1210))</f>
        <v/>
      </c>
    </row>
    <row r="1211">
      <c r="A1211" s="22" t="n"/>
      <c r="G1211" s="21" t="n"/>
      <c r="H1211" s="11" t="n"/>
      <c r="I1211" s="21">
        <f>IF(OR(H1211="",H1211=0),"",1/H1211)</f>
        <v/>
      </c>
      <c r="J1211" s="11">
        <f>IF(OR(G1211="",H1211=""),"",H1211*G1211-1)</f>
        <v/>
      </c>
      <c r="K1211" s="10">
        <f>IF(OR(G1211="",H1211="",G1211&lt;=1),"",IF(J1211&lt;IF(D1211="Builder",MinEdgeBuilder,IF(D1211="Player",MinEdgePlayer,MinEdgeSingle)),0,ROUND(MIN(IF(D1211="Single",KellySingle,KellyBuilder)*(StartBank+SUM(P$1:P1210))*J1211/(G1211-1),IF(D1211="Builder",CapBuilder,CapSingle)*Unit),2)))</f>
        <v/>
      </c>
      <c r="L1211" s="10" t="n"/>
      <c r="N1211" s="10" t="n"/>
      <c r="O1211" s="10">
        <f>IF(L1211="","",IF(M1211="Won",L1211*G1211,IF(M1211="Void",L1211,IF(M1211="Cash out",N(N1211),IF(M1211="Lost",0,"")))))</f>
        <v/>
      </c>
      <c r="P1211" s="10">
        <f>IF(OR(L1211="",M1211="",M1211="Pending"),"",O1211-L1211)</f>
        <v/>
      </c>
      <c r="Q1211" s="21" t="n"/>
      <c r="R1211" s="11">
        <f>IF(OR(G1211="",Q1211=""),"",G1211/Q1211-1)</f>
        <v/>
      </c>
      <c r="S1211" s="10">
        <f>IF(OR(L1211="",J1211=""),"",L1211*J1211)</f>
        <v/>
      </c>
      <c r="T1211" s="10">
        <f>IF(P1211="","",StartBank+SUM(P$2:P1211))</f>
        <v/>
      </c>
    </row>
    <row r="1212">
      <c r="A1212" s="22" t="n"/>
      <c r="G1212" s="21" t="n"/>
      <c r="H1212" s="11" t="n"/>
      <c r="I1212" s="21">
        <f>IF(OR(H1212="",H1212=0),"",1/H1212)</f>
        <v/>
      </c>
      <c r="J1212" s="11">
        <f>IF(OR(G1212="",H1212=""),"",H1212*G1212-1)</f>
        <v/>
      </c>
      <c r="K1212" s="10">
        <f>IF(OR(G1212="",H1212="",G1212&lt;=1),"",IF(J1212&lt;IF(D1212="Builder",MinEdgeBuilder,IF(D1212="Player",MinEdgePlayer,MinEdgeSingle)),0,ROUND(MIN(IF(D1212="Single",KellySingle,KellyBuilder)*(StartBank+SUM(P$1:P1211))*J1212/(G1212-1),IF(D1212="Builder",CapBuilder,CapSingle)*Unit),2)))</f>
        <v/>
      </c>
      <c r="L1212" s="10" t="n"/>
      <c r="N1212" s="10" t="n"/>
      <c r="O1212" s="10">
        <f>IF(L1212="","",IF(M1212="Won",L1212*G1212,IF(M1212="Void",L1212,IF(M1212="Cash out",N(N1212),IF(M1212="Lost",0,"")))))</f>
        <v/>
      </c>
      <c r="P1212" s="10">
        <f>IF(OR(L1212="",M1212="",M1212="Pending"),"",O1212-L1212)</f>
        <v/>
      </c>
      <c r="Q1212" s="21" t="n"/>
      <c r="R1212" s="11">
        <f>IF(OR(G1212="",Q1212=""),"",G1212/Q1212-1)</f>
        <v/>
      </c>
      <c r="S1212" s="10">
        <f>IF(OR(L1212="",J1212=""),"",L1212*J1212)</f>
        <v/>
      </c>
      <c r="T1212" s="10">
        <f>IF(P1212="","",StartBank+SUM(P$2:P1212))</f>
        <v/>
      </c>
    </row>
    <row r="1213">
      <c r="A1213" s="22" t="n"/>
      <c r="G1213" s="21" t="n"/>
      <c r="H1213" s="11" t="n"/>
      <c r="I1213" s="21">
        <f>IF(OR(H1213="",H1213=0),"",1/H1213)</f>
        <v/>
      </c>
      <c r="J1213" s="11">
        <f>IF(OR(G1213="",H1213=""),"",H1213*G1213-1)</f>
        <v/>
      </c>
      <c r="K1213" s="10">
        <f>IF(OR(G1213="",H1213="",G1213&lt;=1),"",IF(J1213&lt;IF(D1213="Builder",MinEdgeBuilder,IF(D1213="Player",MinEdgePlayer,MinEdgeSingle)),0,ROUND(MIN(IF(D1213="Single",KellySingle,KellyBuilder)*(StartBank+SUM(P$1:P1212))*J1213/(G1213-1),IF(D1213="Builder",CapBuilder,CapSingle)*Unit),2)))</f>
        <v/>
      </c>
      <c r="L1213" s="10" t="n"/>
      <c r="N1213" s="10" t="n"/>
      <c r="O1213" s="10">
        <f>IF(L1213="","",IF(M1213="Won",L1213*G1213,IF(M1213="Void",L1213,IF(M1213="Cash out",N(N1213),IF(M1213="Lost",0,"")))))</f>
        <v/>
      </c>
      <c r="P1213" s="10">
        <f>IF(OR(L1213="",M1213="",M1213="Pending"),"",O1213-L1213)</f>
        <v/>
      </c>
      <c r="Q1213" s="21" t="n"/>
      <c r="R1213" s="11">
        <f>IF(OR(G1213="",Q1213=""),"",G1213/Q1213-1)</f>
        <v/>
      </c>
      <c r="S1213" s="10">
        <f>IF(OR(L1213="",J1213=""),"",L1213*J1213)</f>
        <v/>
      </c>
      <c r="T1213" s="10">
        <f>IF(P1213="","",StartBank+SUM(P$2:P1213))</f>
        <v/>
      </c>
    </row>
    <row r="1214">
      <c r="A1214" s="22" t="n"/>
      <c r="G1214" s="21" t="n"/>
      <c r="H1214" s="11" t="n"/>
      <c r="I1214" s="21">
        <f>IF(OR(H1214="",H1214=0),"",1/H1214)</f>
        <v/>
      </c>
      <c r="J1214" s="11">
        <f>IF(OR(G1214="",H1214=""),"",H1214*G1214-1)</f>
        <v/>
      </c>
      <c r="K1214" s="10">
        <f>IF(OR(G1214="",H1214="",G1214&lt;=1),"",IF(J1214&lt;IF(D1214="Builder",MinEdgeBuilder,IF(D1214="Player",MinEdgePlayer,MinEdgeSingle)),0,ROUND(MIN(IF(D1214="Single",KellySingle,KellyBuilder)*(StartBank+SUM(P$1:P1213))*J1214/(G1214-1),IF(D1214="Builder",CapBuilder,CapSingle)*Unit),2)))</f>
        <v/>
      </c>
      <c r="L1214" s="10" t="n"/>
      <c r="N1214" s="10" t="n"/>
      <c r="O1214" s="10">
        <f>IF(L1214="","",IF(M1214="Won",L1214*G1214,IF(M1214="Void",L1214,IF(M1214="Cash out",N(N1214),IF(M1214="Lost",0,"")))))</f>
        <v/>
      </c>
      <c r="P1214" s="10">
        <f>IF(OR(L1214="",M1214="",M1214="Pending"),"",O1214-L1214)</f>
        <v/>
      </c>
      <c r="Q1214" s="21" t="n"/>
      <c r="R1214" s="11">
        <f>IF(OR(G1214="",Q1214=""),"",G1214/Q1214-1)</f>
        <v/>
      </c>
      <c r="S1214" s="10">
        <f>IF(OR(L1214="",J1214=""),"",L1214*J1214)</f>
        <v/>
      </c>
      <c r="T1214" s="10">
        <f>IF(P1214="","",StartBank+SUM(P$2:P1214))</f>
        <v/>
      </c>
    </row>
    <row r="1215">
      <c r="A1215" s="22" t="n"/>
      <c r="G1215" s="21" t="n"/>
      <c r="H1215" s="11" t="n"/>
      <c r="I1215" s="21">
        <f>IF(OR(H1215="",H1215=0),"",1/H1215)</f>
        <v/>
      </c>
      <c r="J1215" s="11">
        <f>IF(OR(G1215="",H1215=""),"",H1215*G1215-1)</f>
        <v/>
      </c>
      <c r="K1215" s="10">
        <f>IF(OR(G1215="",H1215="",G1215&lt;=1),"",IF(J1215&lt;IF(D1215="Builder",MinEdgeBuilder,IF(D1215="Player",MinEdgePlayer,MinEdgeSingle)),0,ROUND(MIN(IF(D1215="Single",KellySingle,KellyBuilder)*(StartBank+SUM(P$1:P1214))*J1215/(G1215-1),IF(D1215="Builder",CapBuilder,CapSingle)*Unit),2)))</f>
        <v/>
      </c>
      <c r="L1215" s="10" t="n"/>
      <c r="N1215" s="10" t="n"/>
      <c r="O1215" s="10">
        <f>IF(L1215="","",IF(M1215="Won",L1215*G1215,IF(M1215="Void",L1215,IF(M1215="Cash out",N(N1215),IF(M1215="Lost",0,"")))))</f>
        <v/>
      </c>
      <c r="P1215" s="10">
        <f>IF(OR(L1215="",M1215="",M1215="Pending"),"",O1215-L1215)</f>
        <v/>
      </c>
      <c r="Q1215" s="21" t="n"/>
      <c r="R1215" s="11">
        <f>IF(OR(G1215="",Q1215=""),"",G1215/Q1215-1)</f>
        <v/>
      </c>
      <c r="S1215" s="10">
        <f>IF(OR(L1215="",J1215=""),"",L1215*J1215)</f>
        <v/>
      </c>
      <c r="T1215" s="10">
        <f>IF(P1215="","",StartBank+SUM(P$2:P1215))</f>
        <v/>
      </c>
    </row>
    <row r="1216">
      <c r="A1216" s="22" t="n"/>
      <c r="G1216" s="21" t="n"/>
      <c r="H1216" s="11" t="n"/>
      <c r="I1216" s="21">
        <f>IF(OR(H1216="",H1216=0),"",1/H1216)</f>
        <v/>
      </c>
      <c r="J1216" s="11">
        <f>IF(OR(G1216="",H1216=""),"",H1216*G1216-1)</f>
        <v/>
      </c>
      <c r="K1216" s="10">
        <f>IF(OR(G1216="",H1216="",G1216&lt;=1),"",IF(J1216&lt;IF(D1216="Builder",MinEdgeBuilder,IF(D1216="Player",MinEdgePlayer,MinEdgeSingle)),0,ROUND(MIN(IF(D1216="Single",KellySingle,KellyBuilder)*(StartBank+SUM(P$1:P1215))*J1216/(G1216-1),IF(D1216="Builder",CapBuilder,CapSingle)*Unit),2)))</f>
        <v/>
      </c>
      <c r="L1216" s="10" t="n"/>
      <c r="N1216" s="10" t="n"/>
      <c r="O1216" s="10">
        <f>IF(L1216="","",IF(M1216="Won",L1216*G1216,IF(M1216="Void",L1216,IF(M1216="Cash out",N(N1216),IF(M1216="Lost",0,"")))))</f>
        <v/>
      </c>
      <c r="P1216" s="10">
        <f>IF(OR(L1216="",M1216="",M1216="Pending"),"",O1216-L1216)</f>
        <v/>
      </c>
      <c r="Q1216" s="21" t="n"/>
      <c r="R1216" s="11">
        <f>IF(OR(G1216="",Q1216=""),"",G1216/Q1216-1)</f>
        <v/>
      </c>
      <c r="S1216" s="10">
        <f>IF(OR(L1216="",J1216=""),"",L1216*J1216)</f>
        <v/>
      </c>
      <c r="T1216" s="10">
        <f>IF(P1216="","",StartBank+SUM(P$2:P1216))</f>
        <v/>
      </c>
    </row>
    <row r="1217">
      <c r="A1217" s="22" t="n"/>
      <c r="G1217" s="21" t="n"/>
      <c r="H1217" s="11" t="n"/>
      <c r="I1217" s="21">
        <f>IF(OR(H1217="",H1217=0),"",1/H1217)</f>
        <v/>
      </c>
      <c r="J1217" s="11">
        <f>IF(OR(G1217="",H1217=""),"",H1217*G1217-1)</f>
        <v/>
      </c>
      <c r="K1217" s="10">
        <f>IF(OR(G1217="",H1217="",G1217&lt;=1),"",IF(J1217&lt;IF(D1217="Builder",MinEdgeBuilder,IF(D1217="Player",MinEdgePlayer,MinEdgeSingle)),0,ROUND(MIN(IF(D1217="Single",KellySingle,KellyBuilder)*(StartBank+SUM(P$1:P1216))*J1217/(G1217-1),IF(D1217="Builder",CapBuilder,CapSingle)*Unit),2)))</f>
        <v/>
      </c>
      <c r="L1217" s="10" t="n"/>
      <c r="N1217" s="10" t="n"/>
      <c r="O1217" s="10">
        <f>IF(L1217="","",IF(M1217="Won",L1217*G1217,IF(M1217="Void",L1217,IF(M1217="Cash out",N(N1217),IF(M1217="Lost",0,"")))))</f>
        <v/>
      </c>
      <c r="P1217" s="10">
        <f>IF(OR(L1217="",M1217="",M1217="Pending"),"",O1217-L1217)</f>
        <v/>
      </c>
      <c r="Q1217" s="21" t="n"/>
      <c r="R1217" s="11">
        <f>IF(OR(G1217="",Q1217=""),"",G1217/Q1217-1)</f>
        <v/>
      </c>
      <c r="S1217" s="10">
        <f>IF(OR(L1217="",J1217=""),"",L1217*J1217)</f>
        <v/>
      </c>
      <c r="T1217" s="10">
        <f>IF(P1217="","",StartBank+SUM(P$2:P1217))</f>
        <v/>
      </c>
    </row>
    <row r="1218">
      <c r="A1218" s="22" t="n"/>
      <c r="G1218" s="21" t="n"/>
      <c r="H1218" s="11" t="n"/>
      <c r="I1218" s="21">
        <f>IF(OR(H1218="",H1218=0),"",1/H1218)</f>
        <v/>
      </c>
      <c r="J1218" s="11">
        <f>IF(OR(G1218="",H1218=""),"",H1218*G1218-1)</f>
        <v/>
      </c>
      <c r="K1218" s="10">
        <f>IF(OR(G1218="",H1218="",G1218&lt;=1),"",IF(J1218&lt;IF(D1218="Builder",MinEdgeBuilder,IF(D1218="Player",MinEdgePlayer,MinEdgeSingle)),0,ROUND(MIN(IF(D1218="Single",KellySingle,KellyBuilder)*(StartBank+SUM(P$1:P1217))*J1218/(G1218-1),IF(D1218="Builder",CapBuilder,CapSingle)*Unit),2)))</f>
        <v/>
      </c>
      <c r="L1218" s="10" t="n"/>
      <c r="N1218" s="10" t="n"/>
      <c r="O1218" s="10">
        <f>IF(L1218="","",IF(M1218="Won",L1218*G1218,IF(M1218="Void",L1218,IF(M1218="Cash out",N(N1218),IF(M1218="Lost",0,"")))))</f>
        <v/>
      </c>
      <c r="P1218" s="10">
        <f>IF(OR(L1218="",M1218="",M1218="Pending"),"",O1218-L1218)</f>
        <v/>
      </c>
      <c r="Q1218" s="21" t="n"/>
      <c r="R1218" s="11">
        <f>IF(OR(G1218="",Q1218=""),"",G1218/Q1218-1)</f>
        <v/>
      </c>
      <c r="S1218" s="10">
        <f>IF(OR(L1218="",J1218=""),"",L1218*J1218)</f>
        <v/>
      </c>
      <c r="T1218" s="10">
        <f>IF(P1218="","",StartBank+SUM(P$2:P1218))</f>
        <v/>
      </c>
    </row>
    <row r="1219">
      <c r="A1219" s="22" t="n"/>
      <c r="G1219" s="21" t="n"/>
      <c r="H1219" s="11" t="n"/>
      <c r="I1219" s="21">
        <f>IF(OR(H1219="",H1219=0),"",1/H1219)</f>
        <v/>
      </c>
      <c r="J1219" s="11">
        <f>IF(OR(G1219="",H1219=""),"",H1219*G1219-1)</f>
        <v/>
      </c>
      <c r="K1219" s="10">
        <f>IF(OR(G1219="",H1219="",G1219&lt;=1),"",IF(J1219&lt;IF(D1219="Builder",MinEdgeBuilder,IF(D1219="Player",MinEdgePlayer,MinEdgeSingle)),0,ROUND(MIN(IF(D1219="Single",KellySingle,KellyBuilder)*(StartBank+SUM(P$1:P1218))*J1219/(G1219-1),IF(D1219="Builder",CapBuilder,CapSingle)*Unit),2)))</f>
        <v/>
      </c>
      <c r="L1219" s="10" t="n"/>
      <c r="N1219" s="10" t="n"/>
      <c r="O1219" s="10">
        <f>IF(L1219="","",IF(M1219="Won",L1219*G1219,IF(M1219="Void",L1219,IF(M1219="Cash out",N(N1219),IF(M1219="Lost",0,"")))))</f>
        <v/>
      </c>
      <c r="P1219" s="10">
        <f>IF(OR(L1219="",M1219="",M1219="Pending"),"",O1219-L1219)</f>
        <v/>
      </c>
      <c r="Q1219" s="21" t="n"/>
      <c r="R1219" s="11">
        <f>IF(OR(G1219="",Q1219=""),"",G1219/Q1219-1)</f>
        <v/>
      </c>
      <c r="S1219" s="10">
        <f>IF(OR(L1219="",J1219=""),"",L1219*J1219)</f>
        <v/>
      </c>
      <c r="T1219" s="10">
        <f>IF(P1219="","",StartBank+SUM(P$2:P1219))</f>
        <v/>
      </c>
    </row>
    <row r="1220">
      <c r="A1220" s="22" t="n"/>
      <c r="G1220" s="21" t="n"/>
      <c r="H1220" s="11" t="n"/>
      <c r="I1220" s="21">
        <f>IF(OR(H1220="",H1220=0),"",1/H1220)</f>
        <v/>
      </c>
      <c r="J1220" s="11">
        <f>IF(OR(G1220="",H1220=""),"",H1220*G1220-1)</f>
        <v/>
      </c>
      <c r="K1220" s="10">
        <f>IF(OR(G1220="",H1220="",G1220&lt;=1),"",IF(J1220&lt;IF(D1220="Builder",MinEdgeBuilder,IF(D1220="Player",MinEdgePlayer,MinEdgeSingle)),0,ROUND(MIN(IF(D1220="Single",KellySingle,KellyBuilder)*(StartBank+SUM(P$1:P1219))*J1220/(G1220-1),IF(D1220="Builder",CapBuilder,CapSingle)*Unit),2)))</f>
        <v/>
      </c>
      <c r="L1220" s="10" t="n"/>
      <c r="N1220" s="10" t="n"/>
      <c r="O1220" s="10">
        <f>IF(L1220="","",IF(M1220="Won",L1220*G1220,IF(M1220="Void",L1220,IF(M1220="Cash out",N(N1220),IF(M1220="Lost",0,"")))))</f>
        <v/>
      </c>
      <c r="P1220" s="10">
        <f>IF(OR(L1220="",M1220="",M1220="Pending"),"",O1220-L1220)</f>
        <v/>
      </c>
      <c r="Q1220" s="21" t="n"/>
      <c r="R1220" s="11">
        <f>IF(OR(G1220="",Q1220=""),"",G1220/Q1220-1)</f>
        <v/>
      </c>
      <c r="S1220" s="10">
        <f>IF(OR(L1220="",J1220=""),"",L1220*J1220)</f>
        <v/>
      </c>
      <c r="T1220" s="10">
        <f>IF(P1220="","",StartBank+SUM(P$2:P1220))</f>
        <v/>
      </c>
    </row>
    <row r="1221">
      <c r="A1221" s="22" t="n"/>
      <c r="G1221" s="21" t="n"/>
      <c r="H1221" s="11" t="n"/>
      <c r="I1221" s="21">
        <f>IF(OR(H1221="",H1221=0),"",1/H1221)</f>
        <v/>
      </c>
      <c r="J1221" s="11">
        <f>IF(OR(G1221="",H1221=""),"",H1221*G1221-1)</f>
        <v/>
      </c>
      <c r="K1221" s="10">
        <f>IF(OR(G1221="",H1221="",G1221&lt;=1),"",IF(J1221&lt;IF(D1221="Builder",MinEdgeBuilder,IF(D1221="Player",MinEdgePlayer,MinEdgeSingle)),0,ROUND(MIN(IF(D1221="Single",KellySingle,KellyBuilder)*(StartBank+SUM(P$1:P1220))*J1221/(G1221-1),IF(D1221="Builder",CapBuilder,CapSingle)*Unit),2)))</f>
        <v/>
      </c>
      <c r="L1221" s="10" t="n"/>
      <c r="N1221" s="10" t="n"/>
      <c r="O1221" s="10">
        <f>IF(L1221="","",IF(M1221="Won",L1221*G1221,IF(M1221="Void",L1221,IF(M1221="Cash out",N(N1221),IF(M1221="Lost",0,"")))))</f>
        <v/>
      </c>
      <c r="P1221" s="10">
        <f>IF(OR(L1221="",M1221="",M1221="Pending"),"",O1221-L1221)</f>
        <v/>
      </c>
      <c r="Q1221" s="21" t="n"/>
      <c r="R1221" s="11">
        <f>IF(OR(G1221="",Q1221=""),"",G1221/Q1221-1)</f>
        <v/>
      </c>
      <c r="S1221" s="10">
        <f>IF(OR(L1221="",J1221=""),"",L1221*J1221)</f>
        <v/>
      </c>
      <c r="T1221" s="10">
        <f>IF(P1221="","",StartBank+SUM(P$2:P1221))</f>
        <v/>
      </c>
    </row>
    <row r="1222">
      <c r="A1222" s="22" t="n"/>
      <c r="G1222" s="21" t="n"/>
      <c r="H1222" s="11" t="n"/>
      <c r="I1222" s="21">
        <f>IF(OR(H1222="",H1222=0),"",1/H1222)</f>
        <v/>
      </c>
      <c r="J1222" s="11">
        <f>IF(OR(G1222="",H1222=""),"",H1222*G1222-1)</f>
        <v/>
      </c>
      <c r="K1222" s="10">
        <f>IF(OR(G1222="",H1222="",G1222&lt;=1),"",IF(J1222&lt;IF(D1222="Builder",MinEdgeBuilder,IF(D1222="Player",MinEdgePlayer,MinEdgeSingle)),0,ROUND(MIN(IF(D1222="Single",KellySingle,KellyBuilder)*(StartBank+SUM(P$1:P1221))*J1222/(G1222-1),IF(D1222="Builder",CapBuilder,CapSingle)*Unit),2)))</f>
        <v/>
      </c>
      <c r="L1222" s="10" t="n"/>
      <c r="N1222" s="10" t="n"/>
      <c r="O1222" s="10">
        <f>IF(L1222="","",IF(M1222="Won",L1222*G1222,IF(M1222="Void",L1222,IF(M1222="Cash out",N(N1222),IF(M1222="Lost",0,"")))))</f>
        <v/>
      </c>
      <c r="P1222" s="10">
        <f>IF(OR(L1222="",M1222="",M1222="Pending"),"",O1222-L1222)</f>
        <v/>
      </c>
      <c r="Q1222" s="21" t="n"/>
      <c r="R1222" s="11">
        <f>IF(OR(G1222="",Q1222=""),"",G1222/Q1222-1)</f>
        <v/>
      </c>
      <c r="S1222" s="10">
        <f>IF(OR(L1222="",J1222=""),"",L1222*J1222)</f>
        <v/>
      </c>
      <c r="T1222" s="10">
        <f>IF(P1222="","",StartBank+SUM(P$2:P1222))</f>
        <v/>
      </c>
    </row>
    <row r="1223">
      <c r="A1223" s="22" t="n"/>
      <c r="G1223" s="21" t="n"/>
      <c r="H1223" s="11" t="n"/>
      <c r="I1223" s="21">
        <f>IF(OR(H1223="",H1223=0),"",1/H1223)</f>
        <v/>
      </c>
      <c r="J1223" s="11">
        <f>IF(OR(G1223="",H1223=""),"",H1223*G1223-1)</f>
        <v/>
      </c>
      <c r="K1223" s="10">
        <f>IF(OR(G1223="",H1223="",G1223&lt;=1),"",IF(J1223&lt;IF(D1223="Builder",MinEdgeBuilder,IF(D1223="Player",MinEdgePlayer,MinEdgeSingle)),0,ROUND(MIN(IF(D1223="Single",KellySingle,KellyBuilder)*(StartBank+SUM(P$1:P1222))*J1223/(G1223-1),IF(D1223="Builder",CapBuilder,CapSingle)*Unit),2)))</f>
        <v/>
      </c>
      <c r="L1223" s="10" t="n"/>
      <c r="N1223" s="10" t="n"/>
      <c r="O1223" s="10">
        <f>IF(L1223="","",IF(M1223="Won",L1223*G1223,IF(M1223="Void",L1223,IF(M1223="Cash out",N(N1223),IF(M1223="Lost",0,"")))))</f>
        <v/>
      </c>
      <c r="P1223" s="10">
        <f>IF(OR(L1223="",M1223="",M1223="Pending"),"",O1223-L1223)</f>
        <v/>
      </c>
      <c r="Q1223" s="21" t="n"/>
      <c r="R1223" s="11">
        <f>IF(OR(G1223="",Q1223=""),"",G1223/Q1223-1)</f>
        <v/>
      </c>
      <c r="S1223" s="10">
        <f>IF(OR(L1223="",J1223=""),"",L1223*J1223)</f>
        <v/>
      </c>
      <c r="T1223" s="10">
        <f>IF(P1223="","",StartBank+SUM(P$2:P1223))</f>
        <v/>
      </c>
    </row>
    <row r="1224">
      <c r="A1224" s="22" t="n"/>
      <c r="G1224" s="21" t="n"/>
      <c r="H1224" s="11" t="n"/>
      <c r="I1224" s="21">
        <f>IF(OR(H1224="",H1224=0),"",1/H1224)</f>
        <v/>
      </c>
      <c r="J1224" s="11">
        <f>IF(OR(G1224="",H1224=""),"",H1224*G1224-1)</f>
        <v/>
      </c>
      <c r="K1224" s="10">
        <f>IF(OR(G1224="",H1224="",G1224&lt;=1),"",IF(J1224&lt;IF(D1224="Builder",MinEdgeBuilder,IF(D1224="Player",MinEdgePlayer,MinEdgeSingle)),0,ROUND(MIN(IF(D1224="Single",KellySingle,KellyBuilder)*(StartBank+SUM(P$1:P1223))*J1224/(G1224-1),IF(D1224="Builder",CapBuilder,CapSingle)*Unit),2)))</f>
        <v/>
      </c>
      <c r="L1224" s="10" t="n"/>
      <c r="N1224" s="10" t="n"/>
      <c r="O1224" s="10">
        <f>IF(L1224="","",IF(M1224="Won",L1224*G1224,IF(M1224="Void",L1224,IF(M1224="Cash out",N(N1224),IF(M1224="Lost",0,"")))))</f>
        <v/>
      </c>
      <c r="P1224" s="10">
        <f>IF(OR(L1224="",M1224="",M1224="Pending"),"",O1224-L1224)</f>
        <v/>
      </c>
      <c r="Q1224" s="21" t="n"/>
      <c r="R1224" s="11">
        <f>IF(OR(G1224="",Q1224=""),"",G1224/Q1224-1)</f>
        <v/>
      </c>
      <c r="S1224" s="10">
        <f>IF(OR(L1224="",J1224=""),"",L1224*J1224)</f>
        <v/>
      </c>
      <c r="T1224" s="10">
        <f>IF(P1224="","",StartBank+SUM(P$2:P1224))</f>
        <v/>
      </c>
    </row>
    <row r="1225">
      <c r="A1225" s="22" t="n"/>
      <c r="G1225" s="21" t="n"/>
      <c r="H1225" s="11" t="n"/>
      <c r="I1225" s="21">
        <f>IF(OR(H1225="",H1225=0),"",1/H1225)</f>
        <v/>
      </c>
      <c r="J1225" s="11">
        <f>IF(OR(G1225="",H1225=""),"",H1225*G1225-1)</f>
        <v/>
      </c>
      <c r="K1225" s="10">
        <f>IF(OR(G1225="",H1225="",G1225&lt;=1),"",IF(J1225&lt;IF(D1225="Builder",MinEdgeBuilder,IF(D1225="Player",MinEdgePlayer,MinEdgeSingle)),0,ROUND(MIN(IF(D1225="Single",KellySingle,KellyBuilder)*(StartBank+SUM(P$1:P1224))*J1225/(G1225-1),IF(D1225="Builder",CapBuilder,CapSingle)*Unit),2)))</f>
        <v/>
      </c>
      <c r="L1225" s="10" t="n"/>
      <c r="N1225" s="10" t="n"/>
      <c r="O1225" s="10">
        <f>IF(L1225="","",IF(M1225="Won",L1225*G1225,IF(M1225="Void",L1225,IF(M1225="Cash out",N(N1225),IF(M1225="Lost",0,"")))))</f>
        <v/>
      </c>
      <c r="P1225" s="10">
        <f>IF(OR(L1225="",M1225="",M1225="Pending"),"",O1225-L1225)</f>
        <v/>
      </c>
      <c r="Q1225" s="21" t="n"/>
      <c r="R1225" s="11">
        <f>IF(OR(G1225="",Q1225=""),"",G1225/Q1225-1)</f>
        <v/>
      </c>
      <c r="S1225" s="10">
        <f>IF(OR(L1225="",J1225=""),"",L1225*J1225)</f>
        <v/>
      </c>
      <c r="T1225" s="10">
        <f>IF(P1225="","",StartBank+SUM(P$2:P1225))</f>
        <v/>
      </c>
    </row>
    <row r="1226">
      <c r="A1226" s="22" t="n"/>
      <c r="G1226" s="21" t="n"/>
      <c r="H1226" s="11" t="n"/>
      <c r="I1226" s="21">
        <f>IF(OR(H1226="",H1226=0),"",1/H1226)</f>
        <v/>
      </c>
      <c r="J1226" s="11">
        <f>IF(OR(G1226="",H1226=""),"",H1226*G1226-1)</f>
        <v/>
      </c>
      <c r="K1226" s="10">
        <f>IF(OR(G1226="",H1226="",G1226&lt;=1),"",IF(J1226&lt;IF(D1226="Builder",MinEdgeBuilder,IF(D1226="Player",MinEdgePlayer,MinEdgeSingle)),0,ROUND(MIN(IF(D1226="Single",KellySingle,KellyBuilder)*(StartBank+SUM(P$1:P1225))*J1226/(G1226-1),IF(D1226="Builder",CapBuilder,CapSingle)*Unit),2)))</f>
        <v/>
      </c>
      <c r="L1226" s="10" t="n"/>
      <c r="N1226" s="10" t="n"/>
      <c r="O1226" s="10">
        <f>IF(L1226="","",IF(M1226="Won",L1226*G1226,IF(M1226="Void",L1226,IF(M1226="Cash out",N(N1226),IF(M1226="Lost",0,"")))))</f>
        <v/>
      </c>
      <c r="P1226" s="10">
        <f>IF(OR(L1226="",M1226="",M1226="Pending"),"",O1226-L1226)</f>
        <v/>
      </c>
      <c r="Q1226" s="21" t="n"/>
      <c r="R1226" s="11">
        <f>IF(OR(G1226="",Q1226=""),"",G1226/Q1226-1)</f>
        <v/>
      </c>
      <c r="S1226" s="10">
        <f>IF(OR(L1226="",J1226=""),"",L1226*J1226)</f>
        <v/>
      </c>
      <c r="T1226" s="10">
        <f>IF(P1226="","",StartBank+SUM(P$2:P1226))</f>
        <v/>
      </c>
    </row>
    <row r="1227">
      <c r="A1227" s="22" t="n"/>
      <c r="G1227" s="21" t="n"/>
      <c r="H1227" s="11" t="n"/>
      <c r="I1227" s="21">
        <f>IF(OR(H1227="",H1227=0),"",1/H1227)</f>
        <v/>
      </c>
      <c r="J1227" s="11">
        <f>IF(OR(G1227="",H1227=""),"",H1227*G1227-1)</f>
        <v/>
      </c>
      <c r="K1227" s="10">
        <f>IF(OR(G1227="",H1227="",G1227&lt;=1),"",IF(J1227&lt;IF(D1227="Builder",MinEdgeBuilder,IF(D1227="Player",MinEdgePlayer,MinEdgeSingle)),0,ROUND(MIN(IF(D1227="Single",KellySingle,KellyBuilder)*(StartBank+SUM(P$1:P1226))*J1227/(G1227-1),IF(D1227="Builder",CapBuilder,CapSingle)*Unit),2)))</f>
        <v/>
      </c>
      <c r="L1227" s="10" t="n"/>
      <c r="N1227" s="10" t="n"/>
      <c r="O1227" s="10">
        <f>IF(L1227="","",IF(M1227="Won",L1227*G1227,IF(M1227="Void",L1227,IF(M1227="Cash out",N(N1227),IF(M1227="Lost",0,"")))))</f>
        <v/>
      </c>
      <c r="P1227" s="10">
        <f>IF(OR(L1227="",M1227="",M1227="Pending"),"",O1227-L1227)</f>
        <v/>
      </c>
      <c r="Q1227" s="21" t="n"/>
      <c r="R1227" s="11">
        <f>IF(OR(G1227="",Q1227=""),"",G1227/Q1227-1)</f>
        <v/>
      </c>
      <c r="S1227" s="10">
        <f>IF(OR(L1227="",J1227=""),"",L1227*J1227)</f>
        <v/>
      </c>
      <c r="T1227" s="10">
        <f>IF(P1227="","",StartBank+SUM(P$2:P1227))</f>
        <v/>
      </c>
    </row>
    <row r="1228">
      <c r="A1228" s="22" t="n"/>
      <c r="G1228" s="21" t="n"/>
      <c r="H1228" s="11" t="n"/>
      <c r="I1228" s="21">
        <f>IF(OR(H1228="",H1228=0),"",1/H1228)</f>
        <v/>
      </c>
      <c r="J1228" s="11">
        <f>IF(OR(G1228="",H1228=""),"",H1228*G1228-1)</f>
        <v/>
      </c>
      <c r="K1228" s="10">
        <f>IF(OR(G1228="",H1228="",G1228&lt;=1),"",IF(J1228&lt;IF(D1228="Builder",MinEdgeBuilder,IF(D1228="Player",MinEdgePlayer,MinEdgeSingle)),0,ROUND(MIN(IF(D1228="Single",KellySingle,KellyBuilder)*(StartBank+SUM(P$1:P1227))*J1228/(G1228-1),IF(D1228="Builder",CapBuilder,CapSingle)*Unit),2)))</f>
        <v/>
      </c>
      <c r="L1228" s="10" t="n"/>
      <c r="N1228" s="10" t="n"/>
      <c r="O1228" s="10">
        <f>IF(L1228="","",IF(M1228="Won",L1228*G1228,IF(M1228="Void",L1228,IF(M1228="Cash out",N(N1228),IF(M1228="Lost",0,"")))))</f>
        <v/>
      </c>
      <c r="P1228" s="10">
        <f>IF(OR(L1228="",M1228="",M1228="Pending"),"",O1228-L1228)</f>
        <v/>
      </c>
      <c r="Q1228" s="21" t="n"/>
      <c r="R1228" s="11">
        <f>IF(OR(G1228="",Q1228=""),"",G1228/Q1228-1)</f>
        <v/>
      </c>
      <c r="S1228" s="10">
        <f>IF(OR(L1228="",J1228=""),"",L1228*J1228)</f>
        <v/>
      </c>
      <c r="T1228" s="10">
        <f>IF(P1228="","",StartBank+SUM(P$2:P1228))</f>
        <v/>
      </c>
    </row>
    <row r="1229">
      <c r="A1229" s="22" t="n"/>
      <c r="G1229" s="21" t="n"/>
      <c r="H1229" s="11" t="n"/>
      <c r="I1229" s="21">
        <f>IF(OR(H1229="",H1229=0),"",1/H1229)</f>
        <v/>
      </c>
      <c r="J1229" s="11">
        <f>IF(OR(G1229="",H1229=""),"",H1229*G1229-1)</f>
        <v/>
      </c>
      <c r="K1229" s="10">
        <f>IF(OR(G1229="",H1229="",G1229&lt;=1),"",IF(J1229&lt;IF(D1229="Builder",MinEdgeBuilder,IF(D1229="Player",MinEdgePlayer,MinEdgeSingle)),0,ROUND(MIN(IF(D1229="Single",KellySingle,KellyBuilder)*(StartBank+SUM(P$1:P1228))*J1229/(G1229-1),IF(D1229="Builder",CapBuilder,CapSingle)*Unit),2)))</f>
        <v/>
      </c>
      <c r="L1229" s="10" t="n"/>
      <c r="N1229" s="10" t="n"/>
      <c r="O1229" s="10">
        <f>IF(L1229="","",IF(M1229="Won",L1229*G1229,IF(M1229="Void",L1229,IF(M1229="Cash out",N(N1229),IF(M1229="Lost",0,"")))))</f>
        <v/>
      </c>
      <c r="P1229" s="10">
        <f>IF(OR(L1229="",M1229="",M1229="Pending"),"",O1229-L1229)</f>
        <v/>
      </c>
      <c r="Q1229" s="21" t="n"/>
      <c r="R1229" s="11">
        <f>IF(OR(G1229="",Q1229=""),"",G1229/Q1229-1)</f>
        <v/>
      </c>
      <c r="S1229" s="10">
        <f>IF(OR(L1229="",J1229=""),"",L1229*J1229)</f>
        <v/>
      </c>
      <c r="T1229" s="10">
        <f>IF(P1229="","",StartBank+SUM(P$2:P1229))</f>
        <v/>
      </c>
    </row>
    <row r="1230">
      <c r="A1230" s="22" t="n"/>
      <c r="G1230" s="21" t="n"/>
      <c r="H1230" s="11" t="n"/>
      <c r="I1230" s="21">
        <f>IF(OR(H1230="",H1230=0),"",1/H1230)</f>
        <v/>
      </c>
      <c r="J1230" s="11">
        <f>IF(OR(G1230="",H1230=""),"",H1230*G1230-1)</f>
        <v/>
      </c>
      <c r="K1230" s="10">
        <f>IF(OR(G1230="",H1230="",G1230&lt;=1),"",IF(J1230&lt;IF(D1230="Builder",MinEdgeBuilder,IF(D1230="Player",MinEdgePlayer,MinEdgeSingle)),0,ROUND(MIN(IF(D1230="Single",KellySingle,KellyBuilder)*(StartBank+SUM(P$1:P1229))*J1230/(G1230-1),IF(D1230="Builder",CapBuilder,CapSingle)*Unit),2)))</f>
        <v/>
      </c>
      <c r="L1230" s="10" t="n"/>
      <c r="N1230" s="10" t="n"/>
      <c r="O1230" s="10">
        <f>IF(L1230="","",IF(M1230="Won",L1230*G1230,IF(M1230="Void",L1230,IF(M1230="Cash out",N(N1230),IF(M1230="Lost",0,"")))))</f>
        <v/>
      </c>
      <c r="P1230" s="10">
        <f>IF(OR(L1230="",M1230="",M1230="Pending"),"",O1230-L1230)</f>
        <v/>
      </c>
      <c r="Q1230" s="21" t="n"/>
      <c r="R1230" s="11">
        <f>IF(OR(G1230="",Q1230=""),"",G1230/Q1230-1)</f>
        <v/>
      </c>
      <c r="S1230" s="10">
        <f>IF(OR(L1230="",J1230=""),"",L1230*J1230)</f>
        <v/>
      </c>
      <c r="T1230" s="10">
        <f>IF(P1230="","",StartBank+SUM(P$2:P1230))</f>
        <v/>
      </c>
    </row>
    <row r="1231">
      <c r="A1231" s="22" t="n"/>
      <c r="G1231" s="21" t="n"/>
      <c r="H1231" s="11" t="n"/>
      <c r="I1231" s="21">
        <f>IF(OR(H1231="",H1231=0),"",1/H1231)</f>
        <v/>
      </c>
      <c r="J1231" s="11">
        <f>IF(OR(G1231="",H1231=""),"",H1231*G1231-1)</f>
        <v/>
      </c>
      <c r="K1231" s="10">
        <f>IF(OR(G1231="",H1231="",G1231&lt;=1),"",IF(J1231&lt;IF(D1231="Builder",MinEdgeBuilder,IF(D1231="Player",MinEdgePlayer,MinEdgeSingle)),0,ROUND(MIN(IF(D1231="Single",KellySingle,KellyBuilder)*(StartBank+SUM(P$1:P1230))*J1231/(G1231-1),IF(D1231="Builder",CapBuilder,CapSingle)*Unit),2)))</f>
        <v/>
      </c>
      <c r="L1231" s="10" t="n"/>
      <c r="N1231" s="10" t="n"/>
      <c r="O1231" s="10">
        <f>IF(L1231="","",IF(M1231="Won",L1231*G1231,IF(M1231="Void",L1231,IF(M1231="Cash out",N(N1231),IF(M1231="Lost",0,"")))))</f>
        <v/>
      </c>
      <c r="P1231" s="10">
        <f>IF(OR(L1231="",M1231="",M1231="Pending"),"",O1231-L1231)</f>
        <v/>
      </c>
      <c r="Q1231" s="21" t="n"/>
      <c r="R1231" s="11">
        <f>IF(OR(G1231="",Q1231=""),"",G1231/Q1231-1)</f>
        <v/>
      </c>
      <c r="S1231" s="10">
        <f>IF(OR(L1231="",J1231=""),"",L1231*J1231)</f>
        <v/>
      </c>
      <c r="T1231" s="10">
        <f>IF(P1231="","",StartBank+SUM(P$2:P1231))</f>
        <v/>
      </c>
    </row>
    <row r="1232">
      <c r="A1232" s="22" t="n"/>
      <c r="G1232" s="21" t="n"/>
      <c r="H1232" s="11" t="n"/>
      <c r="I1232" s="21">
        <f>IF(OR(H1232="",H1232=0),"",1/H1232)</f>
        <v/>
      </c>
      <c r="J1232" s="11">
        <f>IF(OR(G1232="",H1232=""),"",H1232*G1232-1)</f>
        <v/>
      </c>
      <c r="K1232" s="10">
        <f>IF(OR(G1232="",H1232="",G1232&lt;=1),"",IF(J1232&lt;IF(D1232="Builder",MinEdgeBuilder,IF(D1232="Player",MinEdgePlayer,MinEdgeSingle)),0,ROUND(MIN(IF(D1232="Single",KellySingle,KellyBuilder)*(StartBank+SUM(P$1:P1231))*J1232/(G1232-1),IF(D1232="Builder",CapBuilder,CapSingle)*Unit),2)))</f>
        <v/>
      </c>
      <c r="L1232" s="10" t="n"/>
      <c r="N1232" s="10" t="n"/>
      <c r="O1232" s="10">
        <f>IF(L1232="","",IF(M1232="Won",L1232*G1232,IF(M1232="Void",L1232,IF(M1232="Cash out",N(N1232),IF(M1232="Lost",0,"")))))</f>
        <v/>
      </c>
      <c r="P1232" s="10">
        <f>IF(OR(L1232="",M1232="",M1232="Pending"),"",O1232-L1232)</f>
        <v/>
      </c>
      <c r="Q1232" s="21" t="n"/>
      <c r="R1232" s="11">
        <f>IF(OR(G1232="",Q1232=""),"",G1232/Q1232-1)</f>
        <v/>
      </c>
      <c r="S1232" s="10">
        <f>IF(OR(L1232="",J1232=""),"",L1232*J1232)</f>
        <v/>
      </c>
      <c r="T1232" s="10">
        <f>IF(P1232="","",StartBank+SUM(P$2:P1232))</f>
        <v/>
      </c>
    </row>
    <row r="1233">
      <c r="A1233" s="22" t="n"/>
      <c r="G1233" s="21" t="n"/>
      <c r="H1233" s="11" t="n"/>
      <c r="I1233" s="21">
        <f>IF(OR(H1233="",H1233=0),"",1/H1233)</f>
        <v/>
      </c>
      <c r="J1233" s="11">
        <f>IF(OR(G1233="",H1233=""),"",H1233*G1233-1)</f>
        <v/>
      </c>
      <c r="K1233" s="10">
        <f>IF(OR(G1233="",H1233="",G1233&lt;=1),"",IF(J1233&lt;IF(D1233="Builder",MinEdgeBuilder,IF(D1233="Player",MinEdgePlayer,MinEdgeSingle)),0,ROUND(MIN(IF(D1233="Single",KellySingle,KellyBuilder)*(StartBank+SUM(P$1:P1232))*J1233/(G1233-1),IF(D1233="Builder",CapBuilder,CapSingle)*Unit),2)))</f>
        <v/>
      </c>
      <c r="L1233" s="10" t="n"/>
      <c r="N1233" s="10" t="n"/>
      <c r="O1233" s="10">
        <f>IF(L1233="","",IF(M1233="Won",L1233*G1233,IF(M1233="Void",L1233,IF(M1233="Cash out",N(N1233),IF(M1233="Lost",0,"")))))</f>
        <v/>
      </c>
      <c r="P1233" s="10">
        <f>IF(OR(L1233="",M1233="",M1233="Pending"),"",O1233-L1233)</f>
        <v/>
      </c>
      <c r="Q1233" s="21" t="n"/>
      <c r="R1233" s="11">
        <f>IF(OR(G1233="",Q1233=""),"",G1233/Q1233-1)</f>
        <v/>
      </c>
      <c r="S1233" s="10">
        <f>IF(OR(L1233="",J1233=""),"",L1233*J1233)</f>
        <v/>
      </c>
      <c r="T1233" s="10">
        <f>IF(P1233="","",StartBank+SUM(P$2:P1233))</f>
        <v/>
      </c>
    </row>
    <row r="1234">
      <c r="A1234" s="22" t="n"/>
      <c r="G1234" s="21" t="n"/>
      <c r="H1234" s="11" t="n"/>
      <c r="I1234" s="21">
        <f>IF(OR(H1234="",H1234=0),"",1/H1234)</f>
        <v/>
      </c>
      <c r="J1234" s="11">
        <f>IF(OR(G1234="",H1234=""),"",H1234*G1234-1)</f>
        <v/>
      </c>
      <c r="K1234" s="10">
        <f>IF(OR(G1234="",H1234="",G1234&lt;=1),"",IF(J1234&lt;IF(D1234="Builder",MinEdgeBuilder,IF(D1234="Player",MinEdgePlayer,MinEdgeSingle)),0,ROUND(MIN(IF(D1234="Single",KellySingle,KellyBuilder)*(StartBank+SUM(P$1:P1233))*J1234/(G1234-1),IF(D1234="Builder",CapBuilder,CapSingle)*Unit),2)))</f>
        <v/>
      </c>
      <c r="L1234" s="10" t="n"/>
      <c r="N1234" s="10" t="n"/>
      <c r="O1234" s="10">
        <f>IF(L1234="","",IF(M1234="Won",L1234*G1234,IF(M1234="Void",L1234,IF(M1234="Cash out",N(N1234),IF(M1234="Lost",0,"")))))</f>
        <v/>
      </c>
      <c r="P1234" s="10">
        <f>IF(OR(L1234="",M1234="",M1234="Pending"),"",O1234-L1234)</f>
        <v/>
      </c>
      <c r="Q1234" s="21" t="n"/>
      <c r="R1234" s="11">
        <f>IF(OR(G1234="",Q1234=""),"",G1234/Q1234-1)</f>
        <v/>
      </c>
      <c r="S1234" s="10">
        <f>IF(OR(L1234="",J1234=""),"",L1234*J1234)</f>
        <v/>
      </c>
      <c r="T1234" s="10">
        <f>IF(P1234="","",StartBank+SUM(P$2:P1234))</f>
        <v/>
      </c>
    </row>
    <row r="1235">
      <c r="A1235" s="22" t="n"/>
      <c r="G1235" s="21" t="n"/>
      <c r="H1235" s="11" t="n"/>
      <c r="I1235" s="21">
        <f>IF(OR(H1235="",H1235=0),"",1/H1235)</f>
        <v/>
      </c>
      <c r="J1235" s="11">
        <f>IF(OR(G1235="",H1235=""),"",H1235*G1235-1)</f>
        <v/>
      </c>
      <c r="K1235" s="10">
        <f>IF(OR(G1235="",H1235="",G1235&lt;=1),"",IF(J1235&lt;IF(D1235="Builder",MinEdgeBuilder,IF(D1235="Player",MinEdgePlayer,MinEdgeSingle)),0,ROUND(MIN(IF(D1235="Single",KellySingle,KellyBuilder)*(StartBank+SUM(P$1:P1234))*J1235/(G1235-1),IF(D1235="Builder",CapBuilder,CapSingle)*Unit),2)))</f>
        <v/>
      </c>
      <c r="L1235" s="10" t="n"/>
      <c r="N1235" s="10" t="n"/>
      <c r="O1235" s="10">
        <f>IF(L1235="","",IF(M1235="Won",L1235*G1235,IF(M1235="Void",L1235,IF(M1235="Cash out",N(N1235),IF(M1235="Lost",0,"")))))</f>
        <v/>
      </c>
      <c r="P1235" s="10">
        <f>IF(OR(L1235="",M1235="",M1235="Pending"),"",O1235-L1235)</f>
        <v/>
      </c>
      <c r="Q1235" s="21" t="n"/>
      <c r="R1235" s="11">
        <f>IF(OR(G1235="",Q1235=""),"",G1235/Q1235-1)</f>
        <v/>
      </c>
      <c r="S1235" s="10">
        <f>IF(OR(L1235="",J1235=""),"",L1235*J1235)</f>
        <v/>
      </c>
      <c r="T1235" s="10">
        <f>IF(P1235="","",StartBank+SUM(P$2:P1235))</f>
        <v/>
      </c>
    </row>
    <row r="1236">
      <c r="A1236" s="22" t="n"/>
      <c r="G1236" s="21" t="n"/>
      <c r="H1236" s="11" t="n"/>
      <c r="I1236" s="21">
        <f>IF(OR(H1236="",H1236=0),"",1/H1236)</f>
        <v/>
      </c>
      <c r="J1236" s="11">
        <f>IF(OR(G1236="",H1236=""),"",H1236*G1236-1)</f>
        <v/>
      </c>
      <c r="K1236" s="10">
        <f>IF(OR(G1236="",H1236="",G1236&lt;=1),"",IF(J1236&lt;IF(D1236="Builder",MinEdgeBuilder,IF(D1236="Player",MinEdgePlayer,MinEdgeSingle)),0,ROUND(MIN(IF(D1236="Single",KellySingle,KellyBuilder)*(StartBank+SUM(P$1:P1235))*J1236/(G1236-1),IF(D1236="Builder",CapBuilder,CapSingle)*Unit),2)))</f>
        <v/>
      </c>
      <c r="L1236" s="10" t="n"/>
      <c r="N1236" s="10" t="n"/>
      <c r="O1236" s="10">
        <f>IF(L1236="","",IF(M1236="Won",L1236*G1236,IF(M1236="Void",L1236,IF(M1236="Cash out",N(N1236),IF(M1236="Lost",0,"")))))</f>
        <v/>
      </c>
      <c r="P1236" s="10">
        <f>IF(OR(L1236="",M1236="",M1236="Pending"),"",O1236-L1236)</f>
        <v/>
      </c>
      <c r="Q1236" s="21" t="n"/>
      <c r="R1236" s="11">
        <f>IF(OR(G1236="",Q1236=""),"",G1236/Q1236-1)</f>
        <v/>
      </c>
      <c r="S1236" s="10">
        <f>IF(OR(L1236="",J1236=""),"",L1236*J1236)</f>
        <v/>
      </c>
      <c r="T1236" s="10">
        <f>IF(P1236="","",StartBank+SUM(P$2:P1236))</f>
        <v/>
      </c>
    </row>
    <row r="1237">
      <c r="A1237" s="22" t="n"/>
      <c r="G1237" s="21" t="n"/>
      <c r="H1237" s="11" t="n"/>
      <c r="I1237" s="21">
        <f>IF(OR(H1237="",H1237=0),"",1/H1237)</f>
        <v/>
      </c>
      <c r="J1237" s="11">
        <f>IF(OR(G1237="",H1237=""),"",H1237*G1237-1)</f>
        <v/>
      </c>
      <c r="K1237" s="10">
        <f>IF(OR(G1237="",H1237="",G1237&lt;=1),"",IF(J1237&lt;IF(D1237="Builder",MinEdgeBuilder,IF(D1237="Player",MinEdgePlayer,MinEdgeSingle)),0,ROUND(MIN(IF(D1237="Single",KellySingle,KellyBuilder)*(StartBank+SUM(P$1:P1236))*J1237/(G1237-1),IF(D1237="Builder",CapBuilder,CapSingle)*Unit),2)))</f>
        <v/>
      </c>
      <c r="L1237" s="10" t="n"/>
      <c r="N1237" s="10" t="n"/>
      <c r="O1237" s="10">
        <f>IF(L1237="","",IF(M1237="Won",L1237*G1237,IF(M1237="Void",L1237,IF(M1237="Cash out",N(N1237),IF(M1237="Lost",0,"")))))</f>
        <v/>
      </c>
      <c r="P1237" s="10">
        <f>IF(OR(L1237="",M1237="",M1237="Pending"),"",O1237-L1237)</f>
        <v/>
      </c>
      <c r="Q1237" s="21" t="n"/>
      <c r="R1237" s="11">
        <f>IF(OR(G1237="",Q1237=""),"",G1237/Q1237-1)</f>
        <v/>
      </c>
      <c r="S1237" s="10">
        <f>IF(OR(L1237="",J1237=""),"",L1237*J1237)</f>
        <v/>
      </c>
      <c r="T1237" s="10">
        <f>IF(P1237="","",StartBank+SUM(P$2:P1237))</f>
        <v/>
      </c>
    </row>
    <row r="1238">
      <c r="A1238" s="22" t="n"/>
      <c r="G1238" s="21" t="n"/>
      <c r="H1238" s="11" t="n"/>
      <c r="I1238" s="21">
        <f>IF(OR(H1238="",H1238=0),"",1/H1238)</f>
        <v/>
      </c>
      <c r="J1238" s="11">
        <f>IF(OR(G1238="",H1238=""),"",H1238*G1238-1)</f>
        <v/>
      </c>
      <c r="K1238" s="10">
        <f>IF(OR(G1238="",H1238="",G1238&lt;=1),"",IF(J1238&lt;IF(D1238="Builder",MinEdgeBuilder,IF(D1238="Player",MinEdgePlayer,MinEdgeSingle)),0,ROUND(MIN(IF(D1238="Single",KellySingle,KellyBuilder)*(StartBank+SUM(P$1:P1237))*J1238/(G1238-1),IF(D1238="Builder",CapBuilder,CapSingle)*Unit),2)))</f>
        <v/>
      </c>
      <c r="L1238" s="10" t="n"/>
      <c r="N1238" s="10" t="n"/>
      <c r="O1238" s="10">
        <f>IF(L1238="","",IF(M1238="Won",L1238*G1238,IF(M1238="Void",L1238,IF(M1238="Cash out",N(N1238),IF(M1238="Lost",0,"")))))</f>
        <v/>
      </c>
      <c r="P1238" s="10">
        <f>IF(OR(L1238="",M1238="",M1238="Pending"),"",O1238-L1238)</f>
        <v/>
      </c>
      <c r="Q1238" s="21" t="n"/>
      <c r="R1238" s="11">
        <f>IF(OR(G1238="",Q1238=""),"",G1238/Q1238-1)</f>
        <v/>
      </c>
      <c r="S1238" s="10">
        <f>IF(OR(L1238="",J1238=""),"",L1238*J1238)</f>
        <v/>
      </c>
      <c r="T1238" s="10">
        <f>IF(P1238="","",StartBank+SUM(P$2:P1238))</f>
        <v/>
      </c>
    </row>
    <row r="1239">
      <c r="A1239" s="22" t="n"/>
      <c r="G1239" s="21" t="n"/>
      <c r="H1239" s="11" t="n"/>
      <c r="I1239" s="21">
        <f>IF(OR(H1239="",H1239=0),"",1/H1239)</f>
        <v/>
      </c>
      <c r="J1239" s="11">
        <f>IF(OR(G1239="",H1239=""),"",H1239*G1239-1)</f>
        <v/>
      </c>
      <c r="K1239" s="10">
        <f>IF(OR(G1239="",H1239="",G1239&lt;=1),"",IF(J1239&lt;IF(D1239="Builder",MinEdgeBuilder,IF(D1239="Player",MinEdgePlayer,MinEdgeSingle)),0,ROUND(MIN(IF(D1239="Single",KellySingle,KellyBuilder)*(StartBank+SUM(P$1:P1238))*J1239/(G1239-1),IF(D1239="Builder",CapBuilder,CapSingle)*Unit),2)))</f>
        <v/>
      </c>
      <c r="L1239" s="10" t="n"/>
      <c r="N1239" s="10" t="n"/>
      <c r="O1239" s="10">
        <f>IF(L1239="","",IF(M1239="Won",L1239*G1239,IF(M1239="Void",L1239,IF(M1239="Cash out",N(N1239),IF(M1239="Lost",0,"")))))</f>
        <v/>
      </c>
      <c r="P1239" s="10">
        <f>IF(OR(L1239="",M1239="",M1239="Pending"),"",O1239-L1239)</f>
        <v/>
      </c>
      <c r="Q1239" s="21" t="n"/>
      <c r="R1239" s="11">
        <f>IF(OR(G1239="",Q1239=""),"",G1239/Q1239-1)</f>
        <v/>
      </c>
      <c r="S1239" s="10">
        <f>IF(OR(L1239="",J1239=""),"",L1239*J1239)</f>
        <v/>
      </c>
      <c r="T1239" s="10">
        <f>IF(P1239="","",StartBank+SUM(P$2:P1239))</f>
        <v/>
      </c>
    </row>
    <row r="1240">
      <c r="A1240" s="22" t="n"/>
      <c r="G1240" s="21" t="n"/>
      <c r="H1240" s="11" t="n"/>
      <c r="I1240" s="21">
        <f>IF(OR(H1240="",H1240=0),"",1/H1240)</f>
        <v/>
      </c>
      <c r="J1240" s="11">
        <f>IF(OR(G1240="",H1240=""),"",H1240*G1240-1)</f>
        <v/>
      </c>
      <c r="K1240" s="10">
        <f>IF(OR(G1240="",H1240="",G1240&lt;=1),"",IF(J1240&lt;IF(D1240="Builder",MinEdgeBuilder,IF(D1240="Player",MinEdgePlayer,MinEdgeSingle)),0,ROUND(MIN(IF(D1240="Single",KellySingle,KellyBuilder)*(StartBank+SUM(P$1:P1239))*J1240/(G1240-1),IF(D1240="Builder",CapBuilder,CapSingle)*Unit),2)))</f>
        <v/>
      </c>
      <c r="L1240" s="10" t="n"/>
      <c r="N1240" s="10" t="n"/>
      <c r="O1240" s="10">
        <f>IF(L1240="","",IF(M1240="Won",L1240*G1240,IF(M1240="Void",L1240,IF(M1240="Cash out",N(N1240),IF(M1240="Lost",0,"")))))</f>
        <v/>
      </c>
      <c r="P1240" s="10">
        <f>IF(OR(L1240="",M1240="",M1240="Pending"),"",O1240-L1240)</f>
        <v/>
      </c>
      <c r="Q1240" s="21" t="n"/>
      <c r="R1240" s="11">
        <f>IF(OR(G1240="",Q1240=""),"",G1240/Q1240-1)</f>
        <v/>
      </c>
      <c r="S1240" s="10">
        <f>IF(OR(L1240="",J1240=""),"",L1240*J1240)</f>
        <v/>
      </c>
      <c r="T1240" s="10">
        <f>IF(P1240="","",StartBank+SUM(P$2:P1240))</f>
        <v/>
      </c>
    </row>
    <row r="1241">
      <c r="A1241" s="22" t="n"/>
      <c r="G1241" s="21" t="n"/>
      <c r="H1241" s="11" t="n"/>
      <c r="I1241" s="21">
        <f>IF(OR(H1241="",H1241=0),"",1/H1241)</f>
        <v/>
      </c>
      <c r="J1241" s="11">
        <f>IF(OR(G1241="",H1241=""),"",H1241*G1241-1)</f>
        <v/>
      </c>
      <c r="K1241" s="10">
        <f>IF(OR(G1241="",H1241="",G1241&lt;=1),"",IF(J1241&lt;IF(D1241="Builder",MinEdgeBuilder,IF(D1241="Player",MinEdgePlayer,MinEdgeSingle)),0,ROUND(MIN(IF(D1241="Single",KellySingle,KellyBuilder)*(StartBank+SUM(P$1:P1240))*J1241/(G1241-1),IF(D1241="Builder",CapBuilder,CapSingle)*Unit),2)))</f>
        <v/>
      </c>
      <c r="L1241" s="10" t="n"/>
      <c r="N1241" s="10" t="n"/>
      <c r="O1241" s="10">
        <f>IF(L1241="","",IF(M1241="Won",L1241*G1241,IF(M1241="Void",L1241,IF(M1241="Cash out",N(N1241),IF(M1241="Lost",0,"")))))</f>
        <v/>
      </c>
      <c r="P1241" s="10">
        <f>IF(OR(L1241="",M1241="",M1241="Pending"),"",O1241-L1241)</f>
        <v/>
      </c>
      <c r="Q1241" s="21" t="n"/>
      <c r="R1241" s="11">
        <f>IF(OR(G1241="",Q1241=""),"",G1241/Q1241-1)</f>
        <v/>
      </c>
      <c r="S1241" s="10">
        <f>IF(OR(L1241="",J1241=""),"",L1241*J1241)</f>
        <v/>
      </c>
      <c r="T1241" s="10">
        <f>IF(P1241="","",StartBank+SUM(P$2:P1241))</f>
        <v/>
      </c>
    </row>
    <row r="1242">
      <c r="A1242" s="22" t="n"/>
      <c r="G1242" s="21" t="n"/>
      <c r="H1242" s="11" t="n"/>
      <c r="I1242" s="21">
        <f>IF(OR(H1242="",H1242=0),"",1/H1242)</f>
        <v/>
      </c>
      <c r="J1242" s="11">
        <f>IF(OR(G1242="",H1242=""),"",H1242*G1242-1)</f>
        <v/>
      </c>
      <c r="K1242" s="10">
        <f>IF(OR(G1242="",H1242="",G1242&lt;=1),"",IF(J1242&lt;IF(D1242="Builder",MinEdgeBuilder,IF(D1242="Player",MinEdgePlayer,MinEdgeSingle)),0,ROUND(MIN(IF(D1242="Single",KellySingle,KellyBuilder)*(StartBank+SUM(P$1:P1241))*J1242/(G1242-1),IF(D1242="Builder",CapBuilder,CapSingle)*Unit),2)))</f>
        <v/>
      </c>
      <c r="L1242" s="10" t="n"/>
      <c r="N1242" s="10" t="n"/>
      <c r="O1242" s="10">
        <f>IF(L1242="","",IF(M1242="Won",L1242*G1242,IF(M1242="Void",L1242,IF(M1242="Cash out",N(N1242),IF(M1242="Lost",0,"")))))</f>
        <v/>
      </c>
      <c r="P1242" s="10">
        <f>IF(OR(L1242="",M1242="",M1242="Pending"),"",O1242-L1242)</f>
        <v/>
      </c>
      <c r="Q1242" s="21" t="n"/>
      <c r="R1242" s="11">
        <f>IF(OR(G1242="",Q1242=""),"",G1242/Q1242-1)</f>
        <v/>
      </c>
      <c r="S1242" s="10">
        <f>IF(OR(L1242="",J1242=""),"",L1242*J1242)</f>
        <v/>
      </c>
      <c r="T1242" s="10">
        <f>IF(P1242="","",StartBank+SUM(P$2:P1242))</f>
        <v/>
      </c>
    </row>
    <row r="1243">
      <c r="A1243" s="22" t="n"/>
      <c r="G1243" s="21" t="n"/>
      <c r="H1243" s="11" t="n"/>
      <c r="I1243" s="21">
        <f>IF(OR(H1243="",H1243=0),"",1/H1243)</f>
        <v/>
      </c>
      <c r="J1243" s="11">
        <f>IF(OR(G1243="",H1243=""),"",H1243*G1243-1)</f>
        <v/>
      </c>
      <c r="K1243" s="10">
        <f>IF(OR(G1243="",H1243="",G1243&lt;=1),"",IF(J1243&lt;IF(D1243="Builder",MinEdgeBuilder,IF(D1243="Player",MinEdgePlayer,MinEdgeSingle)),0,ROUND(MIN(IF(D1243="Single",KellySingle,KellyBuilder)*(StartBank+SUM(P$1:P1242))*J1243/(G1243-1),IF(D1243="Builder",CapBuilder,CapSingle)*Unit),2)))</f>
        <v/>
      </c>
      <c r="L1243" s="10" t="n"/>
      <c r="N1243" s="10" t="n"/>
      <c r="O1243" s="10">
        <f>IF(L1243="","",IF(M1243="Won",L1243*G1243,IF(M1243="Void",L1243,IF(M1243="Cash out",N(N1243),IF(M1243="Lost",0,"")))))</f>
        <v/>
      </c>
      <c r="P1243" s="10">
        <f>IF(OR(L1243="",M1243="",M1243="Pending"),"",O1243-L1243)</f>
        <v/>
      </c>
      <c r="Q1243" s="21" t="n"/>
      <c r="R1243" s="11">
        <f>IF(OR(G1243="",Q1243=""),"",G1243/Q1243-1)</f>
        <v/>
      </c>
      <c r="S1243" s="10">
        <f>IF(OR(L1243="",J1243=""),"",L1243*J1243)</f>
        <v/>
      </c>
      <c r="T1243" s="10">
        <f>IF(P1243="","",StartBank+SUM(P$2:P1243))</f>
        <v/>
      </c>
    </row>
    <row r="1244">
      <c r="A1244" s="22" t="n"/>
      <c r="G1244" s="21" t="n"/>
      <c r="H1244" s="11" t="n"/>
      <c r="I1244" s="21">
        <f>IF(OR(H1244="",H1244=0),"",1/H1244)</f>
        <v/>
      </c>
      <c r="J1244" s="11">
        <f>IF(OR(G1244="",H1244=""),"",H1244*G1244-1)</f>
        <v/>
      </c>
      <c r="K1244" s="10">
        <f>IF(OR(G1244="",H1244="",G1244&lt;=1),"",IF(J1244&lt;IF(D1244="Builder",MinEdgeBuilder,IF(D1244="Player",MinEdgePlayer,MinEdgeSingle)),0,ROUND(MIN(IF(D1244="Single",KellySingle,KellyBuilder)*(StartBank+SUM(P$1:P1243))*J1244/(G1244-1),IF(D1244="Builder",CapBuilder,CapSingle)*Unit),2)))</f>
        <v/>
      </c>
      <c r="L1244" s="10" t="n"/>
      <c r="N1244" s="10" t="n"/>
      <c r="O1244" s="10">
        <f>IF(L1244="","",IF(M1244="Won",L1244*G1244,IF(M1244="Void",L1244,IF(M1244="Cash out",N(N1244),IF(M1244="Lost",0,"")))))</f>
        <v/>
      </c>
      <c r="P1244" s="10">
        <f>IF(OR(L1244="",M1244="",M1244="Pending"),"",O1244-L1244)</f>
        <v/>
      </c>
      <c r="Q1244" s="21" t="n"/>
      <c r="R1244" s="11">
        <f>IF(OR(G1244="",Q1244=""),"",G1244/Q1244-1)</f>
        <v/>
      </c>
      <c r="S1244" s="10">
        <f>IF(OR(L1244="",J1244=""),"",L1244*J1244)</f>
        <v/>
      </c>
      <c r="T1244" s="10">
        <f>IF(P1244="","",StartBank+SUM(P$2:P1244))</f>
        <v/>
      </c>
    </row>
    <row r="1245">
      <c r="A1245" s="22" t="n"/>
      <c r="G1245" s="21" t="n"/>
      <c r="H1245" s="11" t="n"/>
      <c r="I1245" s="21">
        <f>IF(OR(H1245="",H1245=0),"",1/H1245)</f>
        <v/>
      </c>
      <c r="J1245" s="11">
        <f>IF(OR(G1245="",H1245=""),"",H1245*G1245-1)</f>
        <v/>
      </c>
      <c r="K1245" s="10">
        <f>IF(OR(G1245="",H1245="",G1245&lt;=1),"",IF(J1245&lt;IF(D1245="Builder",MinEdgeBuilder,IF(D1245="Player",MinEdgePlayer,MinEdgeSingle)),0,ROUND(MIN(IF(D1245="Single",KellySingle,KellyBuilder)*(StartBank+SUM(P$1:P1244))*J1245/(G1245-1),IF(D1245="Builder",CapBuilder,CapSingle)*Unit),2)))</f>
        <v/>
      </c>
      <c r="L1245" s="10" t="n"/>
      <c r="N1245" s="10" t="n"/>
      <c r="O1245" s="10">
        <f>IF(L1245="","",IF(M1245="Won",L1245*G1245,IF(M1245="Void",L1245,IF(M1245="Cash out",N(N1245),IF(M1245="Lost",0,"")))))</f>
        <v/>
      </c>
      <c r="P1245" s="10">
        <f>IF(OR(L1245="",M1245="",M1245="Pending"),"",O1245-L1245)</f>
        <v/>
      </c>
      <c r="Q1245" s="21" t="n"/>
      <c r="R1245" s="11">
        <f>IF(OR(G1245="",Q1245=""),"",G1245/Q1245-1)</f>
        <v/>
      </c>
      <c r="S1245" s="10">
        <f>IF(OR(L1245="",J1245=""),"",L1245*J1245)</f>
        <v/>
      </c>
      <c r="T1245" s="10">
        <f>IF(P1245="","",StartBank+SUM(P$2:P1245))</f>
        <v/>
      </c>
    </row>
    <row r="1246">
      <c r="A1246" s="22" t="n"/>
      <c r="G1246" s="21" t="n"/>
      <c r="H1246" s="11" t="n"/>
      <c r="I1246" s="21">
        <f>IF(OR(H1246="",H1246=0),"",1/H1246)</f>
        <v/>
      </c>
      <c r="J1246" s="11">
        <f>IF(OR(G1246="",H1246=""),"",H1246*G1246-1)</f>
        <v/>
      </c>
      <c r="K1246" s="10">
        <f>IF(OR(G1246="",H1246="",G1246&lt;=1),"",IF(J1246&lt;IF(D1246="Builder",MinEdgeBuilder,IF(D1246="Player",MinEdgePlayer,MinEdgeSingle)),0,ROUND(MIN(IF(D1246="Single",KellySingle,KellyBuilder)*(StartBank+SUM(P$1:P1245))*J1246/(G1246-1),IF(D1246="Builder",CapBuilder,CapSingle)*Unit),2)))</f>
        <v/>
      </c>
      <c r="L1246" s="10" t="n"/>
      <c r="N1246" s="10" t="n"/>
      <c r="O1246" s="10">
        <f>IF(L1246="","",IF(M1246="Won",L1246*G1246,IF(M1246="Void",L1246,IF(M1246="Cash out",N(N1246),IF(M1246="Lost",0,"")))))</f>
        <v/>
      </c>
      <c r="P1246" s="10">
        <f>IF(OR(L1246="",M1246="",M1246="Pending"),"",O1246-L1246)</f>
        <v/>
      </c>
      <c r="Q1246" s="21" t="n"/>
      <c r="R1246" s="11">
        <f>IF(OR(G1246="",Q1246=""),"",G1246/Q1246-1)</f>
        <v/>
      </c>
      <c r="S1246" s="10">
        <f>IF(OR(L1246="",J1246=""),"",L1246*J1246)</f>
        <v/>
      </c>
      <c r="T1246" s="10">
        <f>IF(P1246="","",StartBank+SUM(P$2:P1246))</f>
        <v/>
      </c>
    </row>
    <row r="1247">
      <c r="A1247" s="22" t="n"/>
      <c r="G1247" s="21" t="n"/>
      <c r="H1247" s="11" t="n"/>
      <c r="I1247" s="21">
        <f>IF(OR(H1247="",H1247=0),"",1/H1247)</f>
        <v/>
      </c>
      <c r="J1247" s="11">
        <f>IF(OR(G1247="",H1247=""),"",H1247*G1247-1)</f>
        <v/>
      </c>
      <c r="K1247" s="10">
        <f>IF(OR(G1247="",H1247="",G1247&lt;=1),"",IF(J1247&lt;IF(D1247="Builder",MinEdgeBuilder,IF(D1247="Player",MinEdgePlayer,MinEdgeSingle)),0,ROUND(MIN(IF(D1247="Single",KellySingle,KellyBuilder)*(StartBank+SUM(P$1:P1246))*J1247/(G1247-1),IF(D1247="Builder",CapBuilder,CapSingle)*Unit),2)))</f>
        <v/>
      </c>
      <c r="L1247" s="10" t="n"/>
      <c r="N1247" s="10" t="n"/>
      <c r="O1247" s="10">
        <f>IF(L1247="","",IF(M1247="Won",L1247*G1247,IF(M1247="Void",L1247,IF(M1247="Cash out",N(N1247),IF(M1247="Lost",0,"")))))</f>
        <v/>
      </c>
      <c r="P1247" s="10">
        <f>IF(OR(L1247="",M1247="",M1247="Pending"),"",O1247-L1247)</f>
        <v/>
      </c>
      <c r="Q1247" s="21" t="n"/>
      <c r="R1247" s="11">
        <f>IF(OR(G1247="",Q1247=""),"",G1247/Q1247-1)</f>
        <v/>
      </c>
      <c r="S1247" s="10">
        <f>IF(OR(L1247="",J1247=""),"",L1247*J1247)</f>
        <v/>
      </c>
      <c r="T1247" s="10">
        <f>IF(P1247="","",StartBank+SUM(P$2:P1247))</f>
        <v/>
      </c>
    </row>
    <row r="1248">
      <c r="A1248" s="22" t="n"/>
      <c r="G1248" s="21" t="n"/>
      <c r="H1248" s="11" t="n"/>
      <c r="I1248" s="21">
        <f>IF(OR(H1248="",H1248=0),"",1/H1248)</f>
        <v/>
      </c>
      <c r="J1248" s="11">
        <f>IF(OR(G1248="",H1248=""),"",H1248*G1248-1)</f>
        <v/>
      </c>
      <c r="K1248" s="10">
        <f>IF(OR(G1248="",H1248="",G1248&lt;=1),"",IF(J1248&lt;IF(D1248="Builder",MinEdgeBuilder,IF(D1248="Player",MinEdgePlayer,MinEdgeSingle)),0,ROUND(MIN(IF(D1248="Single",KellySingle,KellyBuilder)*(StartBank+SUM(P$1:P1247))*J1248/(G1248-1),IF(D1248="Builder",CapBuilder,CapSingle)*Unit),2)))</f>
        <v/>
      </c>
      <c r="L1248" s="10" t="n"/>
      <c r="N1248" s="10" t="n"/>
      <c r="O1248" s="10">
        <f>IF(L1248="","",IF(M1248="Won",L1248*G1248,IF(M1248="Void",L1248,IF(M1248="Cash out",N(N1248),IF(M1248="Lost",0,"")))))</f>
        <v/>
      </c>
      <c r="P1248" s="10">
        <f>IF(OR(L1248="",M1248="",M1248="Pending"),"",O1248-L1248)</f>
        <v/>
      </c>
      <c r="Q1248" s="21" t="n"/>
      <c r="R1248" s="11">
        <f>IF(OR(G1248="",Q1248=""),"",G1248/Q1248-1)</f>
        <v/>
      </c>
      <c r="S1248" s="10">
        <f>IF(OR(L1248="",J1248=""),"",L1248*J1248)</f>
        <v/>
      </c>
      <c r="T1248" s="10">
        <f>IF(P1248="","",StartBank+SUM(P$2:P1248))</f>
        <v/>
      </c>
    </row>
    <row r="1249">
      <c r="A1249" s="22" t="n"/>
      <c r="G1249" s="21" t="n"/>
      <c r="H1249" s="11" t="n"/>
      <c r="I1249" s="21">
        <f>IF(OR(H1249="",H1249=0),"",1/H1249)</f>
        <v/>
      </c>
      <c r="J1249" s="11">
        <f>IF(OR(G1249="",H1249=""),"",H1249*G1249-1)</f>
        <v/>
      </c>
      <c r="K1249" s="10">
        <f>IF(OR(G1249="",H1249="",G1249&lt;=1),"",IF(J1249&lt;IF(D1249="Builder",MinEdgeBuilder,IF(D1249="Player",MinEdgePlayer,MinEdgeSingle)),0,ROUND(MIN(IF(D1249="Single",KellySingle,KellyBuilder)*(StartBank+SUM(P$1:P1248))*J1249/(G1249-1),IF(D1249="Builder",CapBuilder,CapSingle)*Unit),2)))</f>
        <v/>
      </c>
      <c r="L1249" s="10" t="n"/>
      <c r="N1249" s="10" t="n"/>
      <c r="O1249" s="10">
        <f>IF(L1249="","",IF(M1249="Won",L1249*G1249,IF(M1249="Void",L1249,IF(M1249="Cash out",N(N1249),IF(M1249="Lost",0,"")))))</f>
        <v/>
      </c>
      <c r="P1249" s="10">
        <f>IF(OR(L1249="",M1249="",M1249="Pending"),"",O1249-L1249)</f>
        <v/>
      </c>
      <c r="Q1249" s="21" t="n"/>
      <c r="R1249" s="11">
        <f>IF(OR(G1249="",Q1249=""),"",G1249/Q1249-1)</f>
        <v/>
      </c>
      <c r="S1249" s="10">
        <f>IF(OR(L1249="",J1249=""),"",L1249*J1249)</f>
        <v/>
      </c>
      <c r="T1249" s="10">
        <f>IF(P1249="","",StartBank+SUM(P$2:P1249))</f>
        <v/>
      </c>
    </row>
    <row r="1250">
      <c r="A1250" s="22" t="n"/>
      <c r="G1250" s="21" t="n"/>
      <c r="H1250" s="11" t="n"/>
      <c r="I1250" s="21">
        <f>IF(OR(H1250="",H1250=0),"",1/H1250)</f>
        <v/>
      </c>
      <c r="J1250" s="11">
        <f>IF(OR(G1250="",H1250=""),"",H1250*G1250-1)</f>
        <v/>
      </c>
      <c r="K1250" s="10">
        <f>IF(OR(G1250="",H1250="",G1250&lt;=1),"",IF(J1250&lt;IF(D1250="Builder",MinEdgeBuilder,IF(D1250="Player",MinEdgePlayer,MinEdgeSingle)),0,ROUND(MIN(IF(D1250="Single",KellySingle,KellyBuilder)*(StartBank+SUM(P$1:P1249))*J1250/(G1250-1),IF(D1250="Builder",CapBuilder,CapSingle)*Unit),2)))</f>
        <v/>
      </c>
      <c r="L1250" s="10" t="n"/>
      <c r="N1250" s="10" t="n"/>
      <c r="O1250" s="10">
        <f>IF(L1250="","",IF(M1250="Won",L1250*G1250,IF(M1250="Void",L1250,IF(M1250="Cash out",N(N1250),IF(M1250="Lost",0,"")))))</f>
        <v/>
      </c>
      <c r="P1250" s="10">
        <f>IF(OR(L1250="",M1250="",M1250="Pending"),"",O1250-L1250)</f>
        <v/>
      </c>
      <c r="Q1250" s="21" t="n"/>
      <c r="R1250" s="11">
        <f>IF(OR(G1250="",Q1250=""),"",G1250/Q1250-1)</f>
        <v/>
      </c>
      <c r="S1250" s="10">
        <f>IF(OR(L1250="",J1250=""),"",L1250*J1250)</f>
        <v/>
      </c>
      <c r="T1250" s="10">
        <f>IF(P1250="","",StartBank+SUM(P$2:P1250))</f>
        <v/>
      </c>
    </row>
    <row r="1251">
      <c r="A1251" s="22" t="n"/>
      <c r="G1251" s="21" t="n"/>
      <c r="H1251" s="11" t="n"/>
      <c r="I1251" s="21">
        <f>IF(OR(H1251="",H1251=0),"",1/H1251)</f>
        <v/>
      </c>
      <c r="J1251" s="11">
        <f>IF(OR(G1251="",H1251=""),"",H1251*G1251-1)</f>
        <v/>
      </c>
      <c r="K1251" s="10">
        <f>IF(OR(G1251="",H1251="",G1251&lt;=1),"",IF(J1251&lt;IF(D1251="Builder",MinEdgeBuilder,IF(D1251="Player",MinEdgePlayer,MinEdgeSingle)),0,ROUND(MIN(IF(D1251="Single",KellySingle,KellyBuilder)*(StartBank+SUM(P$1:P1250))*J1251/(G1251-1),IF(D1251="Builder",CapBuilder,CapSingle)*Unit),2)))</f>
        <v/>
      </c>
      <c r="L1251" s="10" t="n"/>
      <c r="N1251" s="10" t="n"/>
      <c r="O1251" s="10">
        <f>IF(L1251="","",IF(M1251="Won",L1251*G1251,IF(M1251="Void",L1251,IF(M1251="Cash out",N(N1251),IF(M1251="Lost",0,"")))))</f>
        <v/>
      </c>
      <c r="P1251" s="10">
        <f>IF(OR(L1251="",M1251="",M1251="Pending"),"",O1251-L1251)</f>
        <v/>
      </c>
      <c r="Q1251" s="21" t="n"/>
      <c r="R1251" s="11">
        <f>IF(OR(G1251="",Q1251=""),"",G1251/Q1251-1)</f>
        <v/>
      </c>
      <c r="S1251" s="10">
        <f>IF(OR(L1251="",J1251=""),"",L1251*J1251)</f>
        <v/>
      </c>
      <c r="T1251" s="10">
        <f>IF(P1251="","",StartBank+SUM(P$2:P1251))</f>
        <v/>
      </c>
    </row>
    <row r="1252">
      <c r="A1252" s="22" t="n"/>
      <c r="G1252" s="21" t="n"/>
      <c r="H1252" s="11" t="n"/>
      <c r="I1252" s="21">
        <f>IF(OR(H1252="",H1252=0),"",1/H1252)</f>
        <v/>
      </c>
      <c r="J1252" s="11">
        <f>IF(OR(G1252="",H1252=""),"",H1252*G1252-1)</f>
        <v/>
      </c>
      <c r="K1252" s="10">
        <f>IF(OR(G1252="",H1252="",G1252&lt;=1),"",IF(J1252&lt;IF(D1252="Builder",MinEdgeBuilder,IF(D1252="Player",MinEdgePlayer,MinEdgeSingle)),0,ROUND(MIN(IF(D1252="Single",KellySingle,KellyBuilder)*(StartBank+SUM(P$1:P1251))*J1252/(G1252-1),IF(D1252="Builder",CapBuilder,CapSingle)*Unit),2)))</f>
        <v/>
      </c>
      <c r="L1252" s="10" t="n"/>
      <c r="N1252" s="10" t="n"/>
      <c r="O1252" s="10">
        <f>IF(L1252="","",IF(M1252="Won",L1252*G1252,IF(M1252="Void",L1252,IF(M1252="Cash out",N(N1252),IF(M1252="Lost",0,"")))))</f>
        <v/>
      </c>
      <c r="P1252" s="10">
        <f>IF(OR(L1252="",M1252="",M1252="Pending"),"",O1252-L1252)</f>
        <v/>
      </c>
      <c r="Q1252" s="21" t="n"/>
      <c r="R1252" s="11">
        <f>IF(OR(G1252="",Q1252=""),"",G1252/Q1252-1)</f>
        <v/>
      </c>
      <c r="S1252" s="10">
        <f>IF(OR(L1252="",J1252=""),"",L1252*J1252)</f>
        <v/>
      </c>
      <c r="T1252" s="10">
        <f>IF(P1252="","",StartBank+SUM(P$2:P1252))</f>
        <v/>
      </c>
    </row>
    <row r="1253">
      <c r="A1253" s="22" t="n"/>
      <c r="G1253" s="21" t="n"/>
      <c r="H1253" s="11" t="n"/>
      <c r="I1253" s="21">
        <f>IF(OR(H1253="",H1253=0),"",1/H1253)</f>
        <v/>
      </c>
      <c r="J1253" s="11">
        <f>IF(OR(G1253="",H1253=""),"",H1253*G1253-1)</f>
        <v/>
      </c>
      <c r="K1253" s="10">
        <f>IF(OR(G1253="",H1253="",G1253&lt;=1),"",IF(J1253&lt;IF(D1253="Builder",MinEdgeBuilder,IF(D1253="Player",MinEdgePlayer,MinEdgeSingle)),0,ROUND(MIN(IF(D1253="Single",KellySingle,KellyBuilder)*(StartBank+SUM(P$1:P1252))*J1253/(G1253-1),IF(D1253="Builder",CapBuilder,CapSingle)*Unit),2)))</f>
        <v/>
      </c>
      <c r="L1253" s="10" t="n"/>
      <c r="N1253" s="10" t="n"/>
      <c r="O1253" s="10">
        <f>IF(L1253="","",IF(M1253="Won",L1253*G1253,IF(M1253="Void",L1253,IF(M1253="Cash out",N(N1253),IF(M1253="Lost",0,"")))))</f>
        <v/>
      </c>
      <c r="P1253" s="10">
        <f>IF(OR(L1253="",M1253="",M1253="Pending"),"",O1253-L1253)</f>
        <v/>
      </c>
      <c r="Q1253" s="21" t="n"/>
      <c r="R1253" s="11">
        <f>IF(OR(G1253="",Q1253=""),"",G1253/Q1253-1)</f>
        <v/>
      </c>
      <c r="S1253" s="10">
        <f>IF(OR(L1253="",J1253=""),"",L1253*J1253)</f>
        <v/>
      </c>
      <c r="T1253" s="10">
        <f>IF(P1253="","",StartBank+SUM(P$2:P1253))</f>
        <v/>
      </c>
    </row>
    <row r="1254">
      <c r="A1254" s="22" t="n"/>
      <c r="G1254" s="21" t="n"/>
      <c r="H1254" s="11" t="n"/>
      <c r="I1254" s="21">
        <f>IF(OR(H1254="",H1254=0),"",1/H1254)</f>
        <v/>
      </c>
      <c r="J1254" s="11">
        <f>IF(OR(G1254="",H1254=""),"",H1254*G1254-1)</f>
        <v/>
      </c>
      <c r="K1254" s="10">
        <f>IF(OR(G1254="",H1254="",G1254&lt;=1),"",IF(J1254&lt;IF(D1254="Builder",MinEdgeBuilder,IF(D1254="Player",MinEdgePlayer,MinEdgeSingle)),0,ROUND(MIN(IF(D1254="Single",KellySingle,KellyBuilder)*(StartBank+SUM(P$1:P1253))*J1254/(G1254-1),IF(D1254="Builder",CapBuilder,CapSingle)*Unit),2)))</f>
        <v/>
      </c>
      <c r="L1254" s="10" t="n"/>
      <c r="N1254" s="10" t="n"/>
      <c r="O1254" s="10">
        <f>IF(L1254="","",IF(M1254="Won",L1254*G1254,IF(M1254="Void",L1254,IF(M1254="Cash out",N(N1254),IF(M1254="Lost",0,"")))))</f>
        <v/>
      </c>
      <c r="P1254" s="10">
        <f>IF(OR(L1254="",M1254="",M1254="Pending"),"",O1254-L1254)</f>
        <v/>
      </c>
      <c r="Q1254" s="21" t="n"/>
      <c r="R1254" s="11">
        <f>IF(OR(G1254="",Q1254=""),"",G1254/Q1254-1)</f>
        <v/>
      </c>
      <c r="S1254" s="10">
        <f>IF(OR(L1254="",J1254=""),"",L1254*J1254)</f>
        <v/>
      </c>
      <c r="T1254" s="10">
        <f>IF(P1254="","",StartBank+SUM(P$2:P1254))</f>
        <v/>
      </c>
    </row>
    <row r="1255">
      <c r="A1255" s="22" t="n"/>
      <c r="G1255" s="21" t="n"/>
      <c r="H1255" s="11" t="n"/>
      <c r="I1255" s="21">
        <f>IF(OR(H1255="",H1255=0),"",1/H1255)</f>
        <v/>
      </c>
      <c r="J1255" s="11">
        <f>IF(OR(G1255="",H1255=""),"",H1255*G1255-1)</f>
        <v/>
      </c>
      <c r="K1255" s="10">
        <f>IF(OR(G1255="",H1255="",G1255&lt;=1),"",IF(J1255&lt;IF(D1255="Builder",MinEdgeBuilder,IF(D1255="Player",MinEdgePlayer,MinEdgeSingle)),0,ROUND(MIN(IF(D1255="Single",KellySingle,KellyBuilder)*(StartBank+SUM(P$1:P1254))*J1255/(G1255-1),IF(D1255="Builder",CapBuilder,CapSingle)*Unit),2)))</f>
        <v/>
      </c>
      <c r="L1255" s="10" t="n"/>
      <c r="N1255" s="10" t="n"/>
      <c r="O1255" s="10">
        <f>IF(L1255="","",IF(M1255="Won",L1255*G1255,IF(M1255="Void",L1255,IF(M1255="Cash out",N(N1255),IF(M1255="Lost",0,"")))))</f>
        <v/>
      </c>
      <c r="P1255" s="10">
        <f>IF(OR(L1255="",M1255="",M1255="Pending"),"",O1255-L1255)</f>
        <v/>
      </c>
      <c r="Q1255" s="21" t="n"/>
      <c r="R1255" s="11">
        <f>IF(OR(G1255="",Q1255=""),"",G1255/Q1255-1)</f>
        <v/>
      </c>
      <c r="S1255" s="10">
        <f>IF(OR(L1255="",J1255=""),"",L1255*J1255)</f>
        <v/>
      </c>
      <c r="T1255" s="10">
        <f>IF(P1255="","",StartBank+SUM(P$2:P1255))</f>
        <v/>
      </c>
    </row>
    <row r="1256">
      <c r="A1256" s="22" t="n"/>
      <c r="G1256" s="21" t="n"/>
      <c r="H1256" s="11" t="n"/>
      <c r="I1256" s="21">
        <f>IF(OR(H1256="",H1256=0),"",1/H1256)</f>
        <v/>
      </c>
      <c r="J1256" s="11">
        <f>IF(OR(G1256="",H1256=""),"",H1256*G1256-1)</f>
        <v/>
      </c>
      <c r="K1256" s="10">
        <f>IF(OR(G1256="",H1256="",G1256&lt;=1),"",IF(J1256&lt;IF(D1256="Builder",MinEdgeBuilder,IF(D1256="Player",MinEdgePlayer,MinEdgeSingle)),0,ROUND(MIN(IF(D1256="Single",KellySingle,KellyBuilder)*(StartBank+SUM(P$1:P1255))*J1256/(G1256-1),IF(D1256="Builder",CapBuilder,CapSingle)*Unit),2)))</f>
        <v/>
      </c>
      <c r="L1256" s="10" t="n"/>
      <c r="N1256" s="10" t="n"/>
      <c r="O1256" s="10">
        <f>IF(L1256="","",IF(M1256="Won",L1256*G1256,IF(M1256="Void",L1256,IF(M1256="Cash out",N(N1256),IF(M1256="Lost",0,"")))))</f>
        <v/>
      </c>
      <c r="P1256" s="10">
        <f>IF(OR(L1256="",M1256="",M1256="Pending"),"",O1256-L1256)</f>
        <v/>
      </c>
      <c r="Q1256" s="21" t="n"/>
      <c r="R1256" s="11">
        <f>IF(OR(G1256="",Q1256=""),"",G1256/Q1256-1)</f>
        <v/>
      </c>
      <c r="S1256" s="10">
        <f>IF(OR(L1256="",J1256=""),"",L1256*J1256)</f>
        <v/>
      </c>
      <c r="T1256" s="10">
        <f>IF(P1256="","",StartBank+SUM(P$2:P1256))</f>
        <v/>
      </c>
    </row>
    <row r="1257">
      <c r="A1257" s="22" t="n"/>
      <c r="G1257" s="21" t="n"/>
      <c r="H1257" s="11" t="n"/>
      <c r="I1257" s="21">
        <f>IF(OR(H1257="",H1257=0),"",1/H1257)</f>
        <v/>
      </c>
      <c r="J1257" s="11">
        <f>IF(OR(G1257="",H1257=""),"",H1257*G1257-1)</f>
        <v/>
      </c>
      <c r="K1257" s="10">
        <f>IF(OR(G1257="",H1257="",G1257&lt;=1),"",IF(J1257&lt;IF(D1257="Builder",MinEdgeBuilder,IF(D1257="Player",MinEdgePlayer,MinEdgeSingle)),0,ROUND(MIN(IF(D1257="Single",KellySingle,KellyBuilder)*(StartBank+SUM(P$1:P1256))*J1257/(G1257-1),IF(D1257="Builder",CapBuilder,CapSingle)*Unit),2)))</f>
        <v/>
      </c>
      <c r="L1257" s="10" t="n"/>
      <c r="N1257" s="10" t="n"/>
      <c r="O1257" s="10">
        <f>IF(L1257="","",IF(M1257="Won",L1257*G1257,IF(M1257="Void",L1257,IF(M1257="Cash out",N(N1257),IF(M1257="Lost",0,"")))))</f>
        <v/>
      </c>
      <c r="P1257" s="10">
        <f>IF(OR(L1257="",M1257="",M1257="Pending"),"",O1257-L1257)</f>
        <v/>
      </c>
      <c r="Q1257" s="21" t="n"/>
      <c r="R1257" s="11">
        <f>IF(OR(G1257="",Q1257=""),"",G1257/Q1257-1)</f>
        <v/>
      </c>
      <c r="S1257" s="10">
        <f>IF(OR(L1257="",J1257=""),"",L1257*J1257)</f>
        <v/>
      </c>
      <c r="T1257" s="10">
        <f>IF(P1257="","",StartBank+SUM(P$2:P1257))</f>
        <v/>
      </c>
    </row>
    <row r="1258">
      <c r="A1258" s="22" t="n"/>
      <c r="G1258" s="21" t="n"/>
      <c r="H1258" s="11" t="n"/>
      <c r="I1258" s="21">
        <f>IF(OR(H1258="",H1258=0),"",1/H1258)</f>
        <v/>
      </c>
      <c r="J1258" s="11">
        <f>IF(OR(G1258="",H1258=""),"",H1258*G1258-1)</f>
        <v/>
      </c>
      <c r="K1258" s="10">
        <f>IF(OR(G1258="",H1258="",G1258&lt;=1),"",IF(J1258&lt;IF(D1258="Builder",MinEdgeBuilder,IF(D1258="Player",MinEdgePlayer,MinEdgeSingle)),0,ROUND(MIN(IF(D1258="Single",KellySingle,KellyBuilder)*(StartBank+SUM(P$1:P1257))*J1258/(G1258-1),IF(D1258="Builder",CapBuilder,CapSingle)*Unit),2)))</f>
        <v/>
      </c>
      <c r="L1258" s="10" t="n"/>
      <c r="N1258" s="10" t="n"/>
      <c r="O1258" s="10">
        <f>IF(L1258="","",IF(M1258="Won",L1258*G1258,IF(M1258="Void",L1258,IF(M1258="Cash out",N(N1258),IF(M1258="Lost",0,"")))))</f>
        <v/>
      </c>
      <c r="P1258" s="10">
        <f>IF(OR(L1258="",M1258="",M1258="Pending"),"",O1258-L1258)</f>
        <v/>
      </c>
      <c r="Q1258" s="21" t="n"/>
      <c r="R1258" s="11">
        <f>IF(OR(G1258="",Q1258=""),"",G1258/Q1258-1)</f>
        <v/>
      </c>
      <c r="S1258" s="10">
        <f>IF(OR(L1258="",J1258=""),"",L1258*J1258)</f>
        <v/>
      </c>
      <c r="T1258" s="10">
        <f>IF(P1258="","",StartBank+SUM(P$2:P1258))</f>
        <v/>
      </c>
    </row>
    <row r="1259">
      <c r="A1259" s="22" t="n"/>
      <c r="G1259" s="21" t="n"/>
      <c r="H1259" s="11" t="n"/>
      <c r="I1259" s="21">
        <f>IF(OR(H1259="",H1259=0),"",1/H1259)</f>
        <v/>
      </c>
      <c r="J1259" s="11">
        <f>IF(OR(G1259="",H1259=""),"",H1259*G1259-1)</f>
        <v/>
      </c>
      <c r="K1259" s="10">
        <f>IF(OR(G1259="",H1259="",G1259&lt;=1),"",IF(J1259&lt;IF(D1259="Builder",MinEdgeBuilder,IF(D1259="Player",MinEdgePlayer,MinEdgeSingle)),0,ROUND(MIN(IF(D1259="Single",KellySingle,KellyBuilder)*(StartBank+SUM(P$1:P1258))*J1259/(G1259-1),IF(D1259="Builder",CapBuilder,CapSingle)*Unit),2)))</f>
        <v/>
      </c>
      <c r="L1259" s="10" t="n"/>
      <c r="N1259" s="10" t="n"/>
      <c r="O1259" s="10">
        <f>IF(L1259="","",IF(M1259="Won",L1259*G1259,IF(M1259="Void",L1259,IF(M1259="Cash out",N(N1259),IF(M1259="Lost",0,"")))))</f>
        <v/>
      </c>
      <c r="P1259" s="10">
        <f>IF(OR(L1259="",M1259="",M1259="Pending"),"",O1259-L1259)</f>
        <v/>
      </c>
      <c r="Q1259" s="21" t="n"/>
      <c r="R1259" s="11">
        <f>IF(OR(G1259="",Q1259=""),"",G1259/Q1259-1)</f>
        <v/>
      </c>
      <c r="S1259" s="10">
        <f>IF(OR(L1259="",J1259=""),"",L1259*J1259)</f>
        <v/>
      </c>
      <c r="T1259" s="10">
        <f>IF(P1259="","",StartBank+SUM(P$2:P1259))</f>
        <v/>
      </c>
    </row>
    <row r="1260">
      <c r="A1260" s="22" t="n"/>
      <c r="G1260" s="21" t="n"/>
      <c r="H1260" s="11" t="n"/>
      <c r="I1260" s="21">
        <f>IF(OR(H1260="",H1260=0),"",1/H1260)</f>
        <v/>
      </c>
      <c r="J1260" s="11">
        <f>IF(OR(G1260="",H1260=""),"",H1260*G1260-1)</f>
        <v/>
      </c>
      <c r="K1260" s="10">
        <f>IF(OR(G1260="",H1260="",G1260&lt;=1),"",IF(J1260&lt;IF(D1260="Builder",MinEdgeBuilder,IF(D1260="Player",MinEdgePlayer,MinEdgeSingle)),0,ROUND(MIN(IF(D1260="Single",KellySingle,KellyBuilder)*(StartBank+SUM(P$1:P1259))*J1260/(G1260-1),IF(D1260="Builder",CapBuilder,CapSingle)*Unit),2)))</f>
        <v/>
      </c>
      <c r="L1260" s="10" t="n"/>
      <c r="N1260" s="10" t="n"/>
      <c r="O1260" s="10">
        <f>IF(L1260="","",IF(M1260="Won",L1260*G1260,IF(M1260="Void",L1260,IF(M1260="Cash out",N(N1260),IF(M1260="Lost",0,"")))))</f>
        <v/>
      </c>
      <c r="P1260" s="10">
        <f>IF(OR(L1260="",M1260="",M1260="Pending"),"",O1260-L1260)</f>
        <v/>
      </c>
      <c r="Q1260" s="21" t="n"/>
      <c r="R1260" s="11">
        <f>IF(OR(G1260="",Q1260=""),"",G1260/Q1260-1)</f>
        <v/>
      </c>
      <c r="S1260" s="10">
        <f>IF(OR(L1260="",J1260=""),"",L1260*J1260)</f>
        <v/>
      </c>
      <c r="T1260" s="10">
        <f>IF(P1260="","",StartBank+SUM(P$2:P1260))</f>
        <v/>
      </c>
    </row>
    <row r="1261">
      <c r="A1261" s="22" t="n"/>
      <c r="G1261" s="21" t="n"/>
      <c r="H1261" s="11" t="n"/>
      <c r="I1261" s="21">
        <f>IF(OR(H1261="",H1261=0),"",1/H1261)</f>
        <v/>
      </c>
      <c r="J1261" s="11">
        <f>IF(OR(G1261="",H1261=""),"",H1261*G1261-1)</f>
        <v/>
      </c>
      <c r="K1261" s="10">
        <f>IF(OR(G1261="",H1261="",G1261&lt;=1),"",IF(J1261&lt;IF(D1261="Builder",MinEdgeBuilder,IF(D1261="Player",MinEdgePlayer,MinEdgeSingle)),0,ROUND(MIN(IF(D1261="Single",KellySingle,KellyBuilder)*(StartBank+SUM(P$1:P1260))*J1261/(G1261-1),IF(D1261="Builder",CapBuilder,CapSingle)*Unit),2)))</f>
        <v/>
      </c>
      <c r="L1261" s="10" t="n"/>
      <c r="N1261" s="10" t="n"/>
      <c r="O1261" s="10">
        <f>IF(L1261="","",IF(M1261="Won",L1261*G1261,IF(M1261="Void",L1261,IF(M1261="Cash out",N(N1261),IF(M1261="Lost",0,"")))))</f>
        <v/>
      </c>
      <c r="P1261" s="10">
        <f>IF(OR(L1261="",M1261="",M1261="Pending"),"",O1261-L1261)</f>
        <v/>
      </c>
      <c r="Q1261" s="21" t="n"/>
      <c r="R1261" s="11">
        <f>IF(OR(G1261="",Q1261=""),"",G1261/Q1261-1)</f>
        <v/>
      </c>
      <c r="S1261" s="10">
        <f>IF(OR(L1261="",J1261=""),"",L1261*J1261)</f>
        <v/>
      </c>
      <c r="T1261" s="10">
        <f>IF(P1261="","",StartBank+SUM(P$2:P1261))</f>
        <v/>
      </c>
    </row>
    <row r="1262">
      <c r="A1262" s="22" t="n"/>
      <c r="G1262" s="21" t="n"/>
      <c r="H1262" s="11" t="n"/>
      <c r="I1262" s="21">
        <f>IF(OR(H1262="",H1262=0),"",1/H1262)</f>
        <v/>
      </c>
      <c r="J1262" s="11">
        <f>IF(OR(G1262="",H1262=""),"",H1262*G1262-1)</f>
        <v/>
      </c>
      <c r="K1262" s="10">
        <f>IF(OR(G1262="",H1262="",G1262&lt;=1),"",IF(J1262&lt;IF(D1262="Builder",MinEdgeBuilder,IF(D1262="Player",MinEdgePlayer,MinEdgeSingle)),0,ROUND(MIN(IF(D1262="Single",KellySingle,KellyBuilder)*(StartBank+SUM(P$1:P1261))*J1262/(G1262-1),IF(D1262="Builder",CapBuilder,CapSingle)*Unit),2)))</f>
        <v/>
      </c>
      <c r="L1262" s="10" t="n"/>
      <c r="N1262" s="10" t="n"/>
      <c r="O1262" s="10">
        <f>IF(L1262="","",IF(M1262="Won",L1262*G1262,IF(M1262="Void",L1262,IF(M1262="Cash out",N(N1262),IF(M1262="Lost",0,"")))))</f>
        <v/>
      </c>
      <c r="P1262" s="10">
        <f>IF(OR(L1262="",M1262="",M1262="Pending"),"",O1262-L1262)</f>
        <v/>
      </c>
      <c r="Q1262" s="21" t="n"/>
      <c r="R1262" s="11">
        <f>IF(OR(G1262="",Q1262=""),"",G1262/Q1262-1)</f>
        <v/>
      </c>
      <c r="S1262" s="10">
        <f>IF(OR(L1262="",J1262=""),"",L1262*J1262)</f>
        <v/>
      </c>
      <c r="T1262" s="10">
        <f>IF(P1262="","",StartBank+SUM(P$2:P1262))</f>
        <v/>
      </c>
    </row>
    <row r="1263">
      <c r="A1263" s="22" t="n"/>
      <c r="G1263" s="21" t="n"/>
      <c r="H1263" s="11" t="n"/>
      <c r="I1263" s="21">
        <f>IF(OR(H1263="",H1263=0),"",1/H1263)</f>
        <v/>
      </c>
      <c r="J1263" s="11">
        <f>IF(OR(G1263="",H1263=""),"",H1263*G1263-1)</f>
        <v/>
      </c>
      <c r="K1263" s="10">
        <f>IF(OR(G1263="",H1263="",G1263&lt;=1),"",IF(J1263&lt;IF(D1263="Builder",MinEdgeBuilder,IF(D1263="Player",MinEdgePlayer,MinEdgeSingle)),0,ROUND(MIN(IF(D1263="Single",KellySingle,KellyBuilder)*(StartBank+SUM(P$1:P1262))*J1263/(G1263-1),IF(D1263="Builder",CapBuilder,CapSingle)*Unit),2)))</f>
        <v/>
      </c>
      <c r="L1263" s="10" t="n"/>
      <c r="N1263" s="10" t="n"/>
      <c r="O1263" s="10">
        <f>IF(L1263="","",IF(M1263="Won",L1263*G1263,IF(M1263="Void",L1263,IF(M1263="Cash out",N(N1263),IF(M1263="Lost",0,"")))))</f>
        <v/>
      </c>
      <c r="P1263" s="10">
        <f>IF(OR(L1263="",M1263="",M1263="Pending"),"",O1263-L1263)</f>
        <v/>
      </c>
      <c r="Q1263" s="21" t="n"/>
      <c r="R1263" s="11">
        <f>IF(OR(G1263="",Q1263=""),"",G1263/Q1263-1)</f>
        <v/>
      </c>
      <c r="S1263" s="10">
        <f>IF(OR(L1263="",J1263=""),"",L1263*J1263)</f>
        <v/>
      </c>
      <c r="T1263" s="10">
        <f>IF(P1263="","",StartBank+SUM(P$2:P1263))</f>
        <v/>
      </c>
    </row>
    <row r="1264">
      <c r="A1264" s="22" t="n"/>
      <c r="G1264" s="21" t="n"/>
      <c r="H1264" s="11" t="n"/>
      <c r="I1264" s="21">
        <f>IF(OR(H1264="",H1264=0),"",1/H1264)</f>
        <v/>
      </c>
      <c r="J1264" s="11">
        <f>IF(OR(G1264="",H1264=""),"",H1264*G1264-1)</f>
        <v/>
      </c>
      <c r="K1264" s="10">
        <f>IF(OR(G1264="",H1264="",G1264&lt;=1),"",IF(J1264&lt;IF(D1264="Builder",MinEdgeBuilder,IF(D1264="Player",MinEdgePlayer,MinEdgeSingle)),0,ROUND(MIN(IF(D1264="Single",KellySingle,KellyBuilder)*(StartBank+SUM(P$1:P1263))*J1264/(G1264-1),IF(D1264="Builder",CapBuilder,CapSingle)*Unit),2)))</f>
        <v/>
      </c>
      <c r="L1264" s="10" t="n"/>
      <c r="N1264" s="10" t="n"/>
      <c r="O1264" s="10">
        <f>IF(L1264="","",IF(M1264="Won",L1264*G1264,IF(M1264="Void",L1264,IF(M1264="Cash out",N(N1264),IF(M1264="Lost",0,"")))))</f>
        <v/>
      </c>
      <c r="P1264" s="10">
        <f>IF(OR(L1264="",M1264="",M1264="Pending"),"",O1264-L1264)</f>
        <v/>
      </c>
      <c r="Q1264" s="21" t="n"/>
      <c r="R1264" s="11">
        <f>IF(OR(G1264="",Q1264=""),"",G1264/Q1264-1)</f>
        <v/>
      </c>
      <c r="S1264" s="10">
        <f>IF(OR(L1264="",J1264=""),"",L1264*J1264)</f>
        <v/>
      </c>
      <c r="T1264" s="10">
        <f>IF(P1264="","",StartBank+SUM(P$2:P1264))</f>
        <v/>
      </c>
    </row>
    <row r="1265">
      <c r="A1265" s="22" t="n"/>
      <c r="G1265" s="21" t="n"/>
      <c r="H1265" s="11" t="n"/>
      <c r="I1265" s="21">
        <f>IF(OR(H1265="",H1265=0),"",1/H1265)</f>
        <v/>
      </c>
      <c r="J1265" s="11">
        <f>IF(OR(G1265="",H1265=""),"",H1265*G1265-1)</f>
        <v/>
      </c>
      <c r="K1265" s="10">
        <f>IF(OR(G1265="",H1265="",G1265&lt;=1),"",IF(J1265&lt;IF(D1265="Builder",MinEdgeBuilder,IF(D1265="Player",MinEdgePlayer,MinEdgeSingle)),0,ROUND(MIN(IF(D1265="Single",KellySingle,KellyBuilder)*(StartBank+SUM(P$1:P1264))*J1265/(G1265-1),IF(D1265="Builder",CapBuilder,CapSingle)*Unit),2)))</f>
        <v/>
      </c>
      <c r="L1265" s="10" t="n"/>
      <c r="N1265" s="10" t="n"/>
      <c r="O1265" s="10">
        <f>IF(L1265="","",IF(M1265="Won",L1265*G1265,IF(M1265="Void",L1265,IF(M1265="Cash out",N(N1265),IF(M1265="Lost",0,"")))))</f>
        <v/>
      </c>
      <c r="P1265" s="10">
        <f>IF(OR(L1265="",M1265="",M1265="Pending"),"",O1265-L1265)</f>
        <v/>
      </c>
      <c r="Q1265" s="21" t="n"/>
      <c r="R1265" s="11">
        <f>IF(OR(G1265="",Q1265=""),"",G1265/Q1265-1)</f>
        <v/>
      </c>
      <c r="S1265" s="10">
        <f>IF(OR(L1265="",J1265=""),"",L1265*J1265)</f>
        <v/>
      </c>
      <c r="T1265" s="10">
        <f>IF(P1265="","",StartBank+SUM(P$2:P1265))</f>
        <v/>
      </c>
    </row>
    <row r="1266">
      <c r="A1266" s="22" t="n"/>
      <c r="G1266" s="21" t="n"/>
      <c r="H1266" s="11" t="n"/>
      <c r="I1266" s="21">
        <f>IF(OR(H1266="",H1266=0),"",1/H1266)</f>
        <v/>
      </c>
      <c r="J1266" s="11">
        <f>IF(OR(G1266="",H1266=""),"",H1266*G1266-1)</f>
        <v/>
      </c>
      <c r="K1266" s="10">
        <f>IF(OR(G1266="",H1266="",G1266&lt;=1),"",IF(J1266&lt;IF(D1266="Builder",MinEdgeBuilder,IF(D1266="Player",MinEdgePlayer,MinEdgeSingle)),0,ROUND(MIN(IF(D1266="Single",KellySingle,KellyBuilder)*(StartBank+SUM(P$1:P1265))*J1266/(G1266-1),IF(D1266="Builder",CapBuilder,CapSingle)*Unit),2)))</f>
        <v/>
      </c>
      <c r="L1266" s="10" t="n"/>
      <c r="N1266" s="10" t="n"/>
      <c r="O1266" s="10">
        <f>IF(L1266="","",IF(M1266="Won",L1266*G1266,IF(M1266="Void",L1266,IF(M1266="Cash out",N(N1266),IF(M1266="Lost",0,"")))))</f>
        <v/>
      </c>
      <c r="P1266" s="10">
        <f>IF(OR(L1266="",M1266="",M1266="Pending"),"",O1266-L1266)</f>
        <v/>
      </c>
      <c r="Q1266" s="21" t="n"/>
      <c r="R1266" s="11">
        <f>IF(OR(G1266="",Q1266=""),"",G1266/Q1266-1)</f>
        <v/>
      </c>
      <c r="S1266" s="10">
        <f>IF(OR(L1266="",J1266=""),"",L1266*J1266)</f>
        <v/>
      </c>
      <c r="T1266" s="10">
        <f>IF(P1266="","",StartBank+SUM(P$2:P1266))</f>
        <v/>
      </c>
    </row>
    <row r="1267">
      <c r="A1267" s="22" t="n"/>
      <c r="G1267" s="21" t="n"/>
      <c r="H1267" s="11" t="n"/>
      <c r="I1267" s="21">
        <f>IF(OR(H1267="",H1267=0),"",1/H1267)</f>
        <v/>
      </c>
      <c r="J1267" s="11">
        <f>IF(OR(G1267="",H1267=""),"",H1267*G1267-1)</f>
        <v/>
      </c>
      <c r="K1267" s="10">
        <f>IF(OR(G1267="",H1267="",G1267&lt;=1),"",IF(J1267&lt;IF(D1267="Builder",MinEdgeBuilder,IF(D1267="Player",MinEdgePlayer,MinEdgeSingle)),0,ROUND(MIN(IF(D1267="Single",KellySingle,KellyBuilder)*(StartBank+SUM(P$1:P1266))*J1267/(G1267-1),IF(D1267="Builder",CapBuilder,CapSingle)*Unit),2)))</f>
        <v/>
      </c>
      <c r="L1267" s="10" t="n"/>
      <c r="N1267" s="10" t="n"/>
      <c r="O1267" s="10">
        <f>IF(L1267="","",IF(M1267="Won",L1267*G1267,IF(M1267="Void",L1267,IF(M1267="Cash out",N(N1267),IF(M1267="Lost",0,"")))))</f>
        <v/>
      </c>
      <c r="P1267" s="10">
        <f>IF(OR(L1267="",M1267="",M1267="Pending"),"",O1267-L1267)</f>
        <v/>
      </c>
      <c r="Q1267" s="21" t="n"/>
      <c r="R1267" s="11">
        <f>IF(OR(G1267="",Q1267=""),"",G1267/Q1267-1)</f>
        <v/>
      </c>
      <c r="S1267" s="10">
        <f>IF(OR(L1267="",J1267=""),"",L1267*J1267)</f>
        <v/>
      </c>
      <c r="T1267" s="10">
        <f>IF(P1267="","",StartBank+SUM(P$2:P1267))</f>
        <v/>
      </c>
    </row>
    <row r="1268">
      <c r="A1268" s="22" t="n"/>
      <c r="G1268" s="21" t="n"/>
      <c r="H1268" s="11" t="n"/>
      <c r="I1268" s="21">
        <f>IF(OR(H1268="",H1268=0),"",1/H1268)</f>
        <v/>
      </c>
      <c r="J1268" s="11">
        <f>IF(OR(G1268="",H1268=""),"",H1268*G1268-1)</f>
        <v/>
      </c>
      <c r="K1268" s="10">
        <f>IF(OR(G1268="",H1268="",G1268&lt;=1),"",IF(J1268&lt;IF(D1268="Builder",MinEdgeBuilder,IF(D1268="Player",MinEdgePlayer,MinEdgeSingle)),0,ROUND(MIN(IF(D1268="Single",KellySingle,KellyBuilder)*(StartBank+SUM(P$1:P1267))*J1268/(G1268-1),IF(D1268="Builder",CapBuilder,CapSingle)*Unit),2)))</f>
        <v/>
      </c>
      <c r="L1268" s="10" t="n"/>
      <c r="N1268" s="10" t="n"/>
      <c r="O1268" s="10">
        <f>IF(L1268="","",IF(M1268="Won",L1268*G1268,IF(M1268="Void",L1268,IF(M1268="Cash out",N(N1268),IF(M1268="Lost",0,"")))))</f>
        <v/>
      </c>
      <c r="P1268" s="10">
        <f>IF(OR(L1268="",M1268="",M1268="Pending"),"",O1268-L1268)</f>
        <v/>
      </c>
      <c r="Q1268" s="21" t="n"/>
      <c r="R1268" s="11">
        <f>IF(OR(G1268="",Q1268=""),"",G1268/Q1268-1)</f>
        <v/>
      </c>
      <c r="S1268" s="10">
        <f>IF(OR(L1268="",J1268=""),"",L1268*J1268)</f>
        <v/>
      </c>
      <c r="T1268" s="10">
        <f>IF(P1268="","",StartBank+SUM(P$2:P1268))</f>
        <v/>
      </c>
    </row>
    <row r="1269">
      <c r="A1269" s="22" t="n"/>
      <c r="G1269" s="21" t="n"/>
      <c r="H1269" s="11" t="n"/>
      <c r="I1269" s="21">
        <f>IF(OR(H1269="",H1269=0),"",1/H1269)</f>
        <v/>
      </c>
      <c r="J1269" s="11">
        <f>IF(OR(G1269="",H1269=""),"",H1269*G1269-1)</f>
        <v/>
      </c>
      <c r="K1269" s="10">
        <f>IF(OR(G1269="",H1269="",G1269&lt;=1),"",IF(J1269&lt;IF(D1269="Builder",MinEdgeBuilder,IF(D1269="Player",MinEdgePlayer,MinEdgeSingle)),0,ROUND(MIN(IF(D1269="Single",KellySingle,KellyBuilder)*(StartBank+SUM(P$1:P1268))*J1269/(G1269-1),IF(D1269="Builder",CapBuilder,CapSingle)*Unit),2)))</f>
        <v/>
      </c>
      <c r="L1269" s="10" t="n"/>
      <c r="N1269" s="10" t="n"/>
      <c r="O1269" s="10">
        <f>IF(L1269="","",IF(M1269="Won",L1269*G1269,IF(M1269="Void",L1269,IF(M1269="Cash out",N(N1269),IF(M1269="Lost",0,"")))))</f>
        <v/>
      </c>
      <c r="P1269" s="10">
        <f>IF(OR(L1269="",M1269="",M1269="Pending"),"",O1269-L1269)</f>
        <v/>
      </c>
      <c r="Q1269" s="21" t="n"/>
      <c r="R1269" s="11">
        <f>IF(OR(G1269="",Q1269=""),"",G1269/Q1269-1)</f>
        <v/>
      </c>
      <c r="S1269" s="10">
        <f>IF(OR(L1269="",J1269=""),"",L1269*J1269)</f>
        <v/>
      </c>
      <c r="T1269" s="10">
        <f>IF(P1269="","",StartBank+SUM(P$2:P1269))</f>
        <v/>
      </c>
    </row>
    <row r="1270">
      <c r="A1270" s="22" t="n"/>
      <c r="G1270" s="21" t="n"/>
      <c r="H1270" s="11" t="n"/>
      <c r="I1270" s="21">
        <f>IF(OR(H1270="",H1270=0),"",1/H1270)</f>
        <v/>
      </c>
      <c r="J1270" s="11">
        <f>IF(OR(G1270="",H1270=""),"",H1270*G1270-1)</f>
        <v/>
      </c>
      <c r="K1270" s="10">
        <f>IF(OR(G1270="",H1270="",G1270&lt;=1),"",IF(J1270&lt;IF(D1270="Builder",MinEdgeBuilder,IF(D1270="Player",MinEdgePlayer,MinEdgeSingle)),0,ROUND(MIN(IF(D1270="Single",KellySingle,KellyBuilder)*(StartBank+SUM(P$1:P1269))*J1270/(G1270-1),IF(D1270="Builder",CapBuilder,CapSingle)*Unit),2)))</f>
        <v/>
      </c>
      <c r="L1270" s="10" t="n"/>
      <c r="N1270" s="10" t="n"/>
      <c r="O1270" s="10">
        <f>IF(L1270="","",IF(M1270="Won",L1270*G1270,IF(M1270="Void",L1270,IF(M1270="Cash out",N(N1270),IF(M1270="Lost",0,"")))))</f>
        <v/>
      </c>
      <c r="P1270" s="10">
        <f>IF(OR(L1270="",M1270="",M1270="Pending"),"",O1270-L1270)</f>
        <v/>
      </c>
      <c r="Q1270" s="21" t="n"/>
      <c r="R1270" s="11">
        <f>IF(OR(G1270="",Q1270=""),"",G1270/Q1270-1)</f>
        <v/>
      </c>
      <c r="S1270" s="10">
        <f>IF(OR(L1270="",J1270=""),"",L1270*J1270)</f>
        <v/>
      </c>
      <c r="T1270" s="10">
        <f>IF(P1270="","",StartBank+SUM(P$2:P1270))</f>
        <v/>
      </c>
    </row>
    <row r="1271">
      <c r="A1271" s="22" t="n"/>
      <c r="G1271" s="21" t="n"/>
      <c r="H1271" s="11" t="n"/>
      <c r="I1271" s="21">
        <f>IF(OR(H1271="",H1271=0),"",1/H1271)</f>
        <v/>
      </c>
      <c r="J1271" s="11">
        <f>IF(OR(G1271="",H1271=""),"",H1271*G1271-1)</f>
        <v/>
      </c>
      <c r="K1271" s="10">
        <f>IF(OR(G1271="",H1271="",G1271&lt;=1),"",IF(J1271&lt;IF(D1271="Builder",MinEdgeBuilder,IF(D1271="Player",MinEdgePlayer,MinEdgeSingle)),0,ROUND(MIN(IF(D1271="Single",KellySingle,KellyBuilder)*(StartBank+SUM(P$1:P1270))*J1271/(G1271-1),IF(D1271="Builder",CapBuilder,CapSingle)*Unit),2)))</f>
        <v/>
      </c>
      <c r="L1271" s="10" t="n"/>
      <c r="N1271" s="10" t="n"/>
      <c r="O1271" s="10">
        <f>IF(L1271="","",IF(M1271="Won",L1271*G1271,IF(M1271="Void",L1271,IF(M1271="Cash out",N(N1271),IF(M1271="Lost",0,"")))))</f>
        <v/>
      </c>
      <c r="P1271" s="10">
        <f>IF(OR(L1271="",M1271="",M1271="Pending"),"",O1271-L1271)</f>
        <v/>
      </c>
      <c r="Q1271" s="21" t="n"/>
      <c r="R1271" s="11">
        <f>IF(OR(G1271="",Q1271=""),"",G1271/Q1271-1)</f>
        <v/>
      </c>
      <c r="S1271" s="10">
        <f>IF(OR(L1271="",J1271=""),"",L1271*J1271)</f>
        <v/>
      </c>
      <c r="T1271" s="10">
        <f>IF(P1271="","",StartBank+SUM(P$2:P1271))</f>
        <v/>
      </c>
    </row>
    <row r="1272">
      <c r="A1272" s="22" t="n"/>
      <c r="G1272" s="21" t="n"/>
      <c r="H1272" s="11" t="n"/>
      <c r="I1272" s="21">
        <f>IF(OR(H1272="",H1272=0),"",1/H1272)</f>
        <v/>
      </c>
      <c r="J1272" s="11">
        <f>IF(OR(G1272="",H1272=""),"",H1272*G1272-1)</f>
        <v/>
      </c>
      <c r="K1272" s="10">
        <f>IF(OR(G1272="",H1272="",G1272&lt;=1),"",IF(J1272&lt;IF(D1272="Builder",MinEdgeBuilder,IF(D1272="Player",MinEdgePlayer,MinEdgeSingle)),0,ROUND(MIN(IF(D1272="Single",KellySingle,KellyBuilder)*(StartBank+SUM(P$1:P1271))*J1272/(G1272-1),IF(D1272="Builder",CapBuilder,CapSingle)*Unit),2)))</f>
        <v/>
      </c>
      <c r="L1272" s="10" t="n"/>
      <c r="N1272" s="10" t="n"/>
      <c r="O1272" s="10">
        <f>IF(L1272="","",IF(M1272="Won",L1272*G1272,IF(M1272="Void",L1272,IF(M1272="Cash out",N(N1272),IF(M1272="Lost",0,"")))))</f>
        <v/>
      </c>
      <c r="P1272" s="10">
        <f>IF(OR(L1272="",M1272="",M1272="Pending"),"",O1272-L1272)</f>
        <v/>
      </c>
      <c r="Q1272" s="21" t="n"/>
      <c r="R1272" s="11">
        <f>IF(OR(G1272="",Q1272=""),"",G1272/Q1272-1)</f>
        <v/>
      </c>
      <c r="S1272" s="10">
        <f>IF(OR(L1272="",J1272=""),"",L1272*J1272)</f>
        <v/>
      </c>
      <c r="T1272" s="10">
        <f>IF(P1272="","",StartBank+SUM(P$2:P1272))</f>
        <v/>
      </c>
    </row>
    <row r="1273">
      <c r="A1273" s="22" t="n"/>
      <c r="G1273" s="21" t="n"/>
      <c r="H1273" s="11" t="n"/>
      <c r="I1273" s="21">
        <f>IF(OR(H1273="",H1273=0),"",1/H1273)</f>
        <v/>
      </c>
      <c r="J1273" s="11">
        <f>IF(OR(G1273="",H1273=""),"",H1273*G1273-1)</f>
        <v/>
      </c>
      <c r="K1273" s="10">
        <f>IF(OR(G1273="",H1273="",G1273&lt;=1),"",IF(J1273&lt;IF(D1273="Builder",MinEdgeBuilder,IF(D1273="Player",MinEdgePlayer,MinEdgeSingle)),0,ROUND(MIN(IF(D1273="Single",KellySingle,KellyBuilder)*(StartBank+SUM(P$1:P1272))*J1273/(G1273-1),IF(D1273="Builder",CapBuilder,CapSingle)*Unit),2)))</f>
        <v/>
      </c>
      <c r="L1273" s="10" t="n"/>
      <c r="N1273" s="10" t="n"/>
      <c r="O1273" s="10">
        <f>IF(L1273="","",IF(M1273="Won",L1273*G1273,IF(M1273="Void",L1273,IF(M1273="Cash out",N(N1273),IF(M1273="Lost",0,"")))))</f>
        <v/>
      </c>
      <c r="P1273" s="10">
        <f>IF(OR(L1273="",M1273="",M1273="Pending"),"",O1273-L1273)</f>
        <v/>
      </c>
      <c r="Q1273" s="21" t="n"/>
      <c r="R1273" s="11">
        <f>IF(OR(G1273="",Q1273=""),"",G1273/Q1273-1)</f>
        <v/>
      </c>
      <c r="S1273" s="10">
        <f>IF(OR(L1273="",J1273=""),"",L1273*J1273)</f>
        <v/>
      </c>
      <c r="T1273" s="10">
        <f>IF(P1273="","",StartBank+SUM(P$2:P1273))</f>
        <v/>
      </c>
    </row>
    <row r="1274">
      <c r="A1274" s="22" t="n"/>
      <c r="G1274" s="21" t="n"/>
      <c r="H1274" s="11" t="n"/>
      <c r="I1274" s="21">
        <f>IF(OR(H1274="",H1274=0),"",1/H1274)</f>
        <v/>
      </c>
      <c r="J1274" s="11">
        <f>IF(OR(G1274="",H1274=""),"",H1274*G1274-1)</f>
        <v/>
      </c>
      <c r="K1274" s="10">
        <f>IF(OR(G1274="",H1274="",G1274&lt;=1),"",IF(J1274&lt;IF(D1274="Builder",MinEdgeBuilder,IF(D1274="Player",MinEdgePlayer,MinEdgeSingle)),0,ROUND(MIN(IF(D1274="Single",KellySingle,KellyBuilder)*(StartBank+SUM(P$1:P1273))*J1274/(G1274-1),IF(D1274="Builder",CapBuilder,CapSingle)*Unit),2)))</f>
        <v/>
      </c>
      <c r="L1274" s="10" t="n"/>
      <c r="N1274" s="10" t="n"/>
      <c r="O1274" s="10">
        <f>IF(L1274="","",IF(M1274="Won",L1274*G1274,IF(M1274="Void",L1274,IF(M1274="Cash out",N(N1274),IF(M1274="Lost",0,"")))))</f>
        <v/>
      </c>
      <c r="P1274" s="10">
        <f>IF(OR(L1274="",M1274="",M1274="Pending"),"",O1274-L1274)</f>
        <v/>
      </c>
      <c r="Q1274" s="21" t="n"/>
      <c r="R1274" s="11">
        <f>IF(OR(G1274="",Q1274=""),"",G1274/Q1274-1)</f>
        <v/>
      </c>
      <c r="S1274" s="10">
        <f>IF(OR(L1274="",J1274=""),"",L1274*J1274)</f>
        <v/>
      </c>
      <c r="T1274" s="10">
        <f>IF(P1274="","",StartBank+SUM(P$2:P1274))</f>
        <v/>
      </c>
    </row>
    <row r="1275">
      <c r="A1275" s="22" t="n"/>
      <c r="G1275" s="21" t="n"/>
      <c r="H1275" s="11" t="n"/>
      <c r="I1275" s="21">
        <f>IF(OR(H1275="",H1275=0),"",1/H1275)</f>
        <v/>
      </c>
      <c r="J1275" s="11">
        <f>IF(OR(G1275="",H1275=""),"",H1275*G1275-1)</f>
        <v/>
      </c>
      <c r="K1275" s="10">
        <f>IF(OR(G1275="",H1275="",G1275&lt;=1),"",IF(J1275&lt;IF(D1275="Builder",MinEdgeBuilder,IF(D1275="Player",MinEdgePlayer,MinEdgeSingle)),0,ROUND(MIN(IF(D1275="Single",KellySingle,KellyBuilder)*(StartBank+SUM(P$1:P1274))*J1275/(G1275-1),IF(D1275="Builder",CapBuilder,CapSingle)*Unit),2)))</f>
        <v/>
      </c>
      <c r="L1275" s="10" t="n"/>
      <c r="N1275" s="10" t="n"/>
      <c r="O1275" s="10">
        <f>IF(L1275="","",IF(M1275="Won",L1275*G1275,IF(M1275="Void",L1275,IF(M1275="Cash out",N(N1275),IF(M1275="Lost",0,"")))))</f>
        <v/>
      </c>
      <c r="P1275" s="10">
        <f>IF(OR(L1275="",M1275="",M1275="Pending"),"",O1275-L1275)</f>
        <v/>
      </c>
      <c r="Q1275" s="21" t="n"/>
      <c r="R1275" s="11">
        <f>IF(OR(G1275="",Q1275=""),"",G1275/Q1275-1)</f>
        <v/>
      </c>
      <c r="S1275" s="10">
        <f>IF(OR(L1275="",J1275=""),"",L1275*J1275)</f>
        <v/>
      </c>
      <c r="T1275" s="10">
        <f>IF(P1275="","",StartBank+SUM(P$2:P1275))</f>
        <v/>
      </c>
    </row>
    <row r="1276">
      <c r="A1276" s="22" t="n"/>
      <c r="G1276" s="21" t="n"/>
      <c r="H1276" s="11" t="n"/>
      <c r="I1276" s="21">
        <f>IF(OR(H1276="",H1276=0),"",1/H1276)</f>
        <v/>
      </c>
      <c r="J1276" s="11">
        <f>IF(OR(G1276="",H1276=""),"",H1276*G1276-1)</f>
        <v/>
      </c>
      <c r="K1276" s="10">
        <f>IF(OR(G1276="",H1276="",G1276&lt;=1),"",IF(J1276&lt;IF(D1276="Builder",MinEdgeBuilder,IF(D1276="Player",MinEdgePlayer,MinEdgeSingle)),0,ROUND(MIN(IF(D1276="Single",KellySingle,KellyBuilder)*(StartBank+SUM(P$1:P1275))*J1276/(G1276-1),IF(D1276="Builder",CapBuilder,CapSingle)*Unit),2)))</f>
        <v/>
      </c>
      <c r="L1276" s="10" t="n"/>
      <c r="N1276" s="10" t="n"/>
      <c r="O1276" s="10">
        <f>IF(L1276="","",IF(M1276="Won",L1276*G1276,IF(M1276="Void",L1276,IF(M1276="Cash out",N(N1276),IF(M1276="Lost",0,"")))))</f>
        <v/>
      </c>
      <c r="P1276" s="10">
        <f>IF(OR(L1276="",M1276="",M1276="Pending"),"",O1276-L1276)</f>
        <v/>
      </c>
      <c r="Q1276" s="21" t="n"/>
      <c r="R1276" s="11">
        <f>IF(OR(G1276="",Q1276=""),"",G1276/Q1276-1)</f>
        <v/>
      </c>
      <c r="S1276" s="10">
        <f>IF(OR(L1276="",J1276=""),"",L1276*J1276)</f>
        <v/>
      </c>
      <c r="T1276" s="10">
        <f>IF(P1276="","",StartBank+SUM(P$2:P1276))</f>
        <v/>
      </c>
    </row>
    <row r="1277">
      <c r="A1277" s="22" t="n"/>
      <c r="G1277" s="21" t="n"/>
      <c r="H1277" s="11" t="n"/>
      <c r="I1277" s="21">
        <f>IF(OR(H1277="",H1277=0),"",1/H1277)</f>
        <v/>
      </c>
      <c r="J1277" s="11">
        <f>IF(OR(G1277="",H1277=""),"",H1277*G1277-1)</f>
        <v/>
      </c>
      <c r="K1277" s="10">
        <f>IF(OR(G1277="",H1277="",G1277&lt;=1),"",IF(J1277&lt;IF(D1277="Builder",MinEdgeBuilder,IF(D1277="Player",MinEdgePlayer,MinEdgeSingle)),0,ROUND(MIN(IF(D1277="Single",KellySingle,KellyBuilder)*(StartBank+SUM(P$1:P1276))*J1277/(G1277-1),IF(D1277="Builder",CapBuilder,CapSingle)*Unit),2)))</f>
        <v/>
      </c>
      <c r="L1277" s="10" t="n"/>
      <c r="N1277" s="10" t="n"/>
      <c r="O1277" s="10">
        <f>IF(L1277="","",IF(M1277="Won",L1277*G1277,IF(M1277="Void",L1277,IF(M1277="Cash out",N(N1277),IF(M1277="Lost",0,"")))))</f>
        <v/>
      </c>
      <c r="P1277" s="10">
        <f>IF(OR(L1277="",M1277="",M1277="Pending"),"",O1277-L1277)</f>
        <v/>
      </c>
      <c r="Q1277" s="21" t="n"/>
      <c r="R1277" s="11">
        <f>IF(OR(G1277="",Q1277=""),"",G1277/Q1277-1)</f>
        <v/>
      </c>
      <c r="S1277" s="10">
        <f>IF(OR(L1277="",J1277=""),"",L1277*J1277)</f>
        <v/>
      </c>
      <c r="T1277" s="10">
        <f>IF(P1277="","",StartBank+SUM(P$2:P1277))</f>
        <v/>
      </c>
    </row>
    <row r="1278">
      <c r="A1278" s="22" t="n"/>
      <c r="G1278" s="21" t="n"/>
      <c r="H1278" s="11" t="n"/>
      <c r="I1278" s="21">
        <f>IF(OR(H1278="",H1278=0),"",1/H1278)</f>
        <v/>
      </c>
      <c r="J1278" s="11">
        <f>IF(OR(G1278="",H1278=""),"",H1278*G1278-1)</f>
        <v/>
      </c>
      <c r="K1278" s="10">
        <f>IF(OR(G1278="",H1278="",G1278&lt;=1),"",IF(J1278&lt;IF(D1278="Builder",MinEdgeBuilder,IF(D1278="Player",MinEdgePlayer,MinEdgeSingle)),0,ROUND(MIN(IF(D1278="Single",KellySingle,KellyBuilder)*(StartBank+SUM(P$1:P1277))*J1278/(G1278-1),IF(D1278="Builder",CapBuilder,CapSingle)*Unit),2)))</f>
        <v/>
      </c>
      <c r="L1278" s="10" t="n"/>
      <c r="N1278" s="10" t="n"/>
      <c r="O1278" s="10">
        <f>IF(L1278="","",IF(M1278="Won",L1278*G1278,IF(M1278="Void",L1278,IF(M1278="Cash out",N(N1278),IF(M1278="Lost",0,"")))))</f>
        <v/>
      </c>
      <c r="P1278" s="10">
        <f>IF(OR(L1278="",M1278="",M1278="Pending"),"",O1278-L1278)</f>
        <v/>
      </c>
      <c r="Q1278" s="21" t="n"/>
      <c r="R1278" s="11">
        <f>IF(OR(G1278="",Q1278=""),"",G1278/Q1278-1)</f>
        <v/>
      </c>
      <c r="S1278" s="10">
        <f>IF(OR(L1278="",J1278=""),"",L1278*J1278)</f>
        <v/>
      </c>
      <c r="T1278" s="10">
        <f>IF(P1278="","",StartBank+SUM(P$2:P1278))</f>
        <v/>
      </c>
    </row>
    <row r="1279">
      <c r="A1279" s="22" t="n"/>
      <c r="G1279" s="21" t="n"/>
      <c r="H1279" s="11" t="n"/>
      <c r="I1279" s="21">
        <f>IF(OR(H1279="",H1279=0),"",1/H1279)</f>
        <v/>
      </c>
      <c r="J1279" s="11">
        <f>IF(OR(G1279="",H1279=""),"",H1279*G1279-1)</f>
        <v/>
      </c>
      <c r="K1279" s="10">
        <f>IF(OR(G1279="",H1279="",G1279&lt;=1),"",IF(J1279&lt;IF(D1279="Builder",MinEdgeBuilder,IF(D1279="Player",MinEdgePlayer,MinEdgeSingle)),0,ROUND(MIN(IF(D1279="Single",KellySingle,KellyBuilder)*(StartBank+SUM(P$1:P1278))*J1279/(G1279-1),IF(D1279="Builder",CapBuilder,CapSingle)*Unit),2)))</f>
        <v/>
      </c>
      <c r="L1279" s="10" t="n"/>
      <c r="N1279" s="10" t="n"/>
      <c r="O1279" s="10">
        <f>IF(L1279="","",IF(M1279="Won",L1279*G1279,IF(M1279="Void",L1279,IF(M1279="Cash out",N(N1279),IF(M1279="Lost",0,"")))))</f>
        <v/>
      </c>
      <c r="P1279" s="10">
        <f>IF(OR(L1279="",M1279="",M1279="Pending"),"",O1279-L1279)</f>
        <v/>
      </c>
      <c r="Q1279" s="21" t="n"/>
      <c r="R1279" s="11">
        <f>IF(OR(G1279="",Q1279=""),"",G1279/Q1279-1)</f>
        <v/>
      </c>
      <c r="S1279" s="10">
        <f>IF(OR(L1279="",J1279=""),"",L1279*J1279)</f>
        <v/>
      </c>
      <c r="T1279" s="10">
        <f>IF(P1279="","",StartBank+SUM(P$2:P1279))</f>
        <v/>
      </c>
    </row>
    <row r="1280">
      <c r="A1280" s="22" t="n"/>
      <c r="G1280" s="21" t="n"/>
      <c r="H1280" s="11" t="n"/>
      <c r="I1280" s="21">
        <f>IF(OR(H1280="",H1280=0),"",1/H1280)</f>
        <v/>
      </c>
      <c r="J1280" s="11">
        <f>IF(OR(G1280="",H1280=""),"",H1280*G1280-1)</f>
        <v/>
      </c>
      <c r="K1280" s="10">
        <f>IF(OR(G1280="",H1280="",G1280&lt;=1),"",IF(J1280&lt;IF(D1280="Builder",MinEdgeBuilder,IF(D1280="Player",MinEdgePlayer,MinEdgeSingle)),0,ROUND(MIN(IF(D1280="Single",KellySingle,KellyBuilder)*(StartBank+SUM(P$1:P1279))*J1280/(G1280-1),IF(D1280="Builder",CapBuilder,CapSingle)*Unit),2)))</f>
        <v/>
      </c>
      <c r="L1280" s="10" t="n"/>
      <c r="N1280" s="10" t="n"/>
      <c r="O1280" s="10">
        <f>IF(L1280="","",IF(M1280="Won",L1280*G1280,IF(M1280="Void",L1280,IF(M1280="Cash out",N(N1280),IF(M1280="Lost",0,"")))))</f>
        <v/>
      </c>
      <c r="P1280" s="10">
        <f>IF(OR(L1280="",M1280="",M1280="Pending"),"",O1280-L1280)</f>
        <v/>
      </c>
      <c r="Q1280" s="21" t="n"/>
      <c r="R1280" s="11">
        <f>IF(OR(G1280="",Q1280=""),"",G1280/Q1280-1)</f>
        <v/>
      </c>
      <c r="S1280" s="10">
        <f>IF(OR(L1280="",J1280=""),"",L1280*J1280)</f>
        <v/>
      </c>
      <c r="T1280" s="10">
        <f>IF(P1280="","",StartBank+SUM(P$2:P1280))</f>
        <v/>
      </c>
    </row>
    <row r="1281">
      <c r="A1281" s="22" t="n"/>
      <c r="G1281" s="21" t="n"/>
      <c r="H1281" s="11" t="n"/>
      <c r="I1281" s="21">
        <f>IF(OR(H1281="",H1281=0),"",1/H1281)</f>
        <v/>
      </c>
      <c r="J1281" s="11">
        <f>IF(OR(G1281="",H1281=""),"",H1281*G1281-1)</f>
        <v/>
      </c>
      <c r="K1281" s="10">
        <f>IF(OR(G1281="",H1281="",G1281&lt;=1),"",IF(J1281&lt;IF(D1281="Builder",MinEdgeBuilder,IF(D1281="Player",MinEdgePlayer,MinEdgeSingle)),0,ROUND(MIN(IF(D1281="Single",KellySingle,KellyBuilder)*(StartBank+SUM(P$1:P1280))*J1281/(G1281-1),IF(D1281="Builder",CapBuilder,CapSingle)*Unit),2)))</f>
        <v/>
      </c>
      <c r="L1281" s="10" t="n"/>
      <c r="N1281" s="10" t="n"/>
      <c r="O1281" s="10">
        <f>IF(L1281="","",IF(M1281="Won",L1281*G1281,IF(M1281="Void",L1281,IF(M1281="Cash out",N(N1281),IF(M1281="Lost",0,"")))))</f>
        <v/>
      </c>
      <c r="P1281" s="10">
        <f>IF(OR(L1281="",M1281="",M1281="Pending"),"",O1281-L1281)</f>
        <v/>
      </c>
      <c r="Q1281" s="21" t="n"/>
      <c r="R1281" s="11">
        <f>IF(OR(G1281="",Q1281=""),"",G1281/Q1281-1)</f>
        <v/>
      </c>
      <c r="S1281" s="10">
        <f>IF(OR(L1281="",J1281=""),"",L1281*J1281)</f>
        <v/>
      </c>
      <c r="T1281" s="10">
        <f>IF(P1281="","",StartBank+SUM(P$2:P1281))</f>
        <v/>
      </c>
    </row>
    <row r="1282">
      <c r="A1282" s="22" t="n"/>
      <c r="G1282" s="21" t="n"/>
      <c r="H1282" s="11" t="n"/>
      <c r="I1282" s="21">
        <f>IF(OR(H1282="",H1282=0),"",1/H1282)</f>
        <v/>
      </c>
      <c r="J1282" s="11">
        <f>IF(OR(G1282="",H1282=""),"",H1282*G1282-1)</f>
        <v/>
      </c>
      <c r="K1282" s="10">
        <f>IF(OR(G1282="",H1282="",G1282&lt;=1),"",IF(J1282&lt;IF(D1282="Builder",MinEdgeBuilder,IF(D1282="Player",MinEdgePlayer,MinEdgeSingle)),0,ROUND(MIN(IF(D1282="Single",KellySingle,KellyBuilder)*(StartBank+SUM(P$1:P1281))*J1282/(G1282-1),IF(D1282="Builder",CapBuilder,CapSingle)*Unit),2)))</f>
        <v/>
      </c>
      <c r="L1282" s="10" t="n"/>
      <c r="N1282" s="10" t="n"/>
      <c r="O1282" s="10">
        <f>IF(L1282="","",IF(M1282="Won",L1282*G1282,IF(M1282="Void",L1282,IF(M1282="Cash out",N(N1282),IF(M1282="Lost",0,"")))))</f>
        <v/>
      </c>
      <c r="P1282" s="10">
        <f>IF(OR(L1282="",M1282="",M1282="Pending"),"",O1282-L1282)</f>
        <v/>
      </c>
      <c r="Q1282" s="21" t="n"/>
      <c r="R1282" s="11">
        <f>IF(OR(G1282="",Q1282=""),"",G1282/Q1282-1)</f>
        <v/>
      </c>
      <c r="S1282" s="10">
        <f>IF(OR(L1282="",J1282=""),"",L1282*J1282)</f>
        <v/>
      </c>
      <c r="T1282" s="10">
        <f>IF(P1282="","",StartBank+SUM(P$2:P1282))</f>
        <v/>
      </c>
    </row>
    <row r="1283">
      <c r="A1283" s="22" t="n"/>
      <c r="G1283" s="21" t="n"/>
      <c r="H1283" s="11" t="n"/>
      <c r="I1283" s="21">
        <f>IF(OR(H1283="",H1283=0),"",1/H1283)</f>
        <v/>
      </c>
      <c r="J1283" s="11">
        <f>IF(OR(G1283="",H1283=""),"",H1283*G1283-1)</f>
        <v/>
      </c>
      <c r="K1283" s="10">
        <f>IF(OR(G1283="",H1283="",G1283&lt;=1),"",IF(J1283&lt;IF(D1283="Builder",MinEdgeBuilder,IF(D1283="Player",MinEdgePlayer,MinEdgeSingle)),0,ROUND(MIN(IF(D1283="Single",KellySingle,KellyBuilder)*(StartBank+SUM(P$1:P1282))*J1283/(G1283-1),IF(D1283="Builder",CapBuilder,CapSingle)*Unit),2)))</f>
        <v/>
      </c>
      <c r="L1283" s="10" t="n"/>
      <c r="N1283" s="10" t="n"/>
      <c r="O1283" s="10">
        <f>IF(L1283="","",IF(M1283="Won",L1283*G1283,IF(M1283="Void",L1283,IF(M1283="Cash out",N(N1283),IF(M1283="Lost",0,"")))))</f>
        <v/>
      </c>
      <c r="P1283" s="10">
        <f>IF(OR(L1283="",M1283="",M1283="Pending"),"",O1283-L1283)</f>
        <v/>
      </c>
      <c r="Q1283" s="21" t="n"/>
      <c r="R1283" s="11">
        <f>IF(OR(G1283="",Q1283=""),"",G1283/Q1283-1)</f>
        <v/>
      </c>
      <c r="S1283" s="10">
        <f>IF(OR(L1283="",J1283=""),"",L1283*J1283)</f>
        <v/>
      </c>
      <c r="T1283" s="10">
        <f>IF(P1283="","",StartBank+SUM(P$2:P1283))</f>
        <v/>
      </c>
    </row>
    <row r="1284">
      <c r="A1284" s="22" t="n"/>
      <c r="G1284" s="21" t="n"/>
      <c r="H1284" s="11" t="n"/>
      <c r="I1284" s="21">
        <f>IF(OR(H1284="",H1284=0),"",1/H1284)</f>
        <v/>
      </c>
      <c r="J1284" s="11">
        <f>IF(OR(G1284="",H1284=""),"",H1284*G1284-1)</f>
        <v/>
      </c>
      <c r="K1284" s="10">
        <f>IF(OR(G1284="",H1284="",G1284&lt;=1),"",IF(J1284&lt;IF(D1284="Builder",MinEdgeBuilder,IF(D1284="Player",MinEdgePlayer,MinEdgeSingle)),0,ROUND(MIN(IF(D1284="Single",KellySingle,KellyBuilder)*(StartBank+SUM(P$1:P1283))*J1284/(G1284-1),IF(D1284="Builder",CapBuilder,CapSingle)*Unit),2)))</f>
        <v/>
      </c>
      <c r="L1284" s="10" t="n"/>
      <c r="N1284" s="10" t="n"/>
      <c r="O1284" s="10">
        <f>IF(L1284="","",IF(M1284="Won",L1284*G1284,IF(M1284="Void",L1284,IF(M1284="Cash out",N(N1284),IF(M1284="Lost",0,"")))))</f>
        <v/>
      </c>
      <c r="P1284" s="10">
        <f>IF(OR(L1284="",M1284="",M1284="Pending"),"",O1284-L1284)</f>
        <v/>
      </c>
      <c r="Q1284" s="21" t="n"/>
      <c r="R1284" s="11">
        <f>IF(OR(G1284="",Q1284=""),"",G1284/Q1284-1)</f>
        <v/>
      </c>
      <c r="S1284" s="10">
        <f>IF(OR(L1284="",J1284=""),"",L1284*J1284)</f>
        <v/>
      </c>
      <c r="T1284" s="10">
        <f>IF(P1284="","",StartBank+SUM(P$2:P1284))</f>
        <v/>
      </c>
    </row>
    <row r="1285">
      <c r="A1285" s="22" t="n"/>
      <c r="G1285" s="21" t="n"/>
      <c r="H1285" s="11" t="n"/>
      <c r="I1285" s="21">
        <f>IF(OR(H1285="",H1285=0),"",1/H1285)</f>
        <v/>
      </c>
      <c r="J1285" s="11">
        <f>IF(OR(G1285="",H1285=""),"",H1285*G1285-1)</f>
        <v/>
      </c>
      <c r="K1285" s="10">
        <f>IF(OR(G1285="",H1285="",G1285&lt;=1),"",IF(J1285&lt;IF(D1285="Builder",MinEdgeBuilder,IF(D1285="Player",MinEdgePlayer,MinEdgeSingle)),0,ROUND(MIN(IF(D1285="Single",KellySingle,KellyBuilder)*(StartBank+SUM(P$1:P1284))*J1285/(G1285-1),IF(D1285="Builder",CapBuilder,CapSingle)*Unit),2)))</f>
        <v/>
      </c>
      <c r="L1285" s="10" t="n"/>
      <c r="N1285" s="10" t="n"/>
      <c r="O1285" s="10">
        <f>IF(L1285="","",IF(M1285="Won",L1285*G1285,IF(M1285="Void",L1285,IF(M1285="Cash out",N(N1285),IF(M1285="Lost",0,"")))))</f>
        <v/>
      </c>
      <c r="P1285" s="10">
        <f>IF(OR(L1285="",M1285="",M1285="Pending"),"",O1285-L1285)</f>
        <v/>
      </c>
      <c r="Q1285" s="21" t="n"/>
      <c r="R1285" s="11">
        <f>IF(OR(G1285="",Q1285=""),"",G1285/Q1285-1)</f>
        <v/>
      </c>
      <c r="S1285" s="10">
        <f>IF(OR(L1285="",J1285=""),"",L1285*J1285)</f>
        <v/>
      </c>
      <c r="T1285" s="10">
        <f>IF(P1285="","",StartBank+SUM(P$2:P1285))</f>
        <v/>
      </c>
    </row>
    <row r="1286">
      <c r="A1286" s="22" t="n"/>
      <c r="G1286" s="21" t="n"/>
      <c r="H1286" s="11" t="n"/>
      <c r="I1286" s="21">
        <f>IF(OR(H1286="",H1286=0),"",1/H1286)</f>
        <v/>
      </c>
      <c r="J1286" s="11">
        <f>IF(OR(G1286="",H1286=""),"",H1286*G1286-1)</f>
        <v/>
      </c>
      <c r="K1286" s="10">
        <f>IF(OR(G1286="",H1286="",G1286&lt;=1),"",IF(J1286&lt;IF(D1286="Builder",MinEdgeBuilder,IF(D1286="Player",MinEdgePlayer,MinEdgeSingle)),0,ROUND(MIN(IF(D1286="Single",KellySingle,KellyBuilder)*(StartBank+SUM(P$1:P1285))*J1286/(G1286-1),IF(D1286="Builder",CapBuilder,CapSingle)*Unit),2)))</f>
        <v/>
      </c>
      <c r="L1286" s="10" t="n"/>
      <c r="N1286" s="10" t="n"/>
      <c r="O1286" s="10">
        <f>IF(L1286="","",IF(M1286="Won",L1286*G1286,IF(M1286="Void",L1286,IF(M1286="Cash out",N(N1286),IF(M1286="Lost",0,"")))))</f>
        <v/>
      </c>
      <c r="P1286" s="10">
        <f>IF(OR(L1286="",M1286="",M1286="Pending"),"",O1286-L1286)</f>
        <v/>
      </c>
      <c r="Q1286" s="21" t="n"/>
      <c r="R1286" s="11">
        <f>IF(OR(G1286="",Q1286=""),"",G1286/Q1286-1)</f>
        <v/>
      </c>
      <c r="S1286" s="10">
        <f>IF(OR(L1286="",J1286=""),"",L1286*J1286)</f>
        <v/>
      </c>
      <c r="T1286" s="10">
        <f>IF(P1286="","",StartBank+SUM(P$2:P1286))</f>
        <v/>
      </c>
    </row>
    <row r="1287">
      <c r="A1287" s="22" t="n"/>
      <c r="G1287" s="21" t="n"/>
      <c r="H1287" s="11" t="n"/>
      <c r="I1287" s="21">
        <f>IF(OR(H1287="",H1287=0),"",1/H1287)</f>
        <v/>
      </c>
      <c r="J1287" s="11">
        <f>IF(OR(G1287="",H1287=""),"",H1287*G1287-1)</f>
        <v/>
      </c>
      <c r="K1287" s="10">
        <f>IF(OR(G1287="",H1287="",G1287&lt;=1),"",IF(J1287&lt;IF(D1287="Builder",MinEdgeBuilder,IF(D1287="Player",MinEdgePlayer,MinEdgeSingle)),0,ROUND(MIN(IF(D1287="Single",KellySingle,KellyBuilder)*(StartBank+SUM(P$1:P1286))*J1287/(G1287-1),IF(D1287="Builder",CapBuilder,CapSingle)*Unit),2)))</f>
        <v/>
      </c>
      <c r="L1287" s="10" t="n"/>
      <c r="N1287" s="10" t="n"/>
      <c r="O1287" s="10">
        <f>IF(L1287="","",IF(M1287="Won",L1287*G1287,IF(M1287="Void",L1287,IF(M1287="Cash out",N(N1287),IF(M1287="Lost",0,"")))))</f>
        <v/>
      </c>
      <c r="P1287" s="10">
        <f>IF(OR(L1287="",M1287="",M1287="Pending"),"",O1287-L1287)</f>
        <v/>
      </c>
      <c r="Q1287" s="21" t="n"/>
      <c r="R1287" s="11">
        <f>IF(OR(G1287="",Q1287=""),"",G1287/Q1287-1)</f>
        <v/>
      </c>
      <c r="S1287" s="10">
        <f>IF(OR(L1287="",J1287=""),"",L1287*J1287)</f>
        <v/>
      </c>
      <c r="T1287" s="10">
        <f>IF(P1287="","",StartBank+SUM(P$2:P1287))</f>
        <v/>
      </c>
    </row>
    <row r="1288">
      <c r="A1288" s="22" t="n"/>
      <c r="G1288" s="21" t="n"/>
      <c r="H1288" s="11" t="n"/>
      <c r="I1288" s="21">
        <f>IF(OR(H1288="",H1288=0),"",1/H1288)</f>
        <v/>
      </c>
      <c r="J1288" s="11">
        <f>IF(OR(G1288="",H1288=""),"",H1288*G1288-1)</f>
        <v/>
      </c>
      <c r="K1288" s="10">
        <f>IF(OR(G1288="",H1288="",G1288&lt;=1),"",IF(J1288&lt;IF(D1288="Builder",MinEdgeBuilder,IF(D1288="Player",MinEdgePlayer,MinEdgeSingle)),0,ROUND(MIN(IF(D1288="Single",KellySingle,KellyBuilder)*(StartBank+SUM(P$1:P1287))*J1288/(G1288-1),IF(D1288="Builder",CapBuilder,CapSingle)*Unit),2)))</f>
        <v/>
      </c>
      <c r="L1288" s="10" t="n"/>
      <c r="N1288" s="10" t="n"/>
      <c r="O1288" s="10">
        <f>IF(L1288="","",IF(M1288="Won",L1288*G1288,IF(M1288="Void",L1288,IF(M1288="Cash out",N(N1288),IF(M1288="Lost",0,"")))))</f>
        <v/>
      </c>
      <c r="P1288" s="10">
        <f>IF(OR(L1288="",M1288="",M1288="Pending"),"",O1288-L1288)</f>
        <v/>
      </c>
      <c r="Q1288" s="21" t="n"/>
      <c r="R1288" s="11">
        <f>IF(OR(G1288="",Q1288=""),"",G1288/Q1288-1)</f>
        <v/>
      </c>
      <c r="S1288" s="10">
        <f>IF(OR(L1288="",J1288=""),"",L1288*J1288)</f>
        <v/>
      </c>
      <c r="T1288" s="10">
        <f>IF(P1288="","",StartBank+SUM(P$2:P1288))</f>
        <v/>
      </c>
    </row>
    <row r="1289">
      <c r="A1289" s="22" t="n"/>
      <c r="G1289" s="21" t="n"/>
      <c r="H1289" s="11" t="n"/>
      <c r="I1289" s="21">
        <f>IF(OR(H1289="",H1289=0),"",1/H1289)</f>
        <v/>
      </c>
      <c r="J1289" s="11">
        <f>IF(OR(G1289="",H1289=""),"",H1289*G1289-1)</f>
        <v/>
      </c>
      <c r="K1289" s="10">
        <f>IF(OR(G1289="",H1289="",G1289&lt;=1),"",IF(J1289&lt;IF(D1289="Builder",MinEdgeBuilder,IF(D1289="Player",MinEdgePlayer,MinEdgeSingle)),0,ROUND(MIN(IF(D1289="Single",KellySingle,KellyBuilder)*(StartBank+SUM(P$1:P1288))*J1289/(G1289-1),IF(D1289="Builder",CapBuilder,CapSingle)*Unit),2)))</f>
        <v/>
      </c>
      <c r="L1289" s="10" t="n"/>
      <c r="N1289" s="10" t="n"/>
      <c r="O1289" s="10">
        <f>IF(L1289="","",IF(M1289="Won",L1289*G1289,IF(M1289="Void",L1289,IF(M1289="Cash out",N(N1289),IF(M1289="Lost",0,"")))))</f>
        <v/>
      </c>
      <c r="P1289" s="10">
        <f>IF(OR(L1289="",M1289="",M1289="Pending"),"",O1289-L1289)</f>
        <v/>
      </c>
      <c r="Q1289" s="21" t="n"/>
      <c r="R1289" s="11">
        <f>IF(OR(G1289="",Q1289=""),"",G1289/Q1289-1)</f>
        <v/>
      </c>
      <c r="S1289" s="10">
        <f>IF(OR(L1289="",J1289=""),"",L1289*J1289)</f>
        <v/>
      </c>
      <c r="T1289" s="10">
        <f>IF(P1289="","",StartBank+SUM(P$2:P1289))</f>
        <v/>
      </c>
    </row>
    <row r="1290">
      <c r="A1290" s="22" t="n"/>
      <c r="G1290" s="21" t="n"/>
      <c r="H1290" s="11" t="n"/>
      <c r="I1290" s="21">
        <f>IF(OR(H1290="",H1290=0),"",1/H1290)</f>
        <v/>
      </c>
      <c r="J1290" s="11">
        <f>IF(OR(G1290="",H1290=""),"",H1290*G1290-1)</f>
        <v/>
      </c>
      <c r="K1290" s="10">
        <f>IF(OR(G1290="",H1290="",G1290&lt;=1),"",IF(J1290&lt;IF(D1290="Builder",MinEdgeBuilder,IF(D1290="Player",MinEdgePlayer,MinEdgeSingle)),0,ROUND(MIN(IF(D1290="Single",KellySingle,KellyBuilder)*(StartBank+SUM(P$1:P1289))*J1290/(G1290-1),IF(D1290="Builder",CapBuilder,CapSingle)*Unit),2)))</f>
        <v/>
      </c>
      <c r="L1290" s="10" t="n"/>
      <c r="N1290" s="10" t="n"/>
      <c r="O1290" s="10">
        <f>IF(L1290="","",IF(M1290="Won",L1290*G1290,IF(M1290="Void",L1290,IF(M1290="Cash out",N(N1290),IF(M1290="Lost",0,"")))))</f>
        <v/>
      </c>
      <c r="P1290" s="10">
        <f>IF(OR(L1290="",M1290="",M1290="Pending"),"",O1290-L1290)</f>
        <v/>
      </c>
      <c r="Q1290" s="21" t="n"/>
      <c r="R1290" s="11">
        <f>IF(OR(G1290="",Q1290=""),"",G1290/Q1290-1)</f>
        <v/>
      </c>
      <c r="S1290" s="10">
        <f>IF(OR(L1290="",J1290=""),"",L1290*J1290)</f>
        <v/>
      </c>
      <c r="T1290" s="10">
        <f>IF(P1290="","",StartBank+SUM(P$2:P1290))</f>
        <v/>
      </c>
    </row>
    <row r="1291">
      <c r="A1291" s="22" t="n"/>
      <c r="G1291" s="21" t="n"/>
      <c r="H1291" s="11" t="n"/>
      <c r="I1291" s="21">
        <f>IF(OR(H1291="",H1291=0),"",1/H1291)</f>
        <v/>
      </c>
      <c r="J1291" s="11">
        <f>IF(OR(G1291="",H1291=""),"",H1291*G1291-1)</f>
        <v/>
      </c>
      <c r="K1291" s="10">
        <f>IF(OR(G1291="",H1291="",G1291&lt;=1),"",IF(J1291&lt;IF(D1291="Builder",MinEdgeBuilder,IF(D1291="Player",MinEdgePlayer,MinEdgeSingle)),0,ROUND(MIN(IF(D1291="Single",KellySingle,KellyBuilder)*(StartBank+SUM(P$1:P1290))*J1291/(G1291-1),IF(D1291="Builder",CapBuilder,CapSingle)*Unit),2)))</f>
        <v/>
      </c>
      <c r="L1291" s="10" t="n"/>
      <c r="N1291" s="10" t="n"/>
      <c r="O1291" s="10">
        <f>IF(L1291="","",IF(M1291="Won",L1291*G1291,IF(M1291="Void",L1291,IF(M1291="Cash out",N(N1291),IF(M1291="Lost",0,"")))))</f>
        <v/>
      </c>
      <c r="P1291" s="10">
        <f>IF(OR(L1291="",M1291="",M1291="Pending"),"",O1291-L1291)</f>
        <v/>
      </c>
      <c r="Q1291" s="21" t="n"/>
      <c r="R1291" s="11">
        <f>IF(OR(G1291="",Q1291=""),"",G1291/Q1291-1)</f>
        <v/>
      </c>
      <c r="S1291" s="10">
        <f>IF(OR(L1291="",J1291=""),"",L1291*J1291)</f>
        <v/>
      </c>
      <c r="T1291" s="10">
        <f>IF(P1291="","",StartBank+SUM(P$2:P1291))</f>
        <v/>
      </c>
    </row>
    <row r="1292">
      <c r="A1292" s="22" t="n"/>
      <c r="G1292" s="21" t="n"/>
      <c r="H1292" s="11" t="n"/>
      <c r="I1292" s="21">
        <f>IF(OR(H1292="",H1292=0),"",1/H1292)</f>
        <v/>
      </c>
      <c r="J1292" s="11">
        <f>IF(OR(G1292="",H1292=""),"",H1292*G1292-1)</f>
        <v/>
      </c>
      <c r="K1292" s="10">
        <f>IF(OR(G1292="",H1292="",G1292&lt;=1),"",IF(J1292&lt;IF(D1292="Builder",MinEdgeBuilder,IF(D1292="Player",MinEdgePlayer,MinEdgeSingle)),0,ROUND(MIN(IF(D1292="Single",KellySingle,KellyBuilder)*(StartBank+SUM(P$1:P1291))*J1292/(G1292-1),IF(D1292="Builder",CapBuilder,CapSingle)*Unit),2)))</f>
        <v/>
      </c>
      <c r="L1292" s="10" t="n"/>
      <c r="N1292" s="10" t="n"/>
      <c r="O1292" s="10">
        <f>IF(L1292="","",IF(M1292="Won",L1292*G1292,IF(M1292="Void",L1292,IF(M1292="Cash out",N(N1292),IF(M1292="Lost",0,"")))))</f>
        <v/>
      </c>
      <c r="P1292" s="10">
        <f>IF(OR(L1292="",M1292="",M1292="Pending"),"",O1292-L1292)</f>
        <v/>
      </c>
      <c r="Q1292" s="21" t="n"/>
      <c r="R1292" s="11">
        <f>IF(OR(G1292="",Q1292=""),"",G1292/Q1292-1)</f>
        <v/>
      </c>
      <c r="S1292" s="10">
        <f>IF(OR(L1292="",J1292=""),"",L1292*J1292)</f>
        <v/>
      </c>
      <c r="T1292" s="10">
        <f>IF(P1292="","",StartBank+SUM(P$2:P1292))</f>
        <v/>
      </c>
    </row>
    <row r="1293">
      <c r="A1293" s="22" t="n"/>
      <c r="G1293" s="21" t="n"/>
      <c r="H1293" s="11" t="n"/>
      <c r="I1293" s="21">
        <f>IF(OR(H1293="",H1293=0),"",1/H1293)</f>
        <v/>
      </c>
      <c r="J1293" s="11">
        <f>IF(OR(G1293="",H1293=""),"",H1293*G1293-1)</f>
        <v/>
      </c>
      <c r="K1293" s="10">
        <f>IF(OR(G1293="",H1293="",G1293&lt;=1),"",IF(J1293&lt;IF(D1293="Builder",MinEdgeBuilder,IF(D1293="Player",MinEdgePlayer,MinEdgeSingle)),0,ROUND(MIN(IF(D1293="Single",KellySingle,KellyBuilder)*(StartBank+SUM(P$1:P1292))*J1293/(G1293-1),IF(D1293="Builder",CapBuilder,CapSingle)*Unit),2)))</f>
        <v/>
      </c>
      <c r="L1293" s="10" t="n"/>
      <c r="N1293" s="10" t="n"/>
      <c r="O1293" s="10">
        <f>IF(L1293="","",IF(M1293="Won",L1293*G1293,IF(M1293="Void",L1293,IF(M1293="Cash out",N(N1293),IF(M1293="Lost",0,"")))))</f>
        <v/>
      </c>
      <c r="P1293" s="10">
        <f>IF(OR(L1293="",M1293="",M1293="Pending"),"",O1293-L1293)</f>
        <v/>
      </c>
      <c r="Q1293" s="21" t="n"/>
      <c r="R1293" s="11">
        <f>IF(OR(G1293="",Q1293=""),"",G1293/Q1293-1)</f>
        <v/>
      </c>
      <c r="S1293" s="10">
        <f>IF(OR(L1293="",J1293=""),"",L1293*J1293)</f>
        <v/>
      </c>
      <c r="T1293" s="10">
        <f>IF(P1293="","",StartBank+SUM(P$2:P1293))</f>
        <v/>
      </c>
    </row>
    <row r="1294">
      <c r="A1294" s="22" t="n"/>
      <c r="G1294" s="21" t="n"/>
      <c r="H1294" s="11" t="n"/>
      <c r="I1294" s="21">
        <f>IF(OR(H1294="",H1294=0),"",1/H1294)</f>
        <v/>
      </c>
      <c r="J1294" s="11">
        <f>IF(OR(G1294="",H1294=""),"",H1294*G1294-1)</f>
        <v/>
      </c>
      <c r="K1294" s="10">
        <f>IF(OR(G1294="",H1294="",G1294&lt;=1),"",IF(J1294&lt;IF(D1294="Builder",MinEdgeBuilder,IF(D1294="Player",MinEdgePlayer,MinEdgeSingle)),0,ROUND(MIN(IF(D1294="Single",KellySingle,KellyBuilder)*(StartBank+SUM(P$1:P1293))*J1294/(G1294-1),IF(D1294="Builder",CapBuilder,CapSingle)*Unit),2)))</f>
        <v/>
      </c>
      <c r="L1294" s="10" t="n"/>
      <c r="N1294" s="10" t="n"/>
      <c r="O1294" s="10">
        <f>IF(L1294="","",IF(M1294="Won",L1294*G1294,IF(M1294="Void",L1294,IF(M1294="Cash out",N(N1294),IF(M1294="Lost",0,"")))))</f>
        <v/>
      </c>
      <c r="P1294" s="10">
        <f>IF(OR(L1294="",M1294="",M1294="Pending"),"",O1294-L1294)</f>
        <v/>
      </c>
      <c r="Q1294" s="21" t="n"/>
      <c r="R1294" s="11">
        <f>IF(OR(G1294="",Q1294=""),"",G1294/Q1294-1)</f>
        <v/>
      </c>
      <c r="S1294" s="10">
        <f>IF(OR(L1294="",J1294=""),"",L1294*J1294)</f>
        <v/>
      </c>
      <c r="T1294" s="10">
        <f>IF(P1294="","",StartBank+SUM(P$2:P1294))</f>
        <v/>
      </c>
    </row>
    <row r="1295">
      <c r="A1295" s="22" t="n"/>
      <c r="G1295" s="21" t="n"/>
      <c r="H1295" s="11" t="n"/>
      <c r="I1295" s="21">
        <f>IF(OR(H1295="",H1295=0),"",1/H1295)</f>
        <v/>
      </c>
      <c r="J1295" s="11">
        <f>IF(OR(G1295="",H1295=""),"",H1295*G1295-1)</f>
        <v/>
      </c>
      <c r="K1295" s="10">
        <f>IF(OR(G1295="",H1295="",G1295&lt;=1),"",IF(J1295&lt;IF(D1295="Builder",MinEdgeBuilder,IF(D1295="Player",MinEdgePlayer,MinEdgeSingle)),0,ROUND(MIN(IF(D1295="Single",KellySingle,KellyBuilder)*(StartBank+SUM(P$1:P1294))*J1295/(G1295-1),IF(D1295="Builder",CapBuilder,CapSingle)*Unit),2)))</f>
        <v/>
      </c>
      <c r="L1295" s="10" t="n"/>
      <c r="N1295" s="10" t="n"/>
      <c r="O1295" s="10">
        <f>IF(L1295="","",IF(M1295="Won",L1295*G1295,IF(M1295="Void",L1295,IF(M1295="Cash out",N(N1295),IF(M1295="Lost",0,"")))))</f>
        <v/>
      </c>
      <c r="P1295" s="10">
        <f>IF(OR(L1295="",M1295="",M1295="Pending"),"",O1295-L1295)</f>
        <v/>
      </c>
      <c r="Q1295" s="21" t="n"/>
      <c r="R1295" s="11">
        <f>IF(OR(G1295="",Q1295=""),"",G1295/Q1295-1)</f>
        <v/>
      </c>
      <c r="S1295" s="10">
        <f>IF(OR(L1295="",J1295=""),"",L1295*J1295)</f>
        <v/>
      </c>
      <c r="T1295" s="10">
        <f>IF(P1295="","",StartBank+SUM(P$2:P1295))</f>
        <v/>
      </c>
    </row>
    <row r="1296">
      <c r="A1296" s="22" t="n"/>
      <c r="G1296" s="21" t="n"/>
      <c r="H1296" s="11" t="n"/>
      <c r="I1296" s="21">
        <f>IF(OR(H1296="",H1296=0),"",1/H1296)</f>
        <v/>
      </c>
      <c r="J1296" s="11">
        <f>IF(OR(G1296="",H1296=""),"",H1296*G1296-1)</f>
        <v/>
      </c>
      <c r="K1296" s="10">
        <f>IF(OR(G1296="",H1296="",G1296&lt;=1),"",IF(J1296&lt;IF(D1296="Builder",MinEdgeBuilder,IF(D1296="Player",MinEdgePlayer,MinEdgeSingle)),0,ROUND(MIN(IF(D1296="Single",KellySingle,KellyBuilder)*(StartBank+SUM(P$1:P1295))*J1296/(G1296-1),IF(D1296="Builder",CapBuilder,CapSingle)*Unit),2)))</f>
        <v/>
      </c>
      <c r="L1296" s="10" t="n"/>
      <c r="N1296" s="10" t="n"/>
      <c r="O1296" s="10">
        <f>IF(L1296="","",IF(M1296="Won",L1296*G1296,IF(M1296="Void",L1296,IF(M1296="Cash out",N(N1296),IF(M1296="Lost",0,"")))))</f>
        <v/>
      </c>
      <c r="P1296" s="10">
        <f>IF(OR(L1296="",M1296="",M1296="Pending"),"",O1296-L1296)</f>
        <v/>
      </c>
      <c r="Q1296" s="21" t="n"/>
      <c r="R1296" s="11">
        <f>IF(OR(G1296="",Q1296=""),"",G1296/Q1296-1)</f>
        <v/>
      </c>
      <c r="S1296" s="10">
        <f>IF(OR(L1296="",J1296=""),"",L1296*J1296)</f>
        <v/>
      </c>
      <c r="T1296" s="10">
        <f>IF(P1296="","",StartBank+SUM(P$2:P1296))</f>
        <v/>
      </c>
    </row>
    <row r="1297">
      <c r="A1297" s="22" t="n"/>
      <c r="G1297" s="21" t="n"/>
      <c r="H1297" s="11" t="n"/>
      <c r="I1297" s="21">
        <f>IF(OR(H1297="",H1297=0),"",1/H1297)</f>
        <v/>
      </c>
      <c r="J1297" s="11">
        <f>IF(OR(G1297="",H1297=""),"",H1297*G1297-1)</f>
        <v/>
      </c>
      <c r="K1297" s="10">
        <f>IF(OR(G1297="",H1297="",G1297&lt;=1),"",IF(J1297&lt;IF(D1297="Builder",MinEdgeBuilder,IF(D1297="Player",MinEdgePlayer,MinEdgeSingle)),0,ROUND(MIN(IF(D1297="Single",KellySingle,KellyBuilder)*(StartBank+SUM(P$1:P1296))*J1297/(G1297-1),IF(D1297="Builder",CapBuilder,CapSingle)*Unit),2)))</f>
        <v/>
      </c>
      <c r="L1297" s="10" t="n"/>
      <c r="N1297" s="10" t="n"/>
      <c r="O1297" s="10">
        <f>IF(L1297="","",IF(M1297="Won",L1297*G1297,IF(M1297="Void",L1297,IF(M1297="Cash out",N(N1297),IF(M1297="Lost",0,"")))))</f>
        <v/>
      </c>
      <c r="P1297" s="10">
        <f>IF(OR(L1297="",M1297="",M1297="Pending"),"",O1297-L1297)</f>
        <v/>
      </c>
      <c r="Q1297" s="21" t="n"/>
      <c r="R1297" s="11">
        <f>IF(OR(G1297="",Q1297=""),"",G1297/Q1297-1)</f>
        <v/>
      </c>
      <c r="S1297" s="10">
        <f>IF(OR(L1297="",J1297=""),"",L1297*J1297)</f>
        <v/>
      </c>
      <c r="T1297" s="10">
        <f>IF(P1297="","",StartBank+SUM(P$2:P1297))</f>
        <v/>
      </c>
    </row>
    <row r="1298">
      <c r="A1298" s="22" t="n"/>
      <c r="G1298" s="21" t="n"/>
      <c r="H1298" s="11" t="n"/>
      <c r="I1298" s="21">
        <f>IF(OR(H1298="",H1298=0),"",1/H1298)</f>
        <v/>
      </c>
      <c r="J1298" s="11">
        <f>IF(OR(G1298="",H1298=""),"",H1298*G1298-1)</f>
        <v/>
      </c>
      <c r="K1298" s="10">
        <f>IF(OR(G1298="",H1298="",G1298&lt;=1),"",IF(J1298&lt;IF(D1298="Builder",MinEdgeBuilder,IF(D1298="Player",MinEdgePlayer,MinEdgeSingle)),0,ROUND(MIN(IF(D1298="Single",KellySingle,KellyBuilder)*(StartBank+SUM(P$1:P1297))*J1298/(G1298-1),IF(D1298="Builder",CapBuilder,CapSingle)*Unit),2)))</f>
        <v/>
      </c>
      <c r="L1298" s="10" t="n"/>
      <c r="N1298" s="10" t="n"/>
      <c r="O1298" s="10">
        <f>IF(L1298="","",IF(M1298="Won",L1298*G1298,IF(M1298="Void",L1298,IF(M1298="Cash out",N(N1298),IF(M1298="Lost",0,"")))))</f>
        <v/>
      </c>
      <c r="P1298" s="10">
        <f>IF(OR(L1298="",M1298="",M1298="Pending"),"",O1298-L1298)</f>
        <v/>
      </c>
      <c r="Q1298" s="21" t="n"/>
      <c r="R1298" s="11">
        <f>IF(OR(G1298="",Q1298=""),"",G1298/Q1298-1)</f>
        <v/>
      </c>
      <c r="S1298" s="10">
        <f>IF(OR(L1298="",J1298=""),"",L1298*J1298)</f>
        <v/>
      </c>
      <c r="T1298" s="10">
        <f>IF(P1298="","",StartBank+SUM(P$2:P1298))</f>
        <v/>
      </c>
    </row>
    <row r="1299">
      <c r="A1299" s="22" t="n"/>
      <c r="G1299" s="21" t="n"/>
      <c r="H1299" s="11" t="n"/>
      <c r="I1299" s="21">
        <f>IF(OR(H1299="",H1299=0),"",1/H1299)</f>
        <v/>
      </c>
      <c r="J1299" s="11">
        <f>IF(OR(G1299="",H1299=""),"",H1299*G1299-1)</f>
        <v/>
      </c>
      <c r="K1299" s="10">
        <f>IF(OR(G1299="",H1299="",G1299&lt;=1),"",IF(J1299&lt;IF(D1299="Builder",MinEdgeBuilder,IF(D1299="Player",MinEdgePlayer,MinEdgeSingle)),0,ROUND(MIN(IF(D1299="Single",KellySingle,KellyBuilder)*(StartBank+SUM(P$1:P1298))*J1299/(G1299-1),IF(D1299="Builder",CapBuilder,CapSingle)*Unit),2)))</f>
        <v/>
      </c>
      <c r="L1299" s="10" t="n"/>
      <c r="N1299" s="10" t="n"/>
      <c r="O1299" s="10">
        <f>IF(L1299="","",IF(M1299="Won",L1299*G1299,IF(M1299="Void",L1299,IF(M1299="Cash out",N(N1299),IF(M1299="Lost",0,"")))))</f>
        <v/>
      </c>
      <c r="P1299" s="10">
        <f>IF(OR(L1299="",M1299="",M1299="Pending"),"",O1299-L1299)</f>
        <v/>
      </c>
      <c r="Q1299" s="21" t="n"/>
      <c r="R1299" s="11">
        <f>IF(OR(G1299="",Q1299=""),"",G1299/Q1299-1)</f>
        <v/>
      </c>
      <c r="S1299" s="10">
        <f>IF(OR(L1299="",J1299=""),"",L1299*J1299)</f>
        <v/>
      </c>
      <c r="T1299" s="10">
        <f>IF(P1299="","",StartBank+SUM(P$2:P1299))</f>
        <v/>
      </c>
    </row>
    <row r="1300">
      <c r="A1300" s="22" t="n"/>
      <c r="G1300" s="21" t="n"/>
      <c r="H1300" s="11" t="n"/>
      <c r="I1300" s="21">
        <f>IF(OR(H1300="",H1300=0),"",1/H1300)</f>
        <v/>
      </c>
      <c r="J1300" s="11">
        <f>IF(OR(G1300="",H1300=""),"",H1300*G1300-1)</f>
        <v/>
      </c>
      <c r="K1300" s="10">
        <f>IF(OR(G1300="",H1300="",G1300&lt;=1),"",IF(J1300&lt;IF(D1300="Builder",MinEdgeBuilder,IF(D1300="Player",MinEdgePlayer,MinEdgeSingle)),0,ROUND(MIN(IF(D1300="Single",KellySingle,KellyBuilder)*(StartBank+SUM(P$1:P1299))*J1300/(G1300-1),IF(D1300="Builder",CapBuilder,CapSingle)*Unit),2)))</f>
        <v/>
      </c>
      <c r="L1300" s="10" t="n"/>
      <c r="N1300" s="10" t="n"/>
      <c r="O1300" s="10">
        <f>IF(L1300="","",IF(M1300="Won",L1300*G1300,IF(M1300="Void",L1300,IF(M1300="Cash out",N(N1300),IF(M1300="Lost",0,"")))))</f>
        <v/>
      </c>
      <c r="P1300" s="10">
        <f>IF(OR(L1300="",M1300="",M1300="Pending"),"",O1300-L1300)</f>
        <v/>
      </c>
      <c r="Q1300" s="21" t="n"/>
      <c r="R1300" s="11">
        <f>IF(OR(G1300="",Q1300=""),"",G1300/Q1300-1)</f>
        <v/>
      </c>
      <c r="S1300" s="10">
        <f>IF(OR(L1300="",J1300=""),"",L1300*J1300)</f>
        <v/>
      </c>
      <c r="T1300" s="10">
        <f>IF(P1300="","",StartBank+SUM(P$2:P1300))</f>
        <v/>
      </c>
    </row>
    <row r="1301">
      <c r="A1301" s="22" t="n"/>
      <c r="G1301" s="21" t="n"/>
      <c r="H1301" s="11" t="n"/>
      <c r="I1301" s="21">
        <f>IF(OR(H1301="",H1301=0),"",1/H1301)</f>
        <v/>
      </c>
      <c r="J1301" s="11">
        <f>IF(OR(G1301="",H1301=""),"",H1301*G1301-1)</f>
        <v/>
      </c>
      <c r="K1301" s="10">
        <f>IF(OR(G1301="",H1301="",G1301&lt;=1),"",IF(J1301&lt;IF(D1301="Builder",MinEdgeBuilder,IF(D1301="Player",MinEdgePlayer,MinEdgeSingle)),0,ROUND(MIN(IF(D1301="Single",KellySingle,KellyBuilder)*(StartBank+SUM(P$1:P1300))*J1301/(G1301-1),IF(D1301="Builder",CapBuilder,CapSingle)*Unit),2)))</f>
        <v/>
      </c>
      <c r="L1301" s="10" t="n"/>
      <c r="N1301" s="10" t="n"/>
      <c r="O1301" s="10">
        <f>IF(L1301="","",IF(M1301="Won",L1301*G1301,IF(M1301="Void",L1301,IF(M1301="Cash out",N(N1301),IF(M1301="Lost",0,"")))))</f>
        <v/>
      </c>
      <c r="P1301" s="10">
        <f>IF(OR(L1301="",M1301="",M1301="Pending"),"",O1301-L1301)</f>
        <v/>
      </c>
      <c r="Q1301" s="21" t="n"/>
      <c r="R1301" s="11">
        <f>IF(OR(G1301="",Q1301=""),"",G1301/Q1301-1)</f>
        <v/>
      </c>
      <c r="S1301" s="10">
        <f>IF(OR(L1301="",J1301=""),"",L1301*J1301)</f>
        <v/>
      </c>
      <c r="T1301" s="10">
        <f>IF(P1301="","",StartBank+SUM(P$2:P1301))</f>
        <v/>
      </c>
    </row>
    <row r="1302">
      <c r="A1302" s="22" t="n"/>
      <c r="G1302" s="21" t="n"/>
      <c r="H1302" s="11" t="n"/>
      <c r="I1302" s="21">
        <f>IF(OR(H1302="",H1302=0),"",1/H1302)</f>
        <v/>
      </c>
      <c r="J1302" s="11">
        <f>IF(OR(G1302="",H1302=""),"",H1302*G1302-1)</f>
        <v/>
      </c>
      <c r="K1302" s="10">
        <f>IF(OR(G1302="",H1302="",G1302&lt;=1),"",IF(J1302&lt;IF(D1302="Builder",MinEdgeBuilder,IF(D1302="Player",MinEdgePlayer,MinEdgeSingle)),0,ROUND(MIN(IF(D1302="Single",KellySingle,KellyBuilder)*(StartBank+SUM(P$1:P1301))*J1302/(G1302-1),IF(D1302="Builder",CapBuilder,CapSingle)*Unit),2)))</f>
        <v/>
      </c>
      <c r="L1302" s="10" t="n"/>
      <c r="N1302" s="10" t="n"/>
      <c r="O1302" s="10">
        <f>IF(L1302="","",IF(M1302="Won",L1302*G1302,IF(M1302="Void",L1302,IF(M1302="Cash out",N(N1302),IF(M1302="Lost",0,"")))))</f>
        <v/>
      </c>
      <c r="P1302" s="10">
        <f>IF(OR(L1302="",M1302="",M1302="Pending"),"",O1302-L1302)</f>
        <v/>
      </c>
      <c r="Q1302" s="21" t="n"/>
      <c r="R1302" s="11">
        <f>IF(OR(G1302="",Q1302=""),"",G1302/Q1302-1)</f>
        <v/>
      </c>
      <c r="S1302" s="10">
        <f>IF(OR(L1302="",J1302=""),"",L1302*J1302)</f>
        <v/>
      </c>
      <c r="T1302" s="10">
        <f>IF(P1302="","",StartBank+SUM(P$2:P1302))</f>
        <v/>
      </c>
    </row>
    <row r="1303">
      <c r="A1303" s="22" t="n"/>
      <c r="G1303" s="21" t="n"/>
      <c r="H1303" s="11" t="n"/>
      <c r="I1303" s="21">
        <f>IF(OR(H1303="",H1303=0),"",1/H1303)</f>
        <v/>
      </c>
      <c r="J1303" s="11">
        <f>IF(OR(G1303="",H1303=""),"",H1303*G1303-1)</f>
        <v/>
      </c>
      <c r="K1303" s="10">
        <f>IF(OR(G1303="",H1303="",G1303&lt;=1),"",IF(J1303&lt;IF(D1303="Builder",MinEdgeBuilder,IF(D1303="Player",MinEdgePlayer,MinEdgeSingle)),0,ROUND(MIN(IF(D1303="Single",KellySingle,KellyBuilder)*(StartBank+SUM(P$1:P1302))*J1303/(G1303-1),IF(D1303="Builder",CapBuilder,CapSingle)*Unit),2)))</f>
        <v/>
      </c>
      <c r="L1303" s="10" t="n"/>
      <c r="N1303" s="10" t="n"/>
      <c r="O1303" s="10">
        <f>IF(L1303="","",IF(M1303="Won",L1303*G1303,IF(M1303="Void",L1303,IF(M1303="Cash out",N(N1303),IF(M1303="Lost",0,"")))))</f>
        <v/>
      </c>
      <c r="P1303" s="10">
        <f>IF(OR(L1303="",M1303="",M1303="Pending"),"",O1303-L1303)</f>
        <v/>
      </c>
      <c r="Q1303" s="21" t="n"/>
      <c r="R1303" s="11">
        <f>IF(OR(G1303="",Q1303=""),"",G1303/Q1303-1)</f>
        <v/>
      </c>
      <c r="S1303" s="10">
        <f>IF(OR(L1303="",J1303=""),"",L1303*J1303)</f>
        <v/>
      </c>
      <c r="T1303" s="10">
        <f>IF(P1303="","",StartBank+SUM(P$2:P1303))</f>
        <v/>
      </c>
    </row>
    <row r="1304">
      <c r="A1304" s="22" t="n"/>
      <c r="G1304" s="21" t="n"/>
      <c r="H1304" s="11" t="n"/>
      <c r="I1304" s="21">
        <f>IF(OR(H1304="",H1304=0),"",1/H1304)</f>
        <v/>
      </c>
      <c r="J1304" s="11">
        <f>IF(OR(G1304="",H1304=""),"",H1304*G1304-1)</f>
        <v/>
      </c>
      <c r="K1304" s="10">
        <f>IF(OR(G1304="",H1304="",G1304&lt;=1),"",IF(J1304&lt;IF(D1304="Builder",MinEdgeBuilder,IF(D1304="Player",MinEdgePlayer,MinEdgeSingle)),0,ROUND(MIN(IF(D1304="Single",KellySingle,KellyBuilder)*(StartBank+SUM(P$1:P1303))*J1304/(G1304-1),IF(D1304="Builder",CapBuilder,CapSingle)*Unit),2)))</f>
        <v/>
      </c>
      <c r="L1304" s="10" t="n"/>
      <c r="N1304" s="10" t="n"/>
      <c r="O1304" s="10">
        <f>IF(L1304="","",IF(M1304="Won",L1304*G1304,IF(M1304="Void",L1304,IF(M1304="Cash out",N(N1304),IF(M1304="Lost",0,"")))))</f>
        <v/>
      </c>
      <c r="P1304" s="10">
        <f>IF(OR(L1304="",M1304="",M1304="Pending"),"",O1304-L1304)</f>
        <v/>
      </c>
      <c r="Q1304" s="21" t="n"/>
      <c r="R1304" s="11">
        <f>IF(OR(G1304="",Q1304=""),"",G1304/Q1304-1)</f>
        <v/>
      </c>
      <c r="S1304" s="10">
        <f>IF(OR(L1304="",J1304=""),"",L1304*J1304)</f>
        <v/>
      </c>
      <c r="T1304" s="10">
        <f>IF(P1304="","",StartBank+SUM(P$2:P1304))</f>
        <v/>
      </c>
    </row>
    <row r="1305">
      <c r="A1305" s="22" t="n"/>
      <c r="G1305" s="21" t="n"/>
      <c r="H1305" s="11" t="n"/>
      <c r="I1305" s="21">
        <f>IF(OR(H1305="",H1305=0),"",1/H1305)</f>
        <v/>
      </c>
      <c r="J1305" s="11">
        <f>IF(OR(G1305="",H1305=""),"",H1305*G1305-1)</f>
        <v/>
      </c>
      <c r="K1305" s="10">
        <f>IF(OR(G1305="",H1305="",G1305&lt;=1),"",IF(J1305&lt;IF(D1305="Builder",MinEdgeBuilder,IF(D1305="Player",MinEdgePlayer,MinEdgeSingle)),0,ROUND(MIN(IF(D1305="Single",KellySingle,KellyBuilder)*(StartBank+SUM(P$1:P1304))*J1305/(G1305-1),IF(D1305="Builder",CapBuilder,CapSingle)*Unit),2)))</f>
        <v/>
      </c>
      <c r="L1305" s="10" t="n"/>
      <c r="N1305" s="10" t="n"/>
      <c r="O1305" s="10">
        <f>IF(L1305="","",IF(M1305="Won",L1305*G1305,IF(M1305="Void",L1305,IF(M1305="Cash out",N(N1305),IF(M1305="Lost",0,"")))))</f>
        <v/>
      </c>
      <c r="P1305" s="10">
        <f>IF(OR(L1305="",M1305="",M1305="Pending"),"",O1305-L1305)</f>
        <v/>
      </c>
      <c r="Q1305" s="21" t="n"/>
      <c r="R1305" s="11">
        <f>IF(OR(G1305="",Q1305=""),"",G1305/Q1305-1)</f>
        <v/>
      </c>
      <c r="S1305" s="10">
        <f>IF(OR(L1305="",J1305=""),"",L1305*J1305)</f>
        <v/>
      </c>
      <c r="T1305" s="10">
        <f>IF(P1305="","",StartBank+SUM(P$2:P1305))</f>
        <v/>
      </c>
    </row>
    <row r="1306">
      <c r="A1306" s="22" t="n"/>
      <c r="G1306" s="21" t="n"/>
      <c r="H1306" s="11" t="n"/>
      <c r="I1306" s="21">
        <f>IF(OR(H1306="",H1306=0),"",1/H1306)</f>
        <v/>
      </c>
      <c r="J1306" s="11">
        <f>IF(OR(G1306="",H1306=""),"",H1306*G1306-1)</f>
        <v/>
      </c>
      <c r="K1306" s="10">
        <f>IF(OR(G1306="",H1306="",G1306&lt;=1),"",IF(J1306&lt;IF(D1306="Builder",MinEdgeBuilder,IF(D1306="Player",MinEdgePlayer,MinEdgeSingle)),0,ROUND(MIN(IF(D1306="Single",KellySingle,KellyBuilder)*(StartBank+SUM(P$1:P1305))*J1306/(G1306-1),IF(D1306="Builder",CapBuilder,CapSingle)*Unit),2)))</f>
        <v/>
      </c>
      <c r="L1306" s="10" t="n"/>
      <c r="N1306" s="10" t="n"/>
      <c r="O1306" s="10">
        <f>IF(L1306="","",IF(M1306="Won",L1306*G1306,IF(M1306="Void",L1306,IF(M1306="Cash out",N(N1306),IF(M1306="Lost",0,"")))))</f>
        <v/>
      </c>
      <c r="P1306" s="10">
        <f>IF(OR(L1306="",M1306="",M1306="Pending"),"",O1306-L1306)</f>
        <v/>
      </c>
      <c r="Q1306" s="21" t="n"/>
      <c r="R1306" s="11">
        <f>IF(OR(G1306="",Q1306=""),"",G1306/Q1306-1)</f>
        <v/>
      </c>
      <c r="S1306" s="10">
        <f>IF(OR(L1306="",J1306=""),"",L1306*J1306)</f>
        <v/>
      </c>
      <c r="T1306" s="10">
        <f>IF(P1306="","",StartBank+SUM(P$2:P1306))</f>
        <v/>
      </c>
    </row>
    <row r="1307">
      <c r="A1307" s="22" t="n"/>
      <c r="G1307" s="21" t="n"/>
      <c r="H1307" s="11" t="n"/>
      <c r="I1307" s="21">
        <f>IF(OR(H1307="",H1307=0),"",1/H1307)</f>
        <v/>
      </c>
      <c r="J1307" s="11">
        <f>IF(OR(G1307="",H1307=""),"",H1307*G1307-1)</f>
        <v/>
      </c>
      <c r="K1307" s="10">
        <f>IF(OR(G1307="",H1307="",G1307&lt;=1),"",IF(J1307&lt;IF(D1307="Builder",MinEdgeBuilder,IF(D1307="Player",MinEdgePlayer,MinEdgeSingle)),0,ROUND(MIN(IF(D1307="Single",KellySingle,KellyBuilder)*(StartBank+SUM(P$1:P1306))*J1307/(G1307-1),IF(D1307="Builder",CapBuilder,CapSingle)*Unit),2)))</f>
        <v/>
      </c>
      <c r="L1307" s="10" t="n"/>
      <c r="N1307" s="10" t="n"/>
      <c r="O1307" s="10">
        <f>IF(L1307="","",IF(M1307="Won",L1307*G1307,IF(M1307="Void",L1307,IF(M1307="Cash out",N(N1307),IF(M1307="Lost",0,"")))))</f>
        <v/>
      </c>
      <c r="P1307" s="10">
        <f>IF(OR(L1307="",M1307="",M1307="Pending"),"",O1307-L1307)</f>
        <v/>
      </c>
      <c r="Q1307" s="21" t="n"/>
      <c r="R1307" s="11">
        <f>IF(OR(G1307="",Q1307=""),"",G1307/Q1307-1)</f>
        <v/>
      </c>
      <c r="S1307" s="10">
        <f>IF(OR(L1307="",J1307=""),"",L1307*J1307)</f>
        <v/>
      </c>
      <c r="T1307" s="10">
        <f>IF(P1307="","",StartBank+SUM(P$2:P1307))</f>
        <v/>
      </c>
    </row>
    <row r="1308">
      <c r="A1308" s="22" t="n"/>
      <c r="G1308" s="21" t="n"/>
      <c r="H1308" s="11" t="n"/>
      <c r="I1308" s="21">
        <f>IF(OR(H1308="",H1308=0),"",1/H1308)</f>
        <v/>
      </c>
      <c r="J1308" s="11">
        <f>IF(OR(G1308="",H1308=""),"",H1308*G1308-1)</f>
        <v/>
      </c>
      <c r="K1308" s="10">
        <f>IF(OR(G1308="",H1308="",G1308&lt;=1),"",IF(J1308&lt;IF(D1308="Builder",MinEdgeBuilder,IF(D1308="Player",MinEdgePlayer,MinEdgeSingle)),0,ROUND(MIN(IF(D1308="Single",KellySingle,KellyBuilder)*(StartBank+SUM(P$1:P1307))*J1308/(G1308-1),IF(D1308="Builder",CapBuilder,CapSingle)*Unit),2)))</f>
        <v/>
      </c>
      <c r="L1308" s="10" t="n"/>
      <c r="N1308" s="10" t="n"/>
      <c r="O1308" s="10">
        <f>IF(L1308="","",IF(M1308="Won",L1308*G1308,IF(M1308="Void",L1308,IF(M1308="Cash out",N(N1308),IF(M1308="Lost",0,"")))))</f>
        <v/>
      </c>
      <c r="P1308" s="10">
        <f>IF(OR(L1308="",M1308="",M1308="Pending"),"",O1308-L1308)</f>
        <v/>
      </c>
      <c r="Q1308" s="21" t="n"/>
      <c r="R1308" s="11">
        <f>IF(OR(G1308="",Q1308=""),"",G1308/Q1308-1)</f>
        <v/>
      </c>
      <c r="S1308" s="10">
        <f>IF(OR(L1308="",J1308=""),"",L1308*J1308)</f>
        <v/>
      </c>
      <c r="T1308" s="10">
        <f>IF(P1308="","",StartBank+SUM(P$2:P1308))</f>
        <v/>
      </c>
    </row>
    <row r="1309">
      <c r="A1309" s="22" t="n"/>
      <c r="G1309" s="21" t="n"/>
      <c r="H1309" s="11" t="n"/>
      <c r="I1309" s="21">
        <f>IF(OR(H1309="",H1309=0),"",1/H1309)</f>
        <v/>
      </c>
      <c r="J1309" s="11">
        <f>IF(OR(G1309="",H1309=""),"",H1309*G1309-1)</f>
        <v/>
      </c>
      <c r="K1309" s="10">
        <f>IF(OR(G1309="",H1309="",G1309&lt;=1),"",IF(J1309&lt;IF(D1309="Builder",MinEdgeBuilder,IF(D1309="Player",MinEdgePlayer,MinEdgeSingle)),0,ROUND(MIN(IF(D1309="Single",KellySingle,KellyBuilder)*(StartBank+SUM(P$1:P1308))*J1309/(G1309-1),IF(D1309="Builder",CapBuilder,CapSingle)*Unit),2)))</f>
        <v/>
      </c>
      <c r="L1309" s="10" t="n"/>
      <c r="N1309" s="10" t="n"/>
      <c r="O1309" s="10">
        <f>IF(L1309="","",IF(M1309="Won",L1309*G1309,IF(M1309="Void",L1309,IF(M1309="Cash out",N(N1309),IF(M1309="Lost",0,"")))))</f>
        <v/>
      </c>
      <c r="P1309" s="10">
        <f>IF(OR(L1309="",M1309="",M1309="Pending"),"",O1309-L1309)</f>
        <v/>
      </c>
      <c r="Q1309" s="21" t="n"/>
      <c r="R1309" s="11">
        <f>IF(OR(G1309="",Q1309=""),"",G1309/Q1309-1)</f>
        <v/>
      </c>
      <c r="S1309" s="10">
        <f>IF(OR(L1309="",J1309=""),"",L1309*J1309)</f>
        <v/>
      </c>
      <c r="T1309" s="10">
        <f>IF(P1309="","",StartBank+SUM(P$2:P1309))</f>
        <v/>
      </c>
    </row>
    <row r="1310">
      <c r="A1310" s="22" t="n"/>
      <c r="G1310" s="21" t="n"/>
      <c r="H1310" s="11" t="n"/>
      <c r="I1310" s="21">
        <f>IF(OR(H1310="",H1310=0),"",1/H1310)</f>
        <v/>
      </c>
      <c r="J1310" s="11">
        <f>IF(OR(G1310="",H1310=""),"",H1310*G1310-1)</f>
        <v/>
      </c>
      <c r="K1310" s="10">
        <f>IF(OR(G1310="",H1310="",G1310&lt;=1),"",IF(J1310&lt;IF(D1310="Builder",MinEdgeBuilder,IF(D1310="Player",MinEdgePlayer,MinEdgeSingle)),0,ROUND(MIN(IF(D1310="Single",KellySingle,KellyBuilder)*(StartBank+SUM(P$1:P1309))*J1310/(G1310-1),IF(D1310="Builder",CapBuilder,CapSingle)*Unit),2)))</f>
        <v/>
      </c>
      <c r="L1310" s="10" t="n"/>
      <c r="N1310" s="10" t="n"/>
      <c r="O1310" s="10">
        <f>IF(L1310="","",IF(M1310="Won",L1310*G1310,IF(M1310="Void",L1310,IF(M1310="Cash out",N(N1310),IF(M1310="Lost",0,"")))))</f>
        <v/>
      </c>
      <c r="P1310" s="10">
        <f>IF(OR(L1310="",M1310="",M1310="Pending"),"",O1310-L1310)</f>
        <v/>
      </c>
      <c r="Q1310" s="21" t="n"/>
      <c r="R1310" s="11">
        <f>IF(OR(G1310="",Q1310=""),"",G1310/Q1310-1)</f>
        <v/>
      </c>
      <c r="S1310" s="10">
        <f>IF(OR(L1310="",J1310=""),"",L1310*J1310)</f>
        <v/>
      </c>
      <c r="T1310" s="10">
        <f>IF(P1310="","",StartBank+SUM(P$2:P1310))</f>
        <v/>
      </c>
    </row>
    <row r="1311">
      <c r="A1311" s="22" t="n"/>
      <c r="G1311" s="21" t="n"/>
      <c r="H1311" s="11" t="n"/>
      <c r="I1311" s="21">
        <f>IF(OR(H1311="",H1311=0),"",1/H1311)</f>
        <v/>
      </c>
      <c r="J1311" s="11">
        <f>IF(OR(G1311="",H1311=""),"",H1311*G1311-1)</f>
        <v/>
      </c>
      <c r="K1311" s="10">
        <f>IF(OR(G1311="",H1311="",G1311&lt;=1),"",IF(J1311&lt;IF(D1311="Builder",MinEdgeBuilder,IF(D1311="Player",MinEdgePlayer,MinEdgeSingle)),0,ROUND(MIN(IF(D1311="Single",KellySingle,KellyBuilder)*(StartBank+SUM(P$1:P1310))*J1311/(G1311-1),IF(D1311="Builder",CapBuilder,CapSingle)*Unit),2)))</f>
        <v/>
      </c>
      <c r="L1311" s="10" t="n"/>
      <c r="N1311" s="10" t="n"/>
      <c r="O1311" s="10">
        <f>IF(L1311="","",IF(M1311="Won",L1311*G1311,IF(M1311="Void",L1311,IF(M1311="Cash out",N(N1311),IF(M1311="Lost",0,"")))))</f>
        <v/>
      </c>
      <c r="P1311" s="10">
        <f>IF(OR(L1311="",M1311="",M1311="Pending"),"",O1311-L1311)</f>
        <v/>
      </c>
      <c r="Q1311" s="21" t="n"/>
      <c r="R1311" s="11">
        <f>IF(OR(G1311="",Q1311=""),"",G1311/Q1311-1)</f>
        <v/>
      </c>
      <c r="S1311" s="10">
        <f>IF(OR(L1311="",J1311=""),"",L1311*J1311)</f>
        <v/>
      </c>
      <c r="T1311" s="10">
        <f>IF(P1311="","",StartBank+SUM(P$2:P1311))</f>
        <v/>
      </c>
    </row>
    <row r="1312">
      <c r="A1312" s="22" t="n"/>
      <c r="G1312" s="21" t="n"/>
      <c r="H1312" s="11" t="n"/>
      <c r="I1312" s="21">
        <f>IF(OR(H1312="",H1312=0),"",1/H1312)</f>
        <v/>
      </c>
      <c r="J1312" s="11">
        <f>IF(OR(G1312="",H1312=""),"",H1312*G1312-1)</f>
        <v/>
      </c>
      <c r="K1312" s="10">
        <f>IF(OR(G1312="",H1312="",G1312&lt;=1),"",IF(J1312&lt;IF(D1312="Builder",MinEdgeBuilder,IF(D1312="Player",MinEdgePlayer,MinEdgeSingle)),0,ROUND(MIN(IF(D1312="Single",KellySingle,KellyBuilder)*(StartBank+SUM(P$1:P1311))*J1312/(G1312-1),IF(D1312="Builder",CapBuilder,CapSingle)*Unit),2)))</f>
        <v/>
      </c>
      <c r="L1312" s="10" t="n"/>
      <c r="N1312" s="10" t="n"/>
      <c r="O1312" s="10">
        <f>IF(L1312="","",IF(M1312="Won",L1312*G1312,IF(M1312="Void",L1312,IF(M1312="Cash out",N(N1312),IF(M1312="Lost",0,"")))))</f>
        <v/>
      </c>
      <c r="P1312" s="10">
        <f>IF(OR(L1312="",M1312="",M1312="Pending"),"",O1312-L1312)</f>
        <v/>
      </c>
      <c r="Q1312" s="21" t="n"/>
      <c r="R1312" s="11">
        <f>IF(OR(G1312="",Q1312=""),"",G1312/Q1312-1)</f>
        <v/>
      </c>
      <c r="S1312" s="10">
        <f>IF(OR(L1312="",J1312=""),"",L1312*J1312)</f>
        <v/>
      </c>
      <c r="T1312" s="10">
        <f>IF(P1312="","",StartBank+SUM(P$2:P1312))</f>
        <v/>
      </c>
    </row>
    <row r="1313">
      <c r="A1313" s="22" t="n"/>
      <c r="G1313" s="21" t="n"/>
      <c r="H1313" s="11" t="n"/>
      <c r="I1313" s="21">
        <f>IF(OR(H1313="",H1313=0),"",1/H1313)</f>
        <v/>
      </c>
      <c r="J1313" s="11">
        <f>IF(OR(G1313="",H1313=""),"",H1313*G1313-1)</f>
        <v/>
      </c>
      <c r="K1313" s="10">
        <f>IF(OR(G1313="",H1313="",G1313&lt;=1),"",IF(J1313&lt;IF(D1313="Builder",MinEdgeBuilder,IF(D1313="Player",MinEdgePlayer,MinEdgeSingle)),0,ROUND(MIN(IF(D1313="Single",KellySingle,KellyBuilder)*(StartBank+SUM(P$1:P1312))*J1313/(G1313-1),IF(D1313="Builder",CapBuilder,CapSingle)*Unit),2)))</f>
        <v/>
      </c>
      <c r="L1313" s="10" t="n"/>
      <c r="N1313" s="10" t="n"/>
      <c r="O1313" s="10">
        <f>IF(L1313="","",IF(M1313="Won",L1313*G1313,IF(M1313="Void",L1313,IF(M1313="Cash out",N(N1313),IF(M1313="Lost",0,"")))))</f>
        <v/>
      </c>
      <c r="P1313" s="10">
        <f>IF(OR(L1313="",M1313="",M1313="Pending"),"",O1313-L1313)</f>
        <v/>
      </c>
      <c r="Q1313" s="21" t="n"/>
      <c r="R1313" s="11">
        <f>IF(OR(G1313="",Q1313=""),"",G1313/Q1313-1)</f>
        <v/>
      </c>
      <c r="S1313" s="10">
        <f>IF(OR(L1313="",J1313=""),"",L1313*J1313)</f>
        <v/>
      </c>
      <c r="T1313" s="10">
        <f>IF(P1313="","",StartBank+SUM(P$2:P1313))</f>
        <v/>
      </c>
    </row>
    <row r="1314">
      <c r="A1314" s="22" t="n"/>
      <c r="G1314" s="21" t="n"/>
      <c r="H1314" s="11" t="n"/>
      <c r="I1314" s="21">
        <f>IF(OR(H1314="",H1314=0),"",1/H1314)</f>
        <v/>
      </c>
      <c r="J1314" s="11">
        <f>IF(OR(G1314="",H1314=""),"",H1314*G1314-1)</f>
        <v/>
      </c>
      <c r="K1314" s="10">
        <f>IF(OR(G1314="",H1314="",G1314&lt;=1),"",IF(J1314&lt;IF(D1314="Builder",MinEdgeBuilder,IF(D1314="Player",MinEdgePlayer,MinEdgeSingle)),0,ROUND(MIN(IF(D1314="Single",KellySingle,KellyBuilder)*(StartBank+SUM(P$1:P1313))*J1314/(G1314-1),IF(D1314="Builder",CapBuilder,CapSingle)*Unit),2)))</f>
        <v/>
      </c>
      <c r="L1314" s="10" t="n"/>
      <c r="N1314" s="10" t="n"/>
      <c r="O1314" s="10">
        <f>IF(L1314="","",IF(M1314="Won",L1314*G1314,IF(M1314="Void",L1314,IF(M1314="Cash out",N(N1314),IF(M1314="Lost",0,"")))))</f>
        <v/>
      </c>
      <c r="P1314" s="10">
        <f>IF(OR(L1314="",M1314="",M1314="Pending"),"",O1314-L1314)</f>
        <v/>
      </c>
      <c r="Q1314" s="21" t="n"/>
      <c r="R1314" s="11">
        <f>IF(OR(G1314="",Q1314=""),"",G1314/Q1314-1)</f>
        <v/>
      </c>
      <c r="S1314" s="10">
        <f>IF(OR(L1314="",J1314=""),"",L1314*J1314)</f>
        <v/>
      </c>
      <c r="T1314" s="10">
        <f>IF(P1314="","",StartBank+SUM(P$2:P1314))</f>
        <v/>
      </c>
    </row>
    <row r="1315">
      <c r="A1315" s="22" t="n"/>
      <c r="G1315" s="21" t="n"/>
      <c r="H1315" s="11" t="n"/>
      <c r="I1315" s="21">
        <f>IF(OR(H1315="",H1315=0),"",1/H1315)</f>
        <v/>
      </c>
      <c r="J1315" s="11">
        <f>IF(OR(G1315="",H1315=""),"",H1315*G1315-1)</f>
        <v/>
      </c>
      <c r="K1315" s="10">
        <f>IF(OR(G1315="",H1315="",G1315&lt;=1),"",IF(J1315&lt;IF(D1315="Builder",MinEdgeBuilder,IF(D1315="Player",MinEdgePlayer,MinEdgeSingle)),0,ROUND(MIN(IF(D1315="Single",KellySingle,KellyBuilder)*(StartBank+SUM(P$1:P1314))*J1315/(G1315-1),IF(D1315="Builder",CapBuilder,CapSingle)*Unit),2)))</f>
        <v/>
      </c>
      <c r="L1315" s="10" t="n"/>
      <c r="N1315" s="10" t="n"/>
      <c r="O1315" s="10">
        <f>IF(L1315="","",IF(M1315="Won",L1315*G1315,IF(M1315="Void",L1315,IF(M1315="Cash out",N(N1315),IF(M1315="Lost",0,"")))))</f>
        <v/>
      </c>
      <c r="P1315" s="10">
        <f>IF(OR(L1315="",M1315="",M1315="Pending"),"",O1315-L1315)</f>
        <v/>
      </c>
      <c r="Q1315" s="21" t="n"/>
      <c r="R1315" s="11">
        <f>IF(OR(G1315="",Q1315=""),"",G1315/Q1315-1)</f>
        <v/>
      </c>
      <c r="S1315" s="10">
        <f>IF(OR(L1315="",J1315=""),"",L1315*J1315)</f>
        <v/>
      </c>
      <c r="T1315" s="10">
        <f>IF(P1315="","",StartBank+SUM(P$2:P1315))</f>
        <v/>
      </c>
    </row>
    <row r="1316">
      <c r="A1316" s="22" t="n"/>
      <c r="G1316" s="21" t="n"/>
      <c r="H1316" s="11" t="n"/>
      <c r="I1316" s="21">
        <f>IF(OR(H1316="",H1316=0),"",1/H1316)</f>
        <v/>
      </c>
      <c r="J1316" s="11">
        <f>IF(OR(G1316="",H1316=""),"",H1316*G1316-1)</f>
        <v/>
      </c>
      <c r="K1316" s="10">
        <f>IF(OR(G1316="",H1316="",G1316&lt;=1),"",IF(J1316&lt;IF(D1316="Builder",MinEdgeBuilder,IF(D1316="Player",MinEdgePlayer,MinEdgeSingle)),0,ROUND(MIN(IF(D1316="Single",KellySingle,KellyBuilder)*(StartBank+SUM(P$1:P1315))*J1316/(G1316-1),IF(D1316="Builder",CapBuilder,CapSingle)*Unit),2)))</f>
        <v/>
      </c>
      <c r="L1316" s="10" t="n"/>
      <c r="N1316" s="10" t="n"/>
      <c r="O1316" s="10">
        <f>IF(L1316="","",IF(M1316="Won",L1316*G1316,IF(M1316="Void",L1316,IF(M1316="Cash out",N(N1316),IF(M1316="Lost",0,"")))))</f>
        <v/>
      </c>
      <c r="P1316" s="10">
        <f>IF(OR(L1316="",M1316="",M1316="Pending"),"",O1316-L1316)</f>
        <v/>
      </c>
      <c r="Q1316" s="21" t="n"/>
      <c r="R1316" s="11">
        <f>IF(OR(G1316="",Q1316=""),"",G1316/Q1316-1)</f>
        <v/>
      </c>
      <c r="S1316" s="10">
        <f>IF(OR(L1316="",J1316=""),"",L1316*J1316)</f>
        <v/>
      </c>
      <c r="T1316" s="10">
        <f>IF(P1316="","",StartBank+SUM(P$2:P1316))</f>
        <v/>
      </c>
    </row>
    <row r="1317">
      <c r="A1317" s="22" t="n"/>
      <c r="G1317" s="21" t="n"/>
      <c r="H1317" s="11" t="n"/>
      <c r="I1317" s="21">
        <f>IF(OR(H1317="",H1317=0),"",1/H1317)</f>
        <v/>
      </c>
      <c r="J1317" s="11">
        <f>IF(OR(G1317="",H1317=""),"",H1317*G1317-1)</f>
        <v/>
      </c>
      <c r="K1317" s="10">
        <f>IF(OR(G1317="",H1317="",G1317&lt;=1),"",IF(J1317&lt;IF(D1317="Builder",MinEdgeBuilder,IF(D1317="Player",MinEdgePlayer,MinEdgeSingle)),0,ROUND(MIN(IF(D1317="Single",KellySingle,KellyBuilder)*(StartBank+SUM(P$1:P1316))*J1317/(G1317-1),IF(D1317="Builder",CapBuilder,CapSingle)*Unit),2)))</f>
        <v/>
      </c>
      <c r="L1317" s="10" t="n"/>
      <c r="N1317" s="10" t="n"/>
      <c r="O1317" s="10">
        <f>IF(L1317="","",IF(M1317="Won",L1317*G1317,IF(M1317="Void",L1317,IF(M1317="Cash out",N(N1317),IF(M1317="Lost",0,"")))))</f>
        <v/>
      </c>
      <c r="P1317" s="10">
        <f>IF(OR(L1317="",M1317="",M1317="Pending"),"",O1317-L1317)</f>
        <v/>
      </c>
      <c r="Q1317" s="21" t="n"/>
      <c r="R1317" s="11">
        <f>IF(OR(G1317="",Q1317=""),"",G1317/Q1317-1)</f>
        <v/>
      </c>
      <c r="S1317" s="10">
        <f>IF(OR(L1317="",J1317=""),"",L1317*J1317)</f>
        <v/>
      </c>
      <c r="T1317" s="10">
        <f>IF(P1317="","",StartBank+SUM(P$2:P1317))</f>
        <v/>
      </c>
    </row>
    <row r="1318">
      <c r="A1318" s="22" t="n"/>
      <c r="G1318" s="21" t="n"/>
      <c r="H1318" s="11" t="n"/>
      <c r="I1318" s="21">
        <f>IF(OR(H1318="",H1318=0),"",1/H1318)</f>
        <v/>
      </c>
      <c r="J1318" s="11">
        <f>IF(OR(G1318="",H1318=""),"",H1318*G1318-1)</f>
        <v/>
      </c>
      <c r="K1318" s="10">
        <f>IF(OR(G1318="",H1318="",G1318&lt;=1),"",IF(J1318&lt;IF(D1318="Builder",MinEdgeBuilder,IF(D1318="Player",MinEdgePlayer,MinEdgeSingle)),0,ROUND(MIN(IF(D1318="Single",KellySingle,KellyBuilder)*(StartBank+SUM(P$1:P1317))*J1318/(G1318-1),IF(D1318="Builder",CapBuilder,CapSingle)*Unit),2)))</f>
        <v/>
      </c>
      <c r="L1318" s="10" t="n"/>
      <c r="N1318" s="10" t="n"/>
      <c r="O1318" s="10">
        <f>IF(L1318="","",IF(M1318="Won",L1318*G1318,IF(M1318="Void",L1318,IF(M1318="Cash out",N(N1318),IF(M1318="Lost",0,"")))))</f>
        <v/>
      </c>
      <c r="P1318" s="10">
        <f>IF(OR(L1318="",M1318="",M1318="Pending"),"",O1318-L1318)</f>
        <v/>
      </c>
      <c r="Q1318" s="21" t="n"/>
      <c r="R1318" s="11">
        <f>IF(OR(G1318="",Q1318=""),"",G1318/Q1318-1)</f>
        <v/>
      </c>
      <c r="S1318" s="10">
        <f>IF(OR(L1318="",J1318=""),"",L1318*J1318)</f>
        <v/>
      </c>
      <c r="T1318" s="10">
        <f>IF(P1318="","",StartBank+SUM(P$2:P1318))</f>
        <v/>
      </c>
    </row>
    <row r="1319">
      <c r="A1319" s="22" t="n"/>
      <c r="G1319" s="21" t="n"/>
      <c r="H1319" s="11" t="n"/>
      <c r="I1319" s="21">
        <f>IF(OR(H1319="",H1319=0),"",1/H1319)</f>
        <v/>
      </c>
      <c r="J1319" s="11">
        <f>IF(OR(G1319="",H1319=""),"",H1319*G1319-1)</f>
        <v/>
      </c>
      <c r="K1319" s="10">
        <f>IF(OR(G1319="",H1319="",G1319&lt;=1),"",IF(J1319&lt;IF(D1319="Builder",MinEdgeBuilder,IF(D1319="Player",MinEdgePlayer,MinEdgeSingle)),0,ROUND(MIN(IF(D1319="Single",KellySingle,KellyBuilder)*(StartBank+SUM(P$1:P1318))*J1319/(G1319-1),IF(D1319="Builder",CapBuilder,CapSingle)*Unit),2)))</f>
        <v/>
      </c>
      <c r="L1319" s="10" t="n"/>
      <c r="N1319" s="10" t="n"/>
      <c r="O1319" s="10">
        <f>IF(L1319="","",IF(M1319="Won",L1319*G1319,IF(M1319="Void",L1319,IF(M1319="Cash out",N(N1319),IF(M1319="Lost",0,"")))))</f>
        <v/>
      </c>
      <c r="P1319" s="10">
        <f>IF(OR(L1319="",M1319="",M1319="Pending"),"",O1319-L1319)</f>
        <v/>
      </c>
      <c r="Q1319" s="21" t="n"/>
      <c r="R1319" s="11">
        <f>IF(OR(G1319="",Q1319=""),"",G1319/Q1319-1)</f>
        <v/>
      </c>
      <c r="S1319" s="10">
        <f>IF(OR(L1319="",J1319=""),"",L1319*J1319)</f>
        <v/>
      </c>
      <c r="T1319" s="10">
        <f>IF(P1319="","",StartBank+SUM(P$2:P1319))</f>
        <v/>
      </c>
    </row>
    <row r="1320">
      <c r="A1320" s="22" t="n"/>
      <c r="G1320" s="21" t="n"/>
      <c r="H1320" s="11" t="n"/>
      <c r="I1320" s="21">
        <f>IF(OR(H1320="",H1320=0),"",1/H1320)</f>
        <v/>
      </c>
      <c r="J1320" s="11">
        <f>IF(OR(G1320="",H1320=""),"",H1320*G1320-1)</f>
        <v/>
      </c>
      <c r="K1320" s="10">
        <f>IF(OR(G1320="",H1320="",G1320&lt;=1),"",IF(J1320&lt;IF(D1320="Builder",MinEdgeBuilder,IF(D1320="Player",MinEdgePlayer,MinEdgeSingle)),0,ROUND(MIN(IF(D1320="Single",KellySingle,KellyBuilder)*(StartBank+SUM(P$1:P1319))*J1320/(G1320-1),IF(D1320="Builder",CapBuilder,CapSingle)*Unit),2)))</f>
        <v/>
      </c>
      <c r="L1320" s="10" t="n"/>
      <c r="N1320" s="10" t="n"/>
      <c r="O1320" s="10">
        <f>IF(L1320="","",IF(M1320="Won",L1320*G1320,IF(M1320="Void",L1320,IF(M1320="Cash out",N(N1320),IF(M1320="Lost",0,"")))))</f>
        <v/>
      </c>
      <c r="P1320" s="10">
        <f>IF(OR(L1320="",M1320="",M1320="Pending"),"",O1320-L1320)</f>
        <v/>
      </c>
      <c r="Q1320" s="21" t="n"/>
      <c r="R1320" s="11">
        <f>IF(OR(G1320="",Q1320=""),"",G1320/Q1320-1)</f>
        <v/>
      </c>
      <c r="S1320" s="10">
        <f>IF(OR(L1320="",J1320=""),"",L1320*J1320)</f>
        <v/>
      </c>
      <c r="T1320" s="10">
        <f>IF(P1320="","",StartBank+SUM(P$2:P1320))</f>
        <v/>
      </c>
    </row>
    <row r="1321">
      <c r="A1321" s="22" t="n"/>
      <c r="G1321" s="21" t="n"/>
      <c r="H1321" s="11" t="n"/>
      <c r="I1321" s="21">
        <f>IF(OR(H1321="",H1321=0),"",1/H1321)</f>
        <v/>
      </c>
      <c r="J1321" s="11">
        <f>IF(OR(G1321="",H1321=""),"",H1321*G1321-1)</f>
        <v/>
      </c>
      <c r="K1321" s="10">
        <f>IF(OR(G1321="",H1321="",G1321&lt;=1),"",IF(J1321&lt;IF(D1321="Builder",MinEdgeBuilder,IF(D1321="Player",MinEdgePlayer,MinEdgeSingle)),0,ROUND(MIN(IF(D1321="Single",KellySingle,KellyBuilder)*(StartBank+SUM(P$1:P1320))*J1321/(G1321-1),IF(D1321="Builder",CapBuilder,CapSingle)*Unit),2)))</f>
        <v/>
      </c>
      <c r="L1321" s="10" t="n"/>
      <c r="N1321" s="10" t="n"/>
      <c r="O1321" s="10">
        <f>IF(L1321="","",IF(M1321="Won",L1321*G1321,IF(M1321="Void",L1321,IF(M1321="Cash out",N(N1321),IF(M1321="Lost",0,"")))))</f>
        <v/>
      </c>
      <c r="P1321" s="10">
        <f>IF(OR(L1321="",M1321="",M1321="Pending"),"",O1321-L1321)</f>
        <v/>
      </c>
      <c r="Q1321" s="21" t="n"/>
      <c r="R1321" s="11">
        <f>IF(OR(G1321="",Q1321=""),"",G1321/Q1321-1)</f>
        <v/>
      </c>
      <c r="S1321" s="10">
        <f>IF(OR(L1321="",J1321=""),"",L1321*J1321)</f>
        <v/>
      </c>
      <c r="T1321" s="10">
        <f>IF(P1321="","",StartBank+SUM(P$2:P1321))</f>
        <v/>
      </c>
    </row>
    <row r="1322">
      <c r="A1322" s="22" t="n"/>
      <c r="G1322" s="21" t="n"/>
      <c r="H1322" s="11" t="n"/>
      <c r="I1322" s="21">
        <f>IF(OR(H1322="",H1322=0),"",1/H1322)</f>
        <v/>
      </c>
      <c r="J1322" s="11">
        <f>IF(OR(G1322="",H1322=""),"",H1322*G1322-1)</f>
        <v/>
      </c>
      <c r="K1322" s="10">
        <f>IF(OR(G1322="",H1322="",G1322&lt;=1),"",IF(J1322&lt;IF(D1322="Builder",MinEdgeBuilder,IF(D1322="Player",MinEdgePlayer,MinEdgeSingle)),0,ROUND(MIN(IF(D1322="Single",KellySingle,KellyBuilder)*(StartBank+SUM(P$1:P1321))*J1322/(G1322-1),IF(D1322="Builder",CapBuilder,CapSingle)*Unit),2)))</f>
        <v/>
      </c>
      <c r="L1322" s="10" t="n"/>
      <c r="N1322" s="10" t="n"/>
      <c r="O1322" s="10">
        <f>IF(L1322="","",IF(M1322="Won",L1322*G1322,IF(M1322="Void",L1322,IF(M1322="Cash out",N(N1322),IF(M1322="Lost",0,"")))))</f>
        <v/>
      </c>
      <c r="P1322" s="10">
        <f>IF(OR(L1322="",M1322="",M1322="Pending"),"",O1322-L1322)</f>
        <v/>
      </c>
      <c r="Q1322" s="21" t="n"/>
      <c r="R1322" s="11">
        <f>IF(OR(G1322="",Q1322=""),"",G1322/Q1322-1)</f>
        <v/>
      </c>
      <c r="S1322" s="10">
        <f>IF(OR(L1322="",J1322=""),"",L1322*J1322)</f>
        <v/>
      </c>
      <c r="T1322" s="10">
        <f>IF(P1322="","",StartBank+SUM(P$2:P1322))</f>
        <v/>
      </c>
    </row>
    <row r="1323">
      <c r="A1323" s="22" t="n"/>
      <c r="G1323" s="21" t="n"/>
      <c r="H1323" s="11" t="n"/>
      <c r="I1323" s="21">
        <f>IF(OR(H1323="",H1323=0),"",1/H1323)</f>
        <v/>
      </c>
      <c r="J1323" s="11">
        <f>IF(OR(G1323="",H1323=""),"",H1323*G1323-1)</f>
        <v/>
      </c>
      <c r="K1323" s="10">
        <f>IF(OR(G1323="",H1323="",G1323&lt;=1),"",IF(J1323&lt;IF(D1323="Builder",MinEdgeBuilder,IF(D1323="Player",MinEdgePlayer,MinEdgeSingle)),0,ROUND(MIN(IF(D1323="Single",KellySingle,KellyBuilder)*(StartBank+SUM(P$1:P1322))*J1323/(G1323-1),IF(D1323="Builder",CapBuilder,CapSingle)*Unit),2)))</f>
        <v/>
      </c>
      <c r="L1323" s="10" t="n"/>
      <c r="N1323" s="10" t="n"/>
      <c r="O1323" s="10">
        <f>IF(L1323="","",IF(M1323="Won",L1323*G1323,IF(M1323="Void",L1323,IF(M1323="Cash out",N(N1323),IF(M1323="Lost",0,"")))))</f>
        <v/>
      </c>
      <c r="P1323" s="10">
        <f>IF(OR(L1323="",M1323="",M1323="Pending"),"",O1323-L1323)</f>
        <v/>
      </c>
      <c r="Q1323" s="21" t="n"/>
      <c r="R1323" s="11">
        <f>IF(OR(G1323="",Q1323=""),"",G1323/Q1323-1)</f>
        <v/>
      </c>
      <c r="S1323" s="10">
        <f>IF(OR(L1323="",J1323=""),"",L1323*J1323)</f>
        <v/>
      </c>
      <c r="T1323" s="10">
        <f>IF(P1323="","",StartBank+SUM(P$2:P1323))</f>
        <v/>
      </c>
    </row>
    <row r="1324">
      <c r="A1324" s="22" t="n"/>
      <c r="G1324" s="21" t="n"/>
      <c r="H1324" s="11" t="n"/>
      <c r="I1324" s="21">
        <f>IF(OR(H1324="",H1324=0),"",1/H1324)</f>
        <v/>
      </c>
      <c r="J1324" s="11">
        <f>IF(OR(G1324="",H1324=""),"",H1324*G1324-1)</f>
        <v/>
      </c>
      <c r="K1324" s="10">
        <f>IF(OR(G1324="",H1324="",G1324&lt;=1),"",IF(J1324&lt;IF(D1324="Builder",MinEdgeBuilder,IF(D1324="Player",MinEdgePlayer,MinEdgeSingle)),0,ROUND(MIN(IF(D1324="Single",KellySingle,KellyBuilder)*(StartBank+SUM(P$1:P1323))*J1324/(G1324-1),IF(D1324="Builder",CapBuilder,CapSingle)*Unit),2)))</f>
        <v/>
      </c>
      <c r="L1324" s="10" t="n"/>
      <c r="N1324" s="10" t="n"/>
      <c r="O1324" s="10">
        <f>IF(L1324="","",IF(M1324="Won",L1324*G1324,IF(M1324="Void",L1324,IF(M1324="Cash out",N(N1324),IF(M1324="Lost",0,"")))))</f>
        <v/>
      </c>
      <c r="P1324" s="10">
        <f>IF(OR(L1324="",M1324="",M1324="Pending"),"",O1324-L1324)</f>
        <v/>
      </c>
      <c r="Q1324" s="21" t="n"/>
      <c r="R1324" s="11">
        <f>IF(OR(G1324="",Q1324=""),"",G1324/Q1324-1)</f>
        <v/>
      </c>
      <c r="S1324" s="10">
        <f>IF(OR(L1324="",J1324=""),"",L1324*J1324)</f>
        <v/>
      </c>
      <c r="T1324" s="10">
        <f>IF(P1324="","",StartBank+SUM(P$2:P1324))</f>
        <v/>
      </c>
    </row>
    <row r="1325">
      <c r="A1325" s="22" t="n"/>
      <c r="G1325" s="21" t="n"/>
      <c r="H1325" s="11" t="n"/>
      <c r="I1325" s="21">
        <f>IF(OR(H1325="",H1325=0),"",1/H1325)</f>
        <v/>
      </c>
      <c r="J1325" s="11">
        <f>IF(OR(G1325="",H1325=""),"",H1325*G1325-1)</f>
        <v/>
      </c>
      <c r="K1325" s="10">
        <f>IF(OR(G1325="",H1325="",G1325&lt;=1),"",IF(J1325&lt;IF(D1325="Builder",MinEdgeBuilder,IF(D1325="Player",MinEdgePlayer,MinEdgeSingle)),0,ROUND(MIN(IF(D1325="Single",KellySingle,KellyBuilder)*(StartBank+SUM(P$1:P1324))*J1325/(G1325-1),IF(D1325="Builder",CapBuilder,CapSingle)*Unit),2)))</f>
        <v/>
      </c>
      <c r="L1325" s="10" t="n"/>
      <c r="N1325" s="10" t="n"/>
      <c r="O1325" s="10">
        <f>IF(L1325="","",IF(M1325="Won",L1325*G1325,IF(M1325="Void",L1325,IF(M1325="Cash out",N(N1325),IF(M1325="Lost",0,"")))))</f>
        <v/>
      </c>
      <c r="P1325" s="10">
        <f>IF(OR(L1325="",M1325="",M1325="Pending"),"",O1325-L1325)</f>
        <v/>
      </c>
      <c r="Q1325" s="21" t="n"/>
      <c r="R1325" s="11">
        <f>IF(OR(G1325="",Q1325=""),"",G1325/Q1325-1)</f>
        <v/>
      </c>
      <c r="S1325" s="10">
        <f>IF(OR(L1325="",J1325=""),"",L1325*J1325)</f>
        <v/>
      </c>
      <c r="T1325" s="10">
        <f>IF(P1325="","",StartBank+SUM(P$2:P1325))</f>
        <v/>
      </c>
    </row>
    <row r="1326">
      <c r="A1326" s="22" t="n"/>
      <c r="G1326" s="21" t="n"/>
      <c r="H1326" s="11" t="n"/>
      <c r="I1326" s="21">
        <f>IF(OR(H1326="",H1326=0),"",1/H1326)</f>
        <v/>
      </c>
      <c r="J1326" s="11">
        <f>IF(OR(G1326="",H1326=""),"",H1326*G1326-1)</f>
        <v/>
      </c>
      <c r="K1326" s="10">
        <f>IF(OR(G1326="",H1326="",G1326&lt;=1),"",IF(J1326&lt;IF(D1326="Builder",MinEdgeBuilder,IF(D1326="Player",MinEdgePlayer,MinEdgeSingle)),0,ROUND(MIN(IF(D1326="Single",KellySingle,KellyBuilder)*(StartBank+SUM(P$1:P1325))*J1326/(G1326-1),IF(D1326="Builder",CapBuilder,CapSingle)*Unit),2)))</f>
        <v/>
      </c>
      <c r="L1326" s="10" t="n"/>
      <c r="N1326" s="10" t="n"/>
      <c r="O1326" s="10">
        <f>IF(L1326="","",IF(M1326="Won",L1326*G1326,IF(M1326="Void",L1326,IF(M1326="Cash out",N(N1326),IF(M1326="Lost",0,"")))))</f>
        <v/>
      </c>
      <c r="P1326" s="10">
        <f>IF(OR(L1326="",M1326="",M1326="Pending"),"",O1326-L1326)</f>
        <v/>
      </c>
      <c r="Q1326" s="21" t="n"/>
      <c r="R1326" s="11">
        <f>IF(OR(G1326="",Q1326=""),"",G1326/Q1326-1)</f>
        <v/>
      </c>
      <c r="S1326" s="10">
        <f>IF(OR(L1326="",J1326=""),"",L1326*J1326)</f>
        <v/>
      </c>
      <c r="T1326" s="10">
        <f>IF(P1326="","",StartBank+SUM(P$2:P1326))</f>
        <v/>
      </c>
    </row>
    <row r="1327">
      <c r="A1327" s="22" t="n"/>
      <c r="G1327" s="21" t="n"/>
      <c r="H1327" s="11" t="n"/>
      <c r="I1327" s="21">
        <f>IF(OR(H1327="",H1327=0),"",1/H1327)</f>
        <v/>
      </c>
      <c r="J1327" s="11">
        <f>IF(OR(G1327="",H1327=""),"",H1327*G1327-1)</f>
        <v/>
      </c>
      <c r="K1327" s="10">
        <f>IF(OR(G1327="",H1327="",G1327&lt;=1),"",IF(J1327&lt;IF(D1327="Builder",MinEdgeBuilder,IF(D1327="Player",MinEdgePlayer,MinEdgeSingle)),0,ROUND(MIN(IF(D1327="Single",KellySingle,KellyBuilder)*(StartBank+SUM(P$1:P1326))*J1327/(G1327-1),IF(D1327="Builder",CapBuilder,CapSingle)*Unit),2)))</f>
        <v/>
      </c>
      <c r="L1327" s="10" t="n"/>
      <c r="N1327" s="10" t="n"/>
      <c r="O1327" s="10">
        <f>IF(L1327="","",IF(M1327="Won",L1327*G1327,IF(M1327="Void",L1327,IF(M1327="Cash out",N(N1327),IF(M1327="Lost",0,"")))))</f>
        <v/>
      </c>
      <c r="P1327" s="10">
        <f>IF(OR(L1327="",M1327="",M1327="Pending"),"",O1327-L1327)</f>
        <v/>
      </c>
      <c r="Q1327" s="21" t="n"/>
      <c r="R1327" s="11">
        <f>IF(OR(G1327="",Q1327=""),"",G1327/Q1327-1)</f>
        <v/>
      </c>
      <c r="S1327" s="10">
        <f>IF(OR(L1327="",J1327=""),"",L1327*J1327)</f>
        <v/>
      </c>
      <c r="T1327" s="10">
        <f>IF(P1327="","",StartBank+SUM(P$2:P1327))</f>
        <v/>
      </c>
    </row>
    <row r="1328">
      <c r="A1328" s="22" t="n"/>
      <c r="G1328" s="21" t="n"/>
      <c r="H1328" s="11" t="n"/>
      <c r="I1328" s="21">
        <f>IF(OR(H1328="",H1328=0),"",1/H1328)</f>
        <v/>
      </c>
      <c r="J1328" s="11">
        <f>IF(OR(G1328="",H1328=""),"",H1328*G1328-1)</f>
        <v/>
      </c>
      <c r="K1328" s="10">
        <f>IF(OR(G1328="",H1328="",G1328&lt;=1),"",IF(J1328&lt;IF(D1328="Builder",MinEdgeBuilder,IF(D1328="Player",MinEdgePlayer,MinEdgeSingle)),0,ROUND(MIN(IF(D1328="Single",KellySingle,KellyBuilder)*(StartBank+SUM(P$1:P1327))*J1328/(G1328-1),IF(D1328="Builder",CapBuilder,CapSingle)*Unit),2)))</f>
        <v/>
      </c>
      <c r="L1328" s="10" t="n"/>
      <c r="N1328" s="10" t="n"/>
      <c r="O1328" s="10">
        <f>IF(L1328="","",IF(M1328="Won",L1328*G1328,IF(M1328="Void",L1328,IF(M1328="Cash out",N(N1328),IF(M1328="Lost",0,"")))))</f>
        <v/>
      </c>
      <c r="P1328" s="10">
        <f>IF(OR(L1328="",M1328="",M1328="Pending"),"",O1328-L1328)</f>
        <v/>
      </c>
      <c r="Q1328" s="21" t="n"/>
      <c r="R1328" s="11">
        <f>IF(OR(G1328="",Q1328=""),"",G1328/Q1328-1)</f>
        <v/>
      </c>
      <c r="S1328" s="10">
        <f>IF(OR(L1328="",J1328=""),"",L1328*J1328)</f>
        <v/>
      </c>
      <c r="T1328" s="10">
        <f>IF(P1328="","",StartBank+SUM(P$2:P1328))</f>
        <v/>
      </c>
    </row>
    <row r="1329">
      <c r="A1329" s="22" t="n"/>
      <c r="G1329" s="21" t="n"/>
      <c r="H1329" s="11" t="n"/>
      <c r="I1329" s="21">
        <f>IF(OR(H1329="",H1329=0),"",1/H1329)</f>
        <v/>
      </c>
      <c r="J1329" s="11">
        <f>IF(OR(G1329="",H1329=""),"",H1329*G1329-1)</f>
        <v/>
      </c>
      <c r="K1329" s="10">
        <f>IF(OR(G1329="",H1329="",G1329&lt;=1),"",IF(J1329&lt;IF(D1329="Builder",MinEdgeBuilder,IF(D1329="Player",MinEdgePlayer,MinEdgeSingle)),0,ROUND(MIN(IF(D1329="Single",KellySingle,KellyBuilder)*(StartBank+SUM(P$1:P1328))*J1329/(G1329-1),IF(D1329="Builder",CapBuilder,CapSingle)*Unit),2)))</f>
        <v/>
      </c>
      <c r="L1329" s="10" t="n"/>
      <c r="N1329" s="10" t="n"/>
      <c r="O1329" s="10">
        <f>IF(L1329="","",IF(M1329="Won",L1329*G1329,IF(M1329="Void",L1329,IF(M1329="Cash out",N(N1329),IF(M1329="Lost",0,"")))))</f>
        <v/>
      </c>
      <c r="P1329" s="10">
        <f>IF(OR(L1329="",M1329="",M1329="Pending"),"",O1329-L1329)</f>
        <v/>
      </c>
      <c r="Q1329" s="21" t="n"/>
      <c r="R1329" s="11">
        <f>IF(OR(G1329="",Q1329=""),"",G1329/Q1329-1)</f>
        <v/>
      </c>
      <c r="S1329" s="10">
        <f>IF(OR(L1329="",J1329=""),"",L1329*J1329)</f>
        <v/>
      </c>
      <c r="T1329" s="10">
        <f>IF(P1329="","",StartBank+SUM(P$2:P1329))</f>
        <v/>
      </c>
    </row>
    <row r="1330">
      <c r="A1330" s="22" t="n"/>
      <c r="G1330" s="21" t="n"/>
      <c r="H1330" s="11" t="n"/>
      <c r="I1330" s="21">
        <f>IF(OR(H1330="",H1330=0),"",1/H1330)</f>
        <v/>
      </c>
      <c r="J1330" s="11">
        <f>IF(OR(G1330="",H1330=""),"",H1330*G1330-1)</f>
        <v/>
      </c>
      <c r="K1330" s="10">
        <f>IF(OR(G1330="",H1330="",G1330&lt;=1),"",IF(J1330&lt;IF(D1330="Builder",MinEdgeBuilder,IF(D1330="Player",MinEdgePlayer,MinEdgeSingle)),0,ROUND(MIN(IF(D1330="Single",KellySingle,KellyBuilder)*(StartBank+SUM(P$1:P1329))*J1330/(G1330-1),IF(D1330="Builder",CapBuilder,CapSingle)*Unit),2)))</f>
        <v/>
      </c>
      <c r="L1330" s="10" t="n"/>
      <c r="N1330" s="10" t="n"/>
      <c r="O1330" s="10">
        <f>IF(L1330="","",IF(M1330="Won",L1330*G1330,IF(M1330="Void",L1330,IF(M1330="Cash out",N(N1330),IF(M1330="Lost",0,"")))))</f>
        <v/>
      </c>
      <c r="P1330" s="10">
        <f>IF(OR(L1330="",M1330="",M1330="Pending"),"",O1330-L1330)</f>
        <v/>
      </c>
      <c r="Q1330" s="21" t="n"/>
      <c r="R1330" s="11">
        <f>IF(OR(G1330="",Q1330=""),"",G1330/Q1330-1)</f>
        <v/>
      </c>
      <c r="S1330" s="10">
        <f>IF(OR(L1330="",J1330=""),"",L1330*J1330)</f>
        <v/>
      </c>
      <c r="T1330" s="10">
        <f>IF(P1330="","",StartBank+SUM(P$2:P1330))</f>
        <v/>
      </c>
    </row>
    <row r="1331">
      <c r="A1331" s="22" t="n"/>
      <c r="G1331" s="21" t="n"/>
      <c r="H1331" s="11" t="n"/>
      <c r="I1331" s="21">
        <f>IF(OR(H1331="",H1331=0),"",1/H1331)</f>
        <v/>
      </c>
      <c r="J1331" s="11">
        <f>IF(OR(G1331="",H1331=""),"",H1331*G1331-1)</f>
        <v/>
      </c>
      <c r="K1331" s="10">
        <f>IF(OR(G1331="",H1331="",G1331&lt;=1),"",IF(J1331&lt;IF(D1331="Builder",MinEdgeBuilder,IF(D1331="Player",MinEdgePlayer,MinEdgeSingle)),0,ROUND(MIN(IF(D1331="Single",KellySingle,KellyBuilder)*(StartBank+SUM(P$1:P1330))*J1331/(G1331-1),IF(D1331="Builder",CapBuilder,CapSingle)*Unit),2)))</f>
        <v/>
      </c>
      <c r="L1331" s="10" t="n"/>
      <c r="N1331" s="10" t="n"/>
      <c r="O1331" s="10">
        <f>IF(L1331="","",IF(M1331="Won",L1331*G1331,IF(M1331="Void",L1331,IF(M1331="Cash out",N(N1331),IF(M1331="Lost",0,"")))))</f>
        <v/>
      </c>
      <c r="P1331" s="10">
        <f>IF(OR(L1331="",M1331="",M1331="Pending"),"",O1331-L1331)</f>
        <v/>
      </c>
      <c r="Q1331" s="21" t="n"/>
      <c r="R1331" s="11">
        <f>IF(OR(G1331="",Q1331=""),"",G1331/Q1331-1)</f>
        <v/>
      </c>
      <c r="S1331" s="10">
        <f>IF(OR(L1331="",J1331=""),"",L1331*J1331)</f>
        <v/>
      </c>
      <c r="T1331" s="10">
        <f>IF(P1331="","",StartBank+SUM(P$2:P1331))</f>
        <v/>
      </c>
    </row>
    <row r="1332">
      <c r="A1332" s="22" t="n"/>
      <c r="G1332" s="21" t="n"/>
      <c r="H1332" s="11" t="n"/>
      <c r="I1332" s="21">
        <f>IF(OR(H1332="",H1332=0),"",1/H1332)</f>
        <v/>
      </c>
      <c r="J1332" s="11">
        <f>IF(OR(G1332="",H1332=""),"",H1332*G1332-1)</f>
        <v/>
      </c>
      <c r="K1332" s="10">
        <f>IF(OR(G1332="",H1332="",G1332&lt;=1),"",IF(J1332&lt;IF(D1332="Builder",MinEdgeBuilder,IF(D1332="Player",MinEdgePlayer,MinEdgeSingle)),0,ROUND(MIN(IF(D1332="Single",KellySingle,KellyBuilder)*(StartBank+SUM(P$1:P1331))*J1332/(G1332-1),IF(D1332="Builder",CapBuilder,CapSingle)*Unit),2)))</f>
        <v/>
      </c>
      <c r="L1332" s="10" t="n"/>
      <c r="N1332" s="10" t="n"/>
      <c r="O1332" s="10">
        <f>IF(L1332="","",IF(M1332="Won",L1332*G1332,IF(M1332="Void",L1332,IF(M1332="Cash out",N(N1332),IF(M1332="Lost",0,"")))))</f>
        <v/>
      </c>
      <c r="P1332" s="10">
        <f>IF(OR(L1332="",M1332="",M1332="Pending"),"",O1332-L1332)</f>
        <v/>
      </c>
      <c r="Q1332" s="21" t="n"/>
      <c r="R1332" s="11">
        <f>IF(OR(G1332="",Q1332=""),"",G1332/Q1332-1)</f>
        <v/>
      </c>
      <c r="S1332" s="10">
        <f>IF(OR(L1332="",J1332=""),"",L1332*J1332)</f>
        <v/>
      </c>
      <c r="T1332" s="10">
        <f>IF(P1332="","",StartBank+SUM(P$2:P1332))</f>
        <v/>
      </c>
    </row>
    <row r="1333">
      <c r="A1333" s="22" t="n"/>
      <c r="G1333" s="21" t="n"/>
      <c r="H1333" s="11" t="n"/>
      <c r="I1333" s="21">
        <f>IF(OR(H1333="",H1333=0),"",1/H1333)</f>
        <v/>
      </c>
      <c r="J1333" s="11">
        <f>IF(OR(G1333="",H1333=""),"",H1333*G1333-1)</f>
        <v/>
      </c>
      <c r="K1333" s="10">
        <f>IF(OR(G1333="",H1333="",G1333&lt;=1),"",IF(J1333&lt;IF(D1333="Builder",MinEdgeBuilder,IF(D1333="Player",MinEdgePlayer,MinEdgeSingle)),0,ROUND(MIN(IF(D1333="Single",KellySingle,KellyBuilder)*(StartBank+SUM(P$1:P1332))*J1333/(G1333-1),IF(D1333="Builder",CapBuilder,CapSingle)*Unit),2)))</f>
        <v/>
      </c>
      <c r="L1333" s="10" t="n"/>
      <c r="N1333" s="10" t="n"/>
      <c r="O1333" s="10">
        <f>IF(L1333="","",IF(M1333="Won",L1333*G1333,IF(M1333="Void",L1333,IF(M1333="Cash out",N(N1333),IF(M1333="Lost",0,"")))))</f>
        <v/>
      </c>
      <c r="P1333" s="10">
        <f>IF(OR(L1333="",M1333="",M1333="Pending"),"",O1333-L1333)</f>
        <v/>
      </c>
      <c r="Q1333" s="21" t="n"/>
      <c r="R1333" s="11">
        <f>IF(OR(G1333="",Q1333=""),"",G1333/Q1333-1)</f>
        <v/>
      </c>
      <c r="S1333" s="10">
        <f>IF(OR(L1333="",J1333=""),"",L1333*J1333)</f>
        <v/>
      </c>
      <c r="T1333" s="10">
        <f>IF(P1333="","",StartBank+SUM(P$2:P1333))</f>
        <v/>
      </c>
    </row>
    <row r="1334">
      <c r="A1334" s="22" t="n"/>
      <c r="G1334" s="21" t="n"/>
      <c r="H1334" s="11" t="n"/>
      <c r="I1334" s="21">
        <f>IF(OR(H1334="",H1334=0),"",1/H1334)</f>
        <v/>
      </c>
      <c r="J1334" s="11">
        <f>IF(OR(G1334="",H1334=""),"",H1334*G1334-1)</f>
        <v/>
      </c>
      <c r="K1334" s="10">
        <f>IF(OR(G1334="",H1334="",G1334&lt;=1),"",IF(J1334&lt;IF(D1334="Builder",MinEdgeBuilder,IF(D1334="Player",MinEdgePlayer,MinEdgeSingle)),0,ROUND(MIN(IF(D1334="Single",KellySingle,KellyBuilder)*(StartBank+SUM(P$1:P1333))*J1334/(G1334-1),IF(D1334="Builder",CapBuilder,CapSingle)*Unit),2)))</f>
        <v/>
      </c>
      <c r="L1334" s="10" t="n"/>
      <c r="N1334" s="10" t="n"/>
      <c r="O1334" s="10">
        <f>IF(L1334="","",IF(M1334="Won",L1334*G1334,IF(M1334="Void",L1334,IF(M1334="Cash out",N(N1334),IF(M1334="Lost",0,"")))))</f>
        <v/>
      </c>
      <c r="P1334" s="10">
        <f>IF(OR(L1334="",M1334="",M1334="Pending"),"",O1334-L1334)</f>
        <v/>
      </c>
      <c r="Q1334" s="21" t="n"/>
      <c r="R1334" s="11">
        <f>IF(OR(G1334="",Q1334=""),"",G1334/Q1334-1)</f>
        <v/>
      </c>
      <c r="S1334" s="10">
        <f>IF(OR(L1334="",J1334=""),"",L1334*J1334)</f>
        <v/>
      </c>
      <c r="T1334" s="10">
        <f>IF(P1334="","",StartBank+SUM(P$2:P1334))</f>
        <v/>
      </c>
    </row>
    <row r="1335">
      <c r="A1335" s="22" t="n"/>
      <c r="G1335" s="21" t="n"/>
      <c r="H1335" s="11" t="n"/>
      <c r="I1335" s="21">
        <f>IF(OR(H1335="",H1335=0),"",1/H1335)</f>
        <v/>
      </c>
      <c r="J1335" s="11">
        <f>IF(OR(G1335="",H1335=""),"",H1335*G1335-1)</f>
        <v/>
      </c>
      <c r="K1335" s="10">
        <f>IF(OR(G1335="",H1335="",G1335&lt;=1),"",IF(J1335&lt;IF(D1335="Builder",MinEdgeBuilder,IF(D1335="Player",MinEdgePlayer,MinEdgeSingle)),0,ROUND(MIN(IF(D1335="Single",KellySingle,KellyBuilder)*(StartBank+SUM(P$1:P1334))*J1335/(G1335-1),IF(D1335="Builder",CapBuilder,CapSingle)*Unit),2)))</f>
        <v/>
      </c>
      <c r="L1335" s="10" t="n"/>
      <c r="N1335" s="10" t="n"/>
      <c r="O1335" s="10">
        <f>IF(L1335="","",IF(M1335="Won",L1335*G1335,IF(M1335="Void",L1335,IF(M1335="Cash out",N(N1335),IF(M1335="Lost",0,"")))))</f>
        <v/>
      </c>
      <c r="P1335" s="10">
        <f>IF(OR(L1335="",M1335="",M1335="Pending"),"",O1335-L1335)</f>
        <v/>
      </c>
      <c r="Q1335" s="21" t="n"/>
      <c r="R1335" s="11">
        <f>IF(OR(G1335="",Q1335=""),"",G1335/Q1335-1)</f>
        <v/>
      </c>
      <c r="S1335" s="10">
        <f>IF(OR(L1335="",J1335=""),"",L1335*J1335)</f>
        <v/>
      </c>
      <c r="T1335" s="10">
        <f>IF(P1335="","",StartBank+SUM(P$2:P1335))</f>
        <v/>
      </c>
    </row>
    <row r="1336">
      <c r="A1336" s="22" t="n"/>
      <c r="G1336" s="21" t="n"/>
      <c r="H1336" s="11" t="n"/>
      <c r="I1336" s="21">
        <f>IF(OR(H1336="",H1336=0),"",1/H1336)</f>
        <v/>
      </c>
      <c r="J1336" s="11">
        <f>IF(OR(G1336="",H1336=""),"",H1336*G1336-1)</f>
        <v/>
      </c>
      <c r="K1336" s="10">
        <f>IF(OR(G1336="",H1336="",G1336&lt;=1),"",IF(J1336&lt;IF(D1336="Builder",MinEdgeBuilder,IF(D1336="Player",MinEdgePlayer,MinEdgeSingle)),0,ROUND(MIN(IF(D1336="Single",KellySingle,KellyBuilder)*(StartBank+SUM(P$1:P1335))*J1336/(G1336-1),IF(D1336="Builder",CapBuilder,CapSingle)*Unit),2)))</f>
        <v/>
      </c>
      <c r="L1336" s="10" t="n"/>
      <c r="N1336" s="10" t="n"/>
      <c r="O1336" s="10">
        <f>IF(L1336="","",IF(M1336="Won",L1336*G1336,IF(M1336="Void",L1336,IF(M1336="Cash out",N(N1336),IF(M1336="Lost",0,"")))))</f>
        <v/>
      </c>
      <c r="P1336" s="10">
        <f>IF(OR(L1336="",M1336="",M1336="Pending"),"",O1336-L1336)</f>
        <v/>
      </c>
      <c r="Q1336" s="21" t="n"/>
      <c r="R1336" s="11">
        <f>IF(OR(G1336="",Q1336=""),"",G1336/Q1336-1)</f>
        <v/>
      </c>
      <c r="S1336" s="10">
        <f>IF(OR(L1336="",J1336=""),"",L1336*J1336)</f>
        <v/>
      </c>
      <c r="T1336" s="10">
        <f>IF(P1336="","",StartBank+SUM(P$2:P1336))</f>
        <v/>
      </c>
    </row>
    <row r="1337">
      <c r="A1337" s="22" t="n"/>
      <c r="G1337" s="21" t="n"/>
      <c r="H1337" s="11" t="n"/>
      <c r="I1337" s="21">
        <f>IF(OR(H1337="",H1337=0),"",1/H1337)</f>
        <v/>
      </c>
      <c r="J1337" s="11">
        <f>IF(OR(G1337="",H1337=""),"",H1337*G1337-1)</f>
        <v/>
      </c>
      <c r="K1337" s="10">
        <f>IF(OR(G1337="",H1337="",G1337&lt;=1),"",IF(J1337&lt;IF(D1337="Builder",MinEdgeBuilder,IF(D1337="Player",MinEdgePlayer,MinEdgeSingle)),0,ROUND(MIN(IF(D1337="Single",KellySingle,KellyBuilder)*(StartBank+SUM(P$1:P1336))*J1337/(G1337-1),IF(D1337="Builder",CapBuilder,CapSingle)*Unit),2)))</f>
        <v/>
      </c>
      <c r="L1337" s="10" t="n"/>
      <c r="N1337" s="10" t="n"/>
      <c r="O1337" s="10">
        <f>IF(L1337="","",IF(M1337="Won",L1337*G1337,IF(M1337="Void",L1337,IF(M1337="Cash out",N(N1337),IF(M1337="Lost",0,"")))))</f>
        <v/>
      </c>
      <c r="P1337" s="10">
        <f>IF(OR(L1337="",M1337="",M1337="Pending"),"",O1337-L1337)</f>
        <v/>
      </c>
      <c r="Q1337" s="21" t="n"/>
      <c r="R1337" s="11">
        <f>IF(OR(G1337="",Q1337=""),"",G1337/Q1337-1)</f>
        <v/>
      </c>
      <c r="S1337" s="10">
        <f>IF(OR(L1337="",J1337=""),"",L1337*J1337)</f>
        <v/>
      </c>
      <c r="T1337" s="10">
        <f>IF(P1337="","",StartBank+SUM(P$2:P1337))</f>
        <v/>
      </c>
    </row>
    <row r="1338">
      <c r="A1338" s="22" t="n"/>
      <c r="G1338" s="21" t="n"/>
      <c r="H1338" s="11" t="n"/>
      <c r="I1338" s="21">
        <f>IF(OR(H1338="",H1338=0),"",1/H1338)</f>
        <v/>
      </c>
      <c r="J1338" s="11">
        <f>IF(OR(G1338="",H1338=""),"",H1338*G1338-1)</f>
        <v/>
      </c>
      <c r="K1338" s="10">
        <f>IF(OR(G1338="",H1338="",G1338&lt;=1),"",IF(J1338&lt;IF(D1338="Builder",MinEdgeBuilder,IF(D1338="Player",MinEdgePlayer,MinEdgeSingle)),0,ROUND(MIN(IF(D1338="Single",KellySingle,KellyBuilder)*(StartBank+SUM(P$1:P1337))*J1338/(G1338-1),IF(D1338="Builder",CapBuilder,CapSingle)*Unit),2)))</f>
        <v/>
      </c>
      <c r="L1338" s="10" t="n"/>
      <c r="N1338" s="10" t="n"/>
      <c r="O1338" s="10">
        <f>IF(L1338="","",IF(M1338="Won",L1338*G1338,IF(M1338="Void",L1338,IF(M1338="Cash out",N(N1338),IF(M1338="Lost",0,"")))))</f>
        <v/>
      </c>
      <c r="P1338" s="10">
        <f>IF(OR(L1338="",M1338="",M1338="Pending"),"",O1338-L1338)</f>
        <v/>
      </c>
      <c r="Q1338" s="21" t="n"/>
      <c r="R1338" s="11">
        <f>IF(OR(G1338="",Q1338=""),"",G1338/Q1338-1)</f>
        <v/>
      </c>
      <c r="S1338" s="10">
        <f>IF(OR(L1338="",J1338=""),"",L1338*J1338)</f>
        <v/>
      </c>
      <c r="T1338" s="10">
        <f>IF(P1338="","",StartBank+SUM(P$2:P1338))</f>
        <v/>
      </c>
    </row>
    <row r="1339">
      <c r="A1339" s="22" t="n"/>
      <c r="G1339" s="21" t="n"/>
      <c r="H1339" s="11" t="n"/>
      <c r="I1339" s="21">
        <f>IF(OR(H1339="",H1339=0),"",1/H1339)</f>
        <v/>
      </c>
      <c r="J1339" s="11">
        <f>IF(OR(G1339="",H1339=""),"",H1339*G1339-1)</f>
        <v/>
      </c>
      <c r="K1339" s="10">
        <f>IF(OR(G1339="",H1339="",G1339&lt;=1),"",IF(J1339&lt;IF(D1339="Builder",MinEdgeBuilder,IF(D1339="Player",MinEdgePlayer,MinEdgeSingle)),0,ROUND(MIN(IF(D1339="Single",KellySingle,KellyBuilder)*(StartBank+SUM(P$1:P1338))*J1339/(G1339-1),IF(D1339="Builder",CapBuilder,CapSingle)*Unit),2)))</f>
        <v/>
      </c>
      <c r="L1339" s="10" t="n"/>
      <c r="N1339" s="10" t="n"/>
      <c r="O1339" s="10">
        <f>IF(L1339="","",IF(M1339="Won",L1339*G1339,IF(M1339="Void",L1339,IF(M1339="Cash out",N(N1339),IF(M1339="Lost",0,"")))))</f>
        <v/>
      </c>
      <c r="P1339" s="10">
        <f>IF(OR(L1339="",M1339="",M1339="Pending"),"",O1339-L1339)</f>
        <v/>
      </c>
      <c r="Q1339" s="21" t="n"/>
      <c r="R1339" s="11">
        <f>IF(OR(G1339="",Q1339=""),"",G1339/Q1339-1)</f>
        <v/>
      </c>
      <c r="S1339" s="10">
        <f>IF(OR(L1339="",J1339=""),"",L1339*J1339)</f>
        <v/>
      </c>
      <c r="T1339" s="10">
        <f>IF(P1339="","",StartBank+SUM(P$2:P1339))</f>
        <v/>
      </c>
    </row>
    <row r="1340">
      <c r="A1340" s="22" t="n"/>
      <c r="G1340" s="21" t="n"/>
      <c r="H1340" s="11" t="n"/>
      <c r="I1340" s="21">
        <f>IF(OR(H1340="",H1340=0),"",1/H1340)</f>
        <v/>
      </c>
      <c r="J1340" s="11">
        <f>IF(OR(G1340="",H1340=""),"",H1340*G1340-1)</f>
        <v/>
      </c>
      <c r="K1340" s="10">
        <f>IF(OR(G1340="",H1340="",G1340&lt;=1),"",IF(J1340&lt;IF(D1340="Builder",MinEdgeBuilder,IF(D1340="Player",MinEdgePlayer,MinEdgeSingle)),0,ROUND(MIN(IF(D1340="Single",KellySingle,KellyBuilder)*(StartBank+SUM(P$1:P1339))*J1340/(G1340-1),IF(D1340="Builder",CapBuilder,CapSingle)*Unit),2)))</f>
        <v/>
      </c>
      <c r="L1340" s="10" t="n"/>
      <c r="N1340" s="10" t="n"/>
      <c r="O1340" s="10">
        <f>IF(L1340="","",IF(M1340="Won",L1340*G1340,IF(M1340="Void",L1340,IF(M1340="Cash out",N(N1340),IF(M1340="Lost",0,"")))))</f>
        <v/>
      </c>
      <c r="P1340" s="10">
        <f>IF(OR(L1340="",M1340="",M1340="Pending"),"",O1340-L1340)</f>
        <v/>
      </c>
      <c r="Q1340" s="21" t="n"/>
      <c r="R1340" s="11">
        <f>IF(OR(G1340="",Q1340=""),"",G1340/Q1340-1)</f>
        <v/>
      </c>
      <c r="S1340" s="10">
        <f>IF(OR(L1340="",J1340=""),"",L1340*J1340)</f>
        <v/>
      </c>
      <c r="T1340" s="10">
        <f>IF(P1340="","",StartBank+SUM(P$2:P1340))</f>
        <v/>
      </c>
    </row>
    <row r="1341">
      <c r="A1341" s="22" t="n"/>
      <c r="G1341" s="21" t="n"/>
      <c r="H1341" s="11" t="n"/>
      <c r="I1341" s="21">
        <f>IF(OR(H1341="",H1341=0),"",1/H1341)</f>
        <v/>
      </c>
      <c r="J1341" s="11">
        <f>IF(OR(G1341="",H1341=""),"",H1341*G1341-1)</f>
        <v/>
      </c>
      <c r="K1341" s="10">
        <f>IF(OR(G1341="",H1341="",G1341&lt;=1),"",IF(J1341&lt;IF(D1341="Builder",MinEdgeBuilder,IF(D1341="Player",MinEdgePlayer,MinEdgeSingle)),0,ROUND(MIN(IF(D1341="Single",KellySingle,KellyBuilder)*(StartBank+SUM(P$1:P1340))*J1341/(G1341-1),IF(D1341="Builder",CapBuilder,CapSingle)*Unit),2)))</f>
        <v/>
      </c>
      <c r="L1341" s="10" t="n"/>
      <c r="N1341" s="10" t="n"/>
      <c r="O1341" s="10">
        <f>IF(L1341="","",IF(M1341="Won",L1341*G1341,IF(M1341="Void",L1341,IF(M1341="Cash out",N(N1341),IF(M1341="Lost",0,"")))))</f>
        <v/>
      </c>
      <c r="P1341" s="10">
        <f>IF(OR(L1341="",M1341="",M1341="Pending"),"",O1341-L1341)</f>
        <v/>
      </c>
      <c r="Q1341" s="21" t="n"/>
      <c r="R1341" s="11">
        <f>IF(OR(G1341="",Q1341=""),"",G1341/Q1341-1)</f>
        <v/>
      </c>
      <c r="S1341" s="10">
        <f>IF(OR(L1341="",J1341=""),"",L1341*J1341)</f>
        <v/>
      </c>
      <c r="T1341" s="10">
        <f>IF(P1341="","",StartBank+SUM(P$2:P1341))</f>
        <v/>
      </c>
    </row>
    <row r="1342">
      <c r="A1342" s="22" t="n"/>
      <c r="G1342" s="21" t="n"/>
      <c r="H1342" s="11" t="n"/>
      <c r="I1342" s="21">
        <f>IF(OR(H1342="",H1342=0),"",1/H1342)</f>
        <v/>
      </c>
      <c r="J1342" s="11">
        <f>IF(OR(G1342="",H1342=""),"",H1342*G1342-1)</f>
        <v/>
      </c>
      <c r="K1342" s="10">
        <f>IF(OR(G1342="",H1342="",G1342&lt;=1),"",IF(J1342&lt;IF(D1342="Builder",MinEdgeBuilder,IF(D1342="Player",MinEdgePlayer,MinEdgeSingle)),0,ROUND(MIN(IF(D1342="Single",KellySingle,KellyBuilder)*(StartBank+SUM(P$1:P1341))*J1342/(G1342-1),IF(D1342="Builder",CapBuilder,CapSingle)*Unit),2)))</f>
        <v/>
      </c>
      <c r="L1342" s="10" t="n"/>
      <c r="N1342" s="10" t="n"/>
      <c r="O1342" s="10">
        <f>IF(L1342="","",IF(M1342="Won",L1342*G1342,IF(M1342="Void",L1342,IF(M1342="Cash out",N(N1342),IF(M1342="Lost",0,"")))))</f>
        <v/>
      </c>
      <c r="P1342" s="10">
        <f>IF(OR(L1342="",M1342="",M1342="Pending"),"",O1342-L1342)</f>
        <v/>
      </c>
      <c r="Q1342" s="21" t="n"/>
      <c r="R1342" s="11">
        <f>IF(OR(G1342="",Q1342=""),"",G1342/Q1342-1)</f>
        <v/>
      </c>
      <c r="S1342" s="10">
        <f>IF(OR(L1342="",J1342=""),"",L1342*J1342)</f>
        <v/>
      </c>
      <c r="T1342" s="10">
        <f>IF(P1342="","",StartBank+SUM(P$2:P1342))</f>
        <v/>
      </c>
    </row>
    <row r="1343">
      <c r="A1343" s="22" t="n"/>
      <c r="G1343" s="21" t="n"/>
      <c r="H1343" s="11" t="n"/>
      <c r="I1343" s="21">
        <f>IF(OR(H1343="",H1343=0),"",1/H1343)</f>
        <v/>
      </c>
      <c r="J1343" s="11">
        <f>IF(OR(G1343="",H1343=""),"",H1343*G1343-1)</f>
        <v/>
      </c>
      <c r="K1343" s="10">
        <f>IF(OR(G1343="",H1343="",G1343&lt;=1),"",IF(J1343&lt;IF(D1343="Builder",MinEdgeBuilder,IF(D1343="Player",MinEdgePlayer,MinEdgeSingle)),0,ROUND(MIN(IF(D1343="Single",KellySingle,KellyBuilder)*(StartBank+SUM(P$1:P1342))*J1343/(G1343-1),IF(D1343="Builder",CapBuilder,CapSingle)*Unit),2)))</f>
        <v/>
      </c>
      <c r="L1343" s="10" t="n"/>
      <c r="N1343" s="10" t="n"/>
      <c r="O1343" s="10">
        <f>IF(L1343="","",IF(M1343="Won",L1343*G1343,IF(M1343="Void",L1343,IF(M1343="Cash out",N(N1343),IF(M1343="Lost",0,"")))))</f>
        <v/>
      </c>
      <c r="P1343" s="10">
        <f>IF(OR(L1343="",M1343="",M1343="Pending"),"",O1343-L1343)</f>
        <v/>
      </c>
      <c r="Q1343" s="21" t="n"/>
      <c r="R1343" s="11">
        <f>IF(OR(G1343="",Q1343=""),"",G1343/Q1343-1)</f>
        <v/>
      </c>
      <c r="S1343" s="10">
        <f>IF(OR(L1343="",J1343=""),"",L1343*J1343)</f>
        <v/>
      </c>
      <c r="T1343" s="10">
        <f>IF(P1343="","",StartBank+SUM(P$2:P1343))</f>
        <v/>
      </c>
    </row>
    <row r="1344">
      <c r="A1344" s="22" t="n"/>
      <c r="G1344" s="21" t="n"/>
      <c r="H1344" s="11" t="n"/>
      <c r="I1344" s="21">
        <f>IF(OR(H1344="",H1344=0),"",1/H1344)</f>
        <v/>
      </c>
      <c r="J1344" s="11">
        <f>IF(OR(G1344="",H1344=""),"",H1344*G1344-1)</f>
        <v/>
      </c>
      <c r="K1344" s="10">
        <f>IF(OR(G1344="",H1344="",G1344&lt;=1),"",IF(J1344&lt;IF(D1344="Builder",MinEdgeBuilder,IF(D1344="Player",MinEdgePlayer,MinEdgeSingle)),0,ROUND(MIN(IF(D1344="Single",KellySingle,KellyBuilder)*(StartBank+SUM(P$1:P1343))*J1344/(G1344-1),IF(D1344="Builder",CapBuilder,CapSingle)*Unit),2)))</f>
        <v/>
      </c>
      <c r="L1344" s="10" t="n"/>
      <c r="N1344" s="10" t="n"/>
      <c r="O1344" s="10">
        <f>IF(L1344="","",IF(M1344="Won",L1344*G1344,IF(M1344="Void",L1344,IF(M1344="Cash out",N(N1344),IF(M1344="Lost",0,"")))))</f>
        <v/>
      </c>
      <c r="P1344" s="10">
        <f>IF(OR(L1344="",M1344="",M1344="Pending"),"",O1344-L1344)</f>
        <v/>
      </c>
      <c r="Q1344" s="21" t="n"/>
      <c r="R1344" s="11">
        <f>IF(OR(G1344="",Q1344=""),"",G1344/Q1344-1)</f>
        <v/>
      </c>
      <c r="S1344" s="10">
        <f>IF(OR(L1344="",J1344=""),"",L1344*J1344)</f>
        <v/>
      </c>
      <c r="T1344" s="10">
        <f>IF(P1344="","",StartBank+SUM(P$2:P1344))</f>
        <v/>
      </c>
    </row>
    <row r="1345">
      <c r="A1345" s="22" t="n"/>
      <c r="G1345" s="21" t="n"/>
      <c r="H1345" s="11" t="n"/>
      <c r="I1345" s="21">
        <f>IF(OR(H1345="",H1345=0),"",1/H1345)</f>
        <v/>
      </c>
      <c r="J1345" s="11">
        <f>IF(OR(G1345="",H1345=""),"",H1345*G1345-1)</f>
        <v/>
      </c>
      <c r="K1345" s="10">
        <f>IF(OR(G1345="",H1345="",G1345&lt;=1),"",IF(J1345&lt;IF(D1345="Builder",MinEdgeBuilder,IF(D1345="Player",MinEdgePlayer,MinEdgeSingle)),0,ROUND(MIN(IF(D1345="Single",KellySingle,KellyBuilder)*(StartBank+SUM(P$1:P1344))*J1345/(G1345-1),IF(D1345="Builder",CapBuilder,CapSingle)*Unit),2)))</f>
        <v/>
      </c>
      <c r="L1345" s="10" t="n"/>
      <c r="N1345" s="10" t="n"/>
      <c r="O1345" s="10">
        <f>IF(L1345="","",IF(M1345="Won",L1345*G1345,IF(M1345="Void",L1345,IF(M1345="Cash out",N(N1345),IF(M1345="Lost",0,"")))))</f>
        <v/>
      </c>
      <c r="P1345" s="10">
        <f>IF(OR(L1345="",M1345="",M1345="Pending"),"",O1345-L1345)</f>
        <v/>
      </c>
      <c r="Q1345" s="21" t="n"/>
      <c r="R1345" s="11">
        <f>IF(OR(G1345="",Q1345=""),"",G1345/Q1345-1)</f>
        <v/>
      </c>
      <c r="S1345" s="10">
        <f>IF(OR(L1345="",J1345=""),"",L1345*J1345)</f>
        <v/>
      </c>
      <c r="T1345" s="10">
        <f>IF(P1345="","",StartBank+SUM(P$2:P1345))</f>
        <v/>
      </c>
    </row>
    <row r="1346">
      <c r="A1346" s="22" t="n"/>
      <c r="G1346" s="21" t="n"/>
      <c r="H1346" s="11" t="n"/>
      <c r="I1346" s="21">
        <f>IF(OR(H1346="",H1346=0),"",1/H1346)</f>
        <v/>
      </c>
      <c r="J1346" s="11">
        <f>IF(OR(G1346="",H1346=""),"",H1346*G1346-1)</f>
        <v/>
      </c>
      <c r="K1346" s="10">
        <f>IF(OR(G1346="",H1346="",G1346&lt;=1),"",IF(J1346&lt;IF(D1346="Builder",MinEdgeBuilder,IF(D1346="Player",MinEdgePlayer,MinEdgeSingle)),0,ROUND(MIN(IF(D1346="Single",KellySingle,KellyBuilder)*(StartBank+SUM(P$1:P1345))*J1346/(G1346-1),IF(D1346="Builder",CapBuilder,CapSingle)*Unit),2)))</f>
        <v/>
      </c>
      <c r="L1346" s="10" t="n"/>
      <c r="N1346" s="10" t="n"/>
      <c r="O1346" s="10">
        <f>IF(L1346="","",IF(M1346="Won",L1346*G1346,IF(M1346="Void",L1346,IF(M1346="Cash out",N(N1346),IF(M1346="Lost",0,"")))))</f>
        <v/>
      </c>
      <c r="P1346" s="10">
        <f>IF(OR(L1346="",M1346="",M1346="Pending"),"",O1346-L1346)</f>
        <v/>
      </c>
      <c r="Q1346" s="21" t="n"/>
      <c r="R1346" s="11">
        <f>IF(OR(G1346="",Q1346=""),"",G1346/Q1346-1)</f>
        <v/>
      </c>
      <c r="S1346" s="10">
        <f>IF(OR(L1346="",J1346=""),"",L1346*J1346)</f>
        <v/>
      </c>
      <c r="T1346" s="10">
        <f>IF(P1346="","",StartBank+SUM(P$2:P1346))</f>
        <v/>
      </c>
    </row>
    <row r="1347">
      <c r="A1347" s="22" t="n"/>
      <c r="G1347" s="21" t="n"/>
      <c r="H1347" s="11" t="n"/>
      <c r="I1347" s="21">
        <f>IF(OR(H1347="",H1347=0),"",1/H1347)</f>
        <v/>
      </c>
      <c r="J1347" s="11">
        <f>IF(OR(G1347="",H1347=""),"",H1347*G1347-1)</f>
        <v/>
      </c>
      <c r="K1347" s="10">
        <f>IF(OR(G1347="",H1347="",G1347&lt;=1),"",IF(J1347&lt;IF(D1347="Builder",MinEdgeBuilder,IF(D1347="Player",MinEdgePlayer,MinEdgeSingle)),0,ROUND(MIN(IF(D1347="Single",KellySingle,KellyBuilder)*(StartBank+SUM(P$1:P1346))*J1347/(G1347-1),IF(D1347="Builder",CapBuilder,CapSingle)*Unit),2)))</f>
        <v/>
      </c>
      <c r="L1347" s="10" t="n"/>
      <c r="N1347" s="10" t="n"/>
      <c r="O1347" s="10">
        <f>IF(L1347="","",IF(M1347="Won",L1347*G1347,IF(M1347="Void",L1347,IF(M1347="Cash out",N(N1347),IF(M1347="Lost",0,"")))))</f>
        <v/>
      </c>
      <c r="P1347" s="10">
        <f>IF(OR(L1347="",M1347="",M1347="Pending"),"",O1347-L1347)</f>
        <v/>
      </c>
      <c r="Q1347" s="21" t="n"/>
      <c r="R1347" s="11">
        <f>IF(OR(G1347="",Q1347=""),"",G1347/Q1347-1)</f>
        <v/>
      </c>
      <c r="S1347" s="10">
        <f>IF(OR(L1347="",J1347=""),"",L1347*J1347)</f>
        <v/>
      </c>
      <c r="T1347" s="10">
        <f>IF(P1347="","",StartBank+SUM(P$2:P1347))</f>
        <v/>
      </c>
    </row>
    <row r="1348">
      <c r="A1348" s="22" t="n"/>
      <c r="G1348" s="21" t="n"/>
      <c r="H1348" s="11" t="n"/>
      <c r="I1348" s="21">
        <f>IF(OR(H1348="",H1348=0),"",1/H1348)</f>
        <v/>
      </c>
      <c r="J1348" s="11">
        <f>IF(OR(G1348="",H1348=""),"",H1348*G1348-1)</f>
        <v/>
      </c>
      <c r="K1348" s="10">
        <f>IF(OR(G1348="",H1348="",G1348&lt;=1),"",IF(J1348&lt;IF(D1348="Builder",MinEdgeBuilder,IF(D1348="Player",MinEdgePlayer,MinEdgeSingle)),0,ROUND(MIN(IF(D1348="Single",KellySingle,KellyBuilder)*(StartBank+SUM(P$1:P1347))*J1348/(G1348-1),IF(D1348="Builder",CapBuilder,CapSingle)*Unit),2)))</f>
        <v/>
      </c>
      <c r="L1348" s="10" t="n"/>
      <c r="N1348" s="10" t="n"/>
      <c r="O1348" s="10">
        <f>IF(L1348="","",IF(M1348="Won",L1348*G1348,IF(M1348="Void",L1348,IF(M1348="Cash out",N(N1348),IF(M1348="Lost",0,"")))))</f>
        <v/>
      </c>
      <c r="P1348" s="10">
        <f>IF(OR(L1348="",M1348="",M1348="Pending"),"",O1348-L1348)</f>
        <v/>
      </c>
      <c r="Q1348" s="21" t="n"/>
      <c r="R1348" s="11">
        <f>IF(OR(G1348="",Q1348=""),"",G1348/Q1348-1)</f>
        <v/>
      </c>
      <c r="S1348" s="10">
        <f>IF(OR(L1348="",J1348=""),"",L1348*J1348)</f>
        <v/>
      </c>
      <c r="T1348" s="10">
        <f>IF(P1348="","",StartBank+SUM(P$2:P1348))</f>
        <v/>
      </c>
    </row>
    <row r="1349">
      <c r="A1349" s="22" t="n"/>
      <c r="G1349" s="21" t="n"/>
      <c r="H1349" s="11" t="n"/>
      <c r="I1349" s="21">
        <f>IF(OR(H1349="",H1349=0),"",1/H1349)</f>
        <v/>
      </c>
      <c r="J1349" s="11">
        <f>IF(OR(G1349="",H1349=""),"",H1349*G1349-1)</f>
        <v/>
      </c>
      <c r="K1349" s="10">
        <f>IF(OR(G1349="",H1349="",G1349&lt;=1),"",IF(J1349&lt;IF(D1349="Builder",MinEdgeBuilder,IF(D1349="Player",MinEdgePlayer,MinEdgeSingle)),0,ROUND(MIN(IF(D1349="Single",KellySingle,KellyBuilder)*(StartBank+SUM(P$1:P1348))*J1349/(G1349-1),IF(D1349="Builder",CapBuilder,CapSingle)*Unit),2)))</f>
        <v/>
      </c>
      <c r="L1349" s="10" t="n"/>
      <c r="N1349" s="10" t="n"/>
      <c r="O1349" s="10">
        <f>IF(L1349="","",IF(M1349="Won",L1349*G1349,IF(M1349="Void",L1349,IF(M1349="Cash out",N(N1349),IF(M1349="Lost",0,"")))))</f>
        <v/>
      </c>
      <c r="P1349" s="10">
        <f>IF(OR(L1349="",M1349="",M1349="Pending"),"",O1349-L1349)</f>
        <v/>
      </c>
      <c r="Q1349" s="21" t="n"/>
      <c r="R1349" s="11">
        <f>IF(OR(G1349="",Q1349=""),"",G1349/Q1349-1)</f>
        <v/>
      </c>
      <c r="S1349" s="10">
        <f>IF(OR(L1349="",J1349=""),"",L1349*J1349)</f>
        <v/>
      </c>
      <c r="T1349" s="10">
        <f>IF(P1349="","",StartBank+SUM(P$2:P1349))</f>
        <v/>
      </c>
    </row>
    <row r="1350">
      <c r="A1350" s="22" t="n"/>
      <c r="G1350" s="21" t="n"/>
      <c r="H1350" s="11" t="n"/>
      <c r="I1350" s="21">
        <f>IF(OR(H1350="",H1350=0),"",1/H1350)</f>
        <v/>
      </c>
      <c r="J1350" s="11">
        <f>IF(OR(G1350="",H1350=""),"",H1350*G1350-1)</f>
        <v/>
      </c>
      <c r="K1350" s="10">
        <f>IF(OR(G1350="",H1350="",G1350&lt;=1),"",IF(J1350&lt;IF(D1350="Builder",MinEdgeBuilder,IF(D1350="Player",MinEdgePlayer,MinEdgeSingle)),0,ROUND(MIN(IF(D1350="Single",KellySingle,KellyBuilder)*(StartBank+SUM(P$1:P1349))*J1350/(G1350-1),IF(D1350="Builder",CapBuilder,CapSingle)*Unit),2)))</f>
        <v/>
      </c>
      <c r="L1350" s="10" t="n"/>
      <c r="N1350" s="10" t="n"/>
      <c r="O1350" s="10">
        <f>IF(L1350="","",IF(M1350="Won",L1350*G1350,IF(M1350="Void",L1350,IF(M1350="Cash out",N(N1350),IF(M1350="Lost",0,"")))))</f>
        <v/>
      </c>
      <c r="P1350" s="10">
        <f>IF(OR(L1350="",M1350="",M1350="Pending"),"",O1350-L1350)</f>
        <v/>
      </c>
      <c r="Q1350" s="21" t="n"/>
      <c r="R1350" s="11">
        <f>IF(OR(G1350="",Q1350=""),"",G1350/Q1350-1)</f>
        <v/>
      </c>
      <c r="S1350" s="10">
        <f>IF(OR(L1350="",J1350=""),"",L1350*J1350)</f>
        <v/>
      </c>
      <c r="T1350" s="10">
        <f>IF(P1350="","",StartBank+SUM(P$2:P1350))</f>
        <v/>
      </c>
    </row>
    <row r="1351">
      <c r="A1351" s="22" t="n"/>
      <c r="G1351" s="21" t="n"/>
      <c r="H1351" s="11" t="n"/>
      <c r="I1351" s="21">
        <f>IF(OR(H1351="",H1351=0),"",1/H1351)</f>
        <v/>
      </c>
      <c r="J1351" s="11">
        <f>IF(OR(G1351="",H1351=""),"",H1351*G1351-1)</f>
        <v/>
      </c>
      <c r="K1351" s="10">
        <f>IF(OR(G1351="",H1351="",G1351&lt;=1),"",IF(J1351&lt;IF(D1351="Builder",MinEdgeBuilder,IF(D1351="Player",MinEdgePlayer,MinEdgeSingle)),0,ROUND(MIN(IF(D1351="Single",KellySingle,KellyBuilder)*(StartBank+SUM(P$1:P1350))*J1351/(G1351-1),IF(D1351="Builder",CapBuilder,CapSingle)*Unit),2)))</f>
        <v/>
      </c>
      <c r="L1351" s="10" t="n"/>
      <c r="N1351" s="10" t="n"/>
      <c r="O1351" s="10">
        <f>IF(L1351="","",IF(M1351="Won",L1351*G1351,IF(M1351="Void",L1351,IF(M1351="Cash out",N(N1351),IF(M1351="Lost",0,"")))))</f>
        <v/>
      </c>
      <c r="P1351" s="10">
        <f>IF(OR(L1351="",M1351="",M1351="Pending"),"",O1351-L1351)</f>
        <v/>
      </c>
      <c r="Q1351" s="21" t="n"/>
      <c r="R1351" s="11">
        <f>IF(OR(G1351="",Q1351=""),"",G1351/Q1351-1)</f>
        <v/>
      </c>
      <c r="S1351" s="10">
        <f>IF(OR(L1351="",J1351=""),"",L1351*J1351)</f>
        <v/>
      </c>
      <c r="T1351" s="10">
        <f>IF(P1351="","",StartBank+SUM(P$2:P1351))</f>
        <v/>
      </c>
    </row>
    <row r="1352">
      <c r="A1352" s="22" t="n"/>
      <c r="G1352" s="21" t="n"/>
      <c r="H1352" s="11" t="n"/>
      <c r="I1352" s="21">
        <f>IF(OR(H1352="",H1352=0),"",1/H1352)</f>
        <v/>
      </c>
      <c r="J1352" s="11">
        <f>IF(OR(G1352="",H1352=""),"",H1352*G1352-1)</f>
        <v/>
      </c>
      <c r="K1352" s="10">
        <f>IF(OR(G1352="",H1352="",G1352&lt;=1),"",IF(J1352&lt;IF(D1352="Builder",MinEdgeBuilder,IF(D1352="Player",MinEdgePlayer,MinEdgeSingle)),0,ROUND(MIN(IF(D1352="Single",KellySingle,KellyBuilder)*(StartBank+SUM(P$1:P1351))*J1352/(G1352-1),IF(D1352="Builder",CapBuilder,CapSingle)*Unit),2)))</f>
        <v/>
      </c>
      <c r="L1352" s="10" t="n"/>
      <c r="N1352" s="10" t="n"/>
      <c r="O1352" s="10">
        <f>IF(L1352="","",IF(M1352="Won",L1352*G1352,IF(M1352="Void",L1352,IF(M1352="Cash out",N(N1352),IF(M1352="Lost",0,"")))))</f>
        <v/>
      </c>
      <c r="P1352" s="10">
        <f>IF(OR(L1352="",M1352="",M1352="Pending"),"",O1352-L1352)</f>
        <v/>
      </c>
      <c r="Q1352" s="21" t="n"/>
      <c r="R1352" s="11">
        <f>IF(OR(G1352="",Q1352=""),"",G1352/Q1352-1)</f>
        <v/>
      </c>
      <c r="S1352" s="10">
        <f>IF(OR(L1352="",J1352=""),"",L1352*J1352)</f>
        <v/>
      </c>
      <c r="T1352" s="10">
        <f>IF(P1352="","",StartBank+SUM(P$2:P1352))</f>
        <v/>
      </c>
    </row>
    <row r="1353">
      <c r="A1353" s="22" t="n"/>
      <c r="G1353" s="21" t="n"/>
      <c r="H1353" s="11" t="n"/>
      <c r="I1353" s="21">
        <f>IF(OR(H1353="",H1353=0),"",1/H1353)</f>
        <v/>
      </c>
      <c r="J1353" s="11">
        <f>IF(OR(G1353="",H1353=""),"",H1353*G1353-1)</f>
        <v/>
      </c>
      <c r="K1353" s="10">
        <f>IF(OR(G1353="",H1353="",G1353&lt;=1),"",IF(J1353&lt;IF(D1353="Builder",MinEdgeBuilder,IF(D1353="Player",MinEdgePlayer,MinEdgeSingle)),0,ROUND(MIN(IF(D1353="Single",KellySingle,KellyBuilder)*(StartBank+SUM(P$1:P1352))*J1353/(G1353-1),IF(D1353="Builder",CapBuilder,CapSingle)*Unit),2)))</f>
        <v/>
      </c>
      <c r="L1353" s="10" t="n"/>
      <c r="N1353" s="10" t="n"/>
      <c r="O1353" s="10">
        <f>IF(L1353="","",IF(M1353="Won",L1353*G1353,IF(M1353="Void",L1353,IF(M1353="Cash out",N(N1353),IF(M1353="Lost",0,"")))))</f>
        <v/>
      </c>
      <c r="P1353" s="10">
        <f>IF(OR(L1353="",M1353="",M1353="Pending"),"",O1353-L1353)</f>
        <v/>
      </c>
      <c r="Q1353" s="21" t="n"/>
      <c r="R1353" s="11">
        <f>IF(OR(G1353="",Q1353=""),"",G1353/Q1353-1)</f>
        <v/>
      </c>
      <c r="S1353" s="10">
        <f>IF(OR(L1353="",J1353=""),"",L1353*J1353)</f>
        <v/>
      </c>
      <c r="T1353" s="10">
        <f>IF(P1353="","",StartBank+SUM(P$2:P1353))</f>
        <v/>
      </c>
    </row>
    <row r="1354">
      <c r="A1354" s="22" t="n"/>
      <c r="G1354" s="21" t="n"/>
      <c r="H1354" s="11" t="n"/>
      <c r="I1354" s="21">
        <f>IF(OR(H1354="",H1354=0),"",1/H1354)</f>
        <v/>
      </c>
      <c r="J1354" s="11">
        <f>IF(OR(G1354="",H1354=""),"",H1354*G1354-1)</f>
        <v/>
      </c>
      <c r="K1354" s="10">
        <f>IF(OR(G1354="",H1354="",G1354&lt;=1),"",IF(J1354&lt;IF(D1354="Builder",MinEdgeBuilder,IF(D1354="Player",MinEdgePlayer,MinEdgeSingle)),0,ROUND(MIN(IF(D1354="Single",KellySingle,KellyBuilder)*(StartBank+SUM(P$1:P1353))*J1354/(G1354-1),IF(D1354="Builder",CapBuilder,CapSingle)*Unit),2)))</f>
        <v/>
      </c>
      <c r="L1354" s="10" t="n"/>
      <c r="N1354" s="10" t="n"/>
      <c r="O1354" s="10">
        <f>IF(L1354="","",IF(M1354="Won",L1354*G1354,IF(M1354="Void",L1354,IF(M1354="Cash out",N(N1354),IF(M1354="Lost",0,"")))))</f>
        <v/>
      </c>
      <c r="P1354" s="10">
        <f>IF(OR(L1354="",M1354="",M1354="Pending"),"",O1354-L1354)</f>
        <v/>
      </c>
      <c r="Q1354" s="21" t="n"/>
      <c r="R1354" s="11">
        <f>IF(OR(G1354="",Q1354=""),"",G1354/Q1354-1)</f>
        <v/>
      </c>
      <c r="S1354" s="10">
        <f>IF(OR(L1354="",J1354=""),"",L1354*J1354)</f>
        <v/>
      </c>
      <c r="T1354" s="10">
        <f>IF(P1354="","",StartBank+SUM(P$2:P1354))</f>
        <v/>
      </c>
    </row>
    <row r="1355">
      <c r="A1355" s="22" t="n"/>
      <c r="G1355" s="21" t="n"/>
      <c r="H1355" s="11" t="n"/>
      <c r="I1355" s="21">
        <f>IF(OR(H1355="",H1355=0),"",1/H1355)</f>
        <v/>
      </c>
      <c r="J1355" s="11">
        <f>IF(OR(G1355="",H1355=""),"",H1355*G1355-1)</f>
        <v/>
      </c>
      <c r="K1355" s="10">
        <f>IF(OR(G1355="",H1355="",G1355&lt;=1),"",IF(J1355&lt;IF(D1355="Builder",MinEdgeBuilder,IF(D1355="Player",MinEdgePlayer,MinEdgeSingle)),0,ROUND(MIN(IF(D1355="Single",KellySingle,KellyBuilder)*(StartBank+SUM(P$1:P1354))*J1355/(G1355-1),IF(D1355="Builder",CapBuilder,CapSingle)*Unit),2)))</f>
        <v/>
      </c>
      <c r="L1355" s="10" t="n"/>
      <c r="N1355" s="10" t="n"/>
      <c r="O1355" s="10">
        <f>IF(L1355="","",IF(M1355="Won",L1355*G1355,IF(M1355="Void",L1355,IF(M1355="Cash out",N(N1355),IF(M1355="Lost",0,"")))))</f>
        <v/>
      </c>
      <c r="P1355" s="10">
        <f>IF(OR(L1355="",M1355="",M1355="Pending"),"",O1355-L1355)</f>
        <v/>
      </c>
      <c r="Q1355" s="21" t="n"/>
      <c r="R1355" s="11">
        <f>IF(OR(G1355="",Q1355=""),"",G1355/Q1355-1)</f>
        <v/>
      </c>
      <c r="S1355" s="10">
        <f>IF(OR(L1355="",J1355=""),"",L1355*J1355)</f>
        <v/>
      </c>
      <c r="T1355" s="10">
        <f>IF(P1355="","",StartBank+SUM(P$2:P1355))</f>
        <v/>
      </c>
    </row>
    <row r="1356">
      <c r="A1356" s="22" t="n"/>
      <c r="G1356" s="21" t="n"/>
      <c r="H1356" s="11" t="n"/>
      <c r="I1356" s="21">
        <f>IF(OR(H1356="",H1356=0),"",1/H1356)</f>
        <v/>
      </c>
      <c r="J1356" s="11">
        <f>IF(OR(G1356="",H1356=""),"",H1356*G1356-1)</f>
        <v/>
      </c>
      <c r="K1356" s="10">
        <f>IF(OR(G1356="",H1356="",G1356&lt;=1),"",IF(J1356&lt;IF(D1356="Builder",MinEdgeBuilder,IF(D1356="Player",MinEdgePlayer,MinEdgeSingle)),0,ROUND(MIN(IF(D1356="Single",KellySingle,KellyBuilder)*(StartBank+SUM(P$1:P1355))*J1356/(G1356-1),IF(D1356="Builder",CapBuilder,CapSingle)*Unit),2)))</f>
        <v/>
      </c>
      <c r="L1356" s="10" t="n"/>
      <c r="N1356" s="10" t="n"/>
      <c r="O1356" s="10">
        <f>IF(L1356="","",IF(M1356="Won",L1356*G1356,IF(M1356="Void",L1356,IF(M1356="Cash out",N(N1356),IF(M1356="Lost",0,"")))))</f>
        <v/>
      </c>
      <c r="P1356" s="10">
        <f>IF(OR(L1356="",M1356="",M1356="Pending"),"",O1356-L1356)</f>
        <v/>
      </c>
      <c r="Q1356" s="21" t="n"/>
      <c r="R1356" s="11">
        <f>IF(OR(G1356="",Q1356=""),"",G1356/Q1356-1)</f>
        <v/>
      </c>
      <c r="S1356" s="10">
        <f>IF(OR(L1356="",J1356=""),"",L1356*J1356)</f>
        <v/>
      </c>
      <c r="T1356" s="10">
        <f>IF(P1356="","",StartBank+SUM(P$2:P1356))</f>
        <v/>
      </c>
    </row>
    <row r="1357">
      <c r="A1357" s="22" t="n"/>
      <c r="G1357" s="21" t="n"/>
      <c r="H1357" s="11" t="n"/>
      <c r="I1357" s="21">
        <f>IF(OR(H1357="",H1357=0),"",1/H1357)</f>
        <v/>
      </c>
      <c r="J1357" s="11">
        <f>IF(OR(G1357="",H1357=""),"",H1357*G1357-1)</f>
        <v/>
      </c>
      <c r="K1357" s="10">
        <f>IF(OR(G1357="",H1357="",G1357&lt;=1),"",IF(J1357&lt;IF(D1357="Builder",MinEdgeBuilder,IF(D1357="Player",MinEdgePlayer,MinEdgeSingle)),0,ROUND(MIN(IF(D1357="Single",KellySingle,KellyBuilder)*(StartBank+SUM(P$1:P1356))*J1357/(G1357-1),IF(D1357="Builder",CapBuilder,CapSingle)*Unit),2)))</f>
        <v/>
      </c>
      <c r="L1357" s="10" t="n"/>
      <c r="N1357" s="10" t="n"/>
      <c r="O1357" s="10">
        <f>IF(L1357="","",IF(M1357="Won",L1357*G1357,IF(M1357="Void",L1357,IF(M1357="Cash out",N(N1357),IF(M1357="Lost",0,"")))))</f>
        <v/>
      </c>
      <c r="P1357" s="10">
        <f>IF(OR(L1357="",M1357="",M1357="Pending"),"",O1357-L1357)</f>
        <v/>
      </c>
      <c r="Q1357" s="21" t="n"/>
      <c r="R1357" s="11">
        <f>IF(OR(G1357="",Q1357=""),"",G1357/Q1357-1)</f>
        <v/>
      </c>
      <c r="S1357" s="10">
        <f>IF(OR(L1357="",J1357=""),"",L1357*J1357)</f>
        <v/>
      </c>
      <c r="T1357" s="10">
        <f>IF(P1357="","",StartBank+SUM(P$2:P1357))</f>
        <v/>
      </c>
    </row>
    <row r="1358">
      <c r="A1358" s="22" t="n"/>
      <c r="G1358" s="21" t="n"/>
      <c r="H1358" s="11" t="n"/>
      <c r="I1358" s="21">
        <f>IF(OR(H1358="",H1358=0),"",1/H1358)</f>
        <v/>
      </c>
      <c r="J1358" s="11">
        <f>IF(OR(G1358="",H1358=""),"",H1358*G1358-1)</f>
        <v/>
      </c>
      <c r="K1358" s="10">
        <f>IF(OR(G1358="",H1358="",G1358&lt;=1),"",IF(J1358&lt;IF(D1358="Builder",MinEdgeBuilder,IF(D1358="Player",MinEdgePlayer,MinEdgeSingle)),0,ROUND(MIN(IF(D1358="Single",KellySingle,KellyBuilder)*(StartBank+SUM(P$1:P1357))*J1358/(G1358-1),IF(D1358="Builder",CapBuilder,CapSingle)*Unit),2)))</f>
        <v/>
      </c>
      <c r="L1358" s="10" t="n"/>
      <c r="N1358" s="10" t="n"/>
      <c r="O1358" s="10">
        <f>IF(L1358="","",IF(M1358="Won",L1358*G1358,IF(M1358="Void",L1358,IF(M1358="Cash out",N(N1358),IF(M1358="Lost",0,"")))))</f>
        <v/>
      </c>
      <c r="P1358" s="10">
        <f>IF(OR(L1358="",M1358="",M1358="Pending"),"",O1358-L1358)</f>
        <v/>
      </c>
      <c r="Q1358" s="21" t="n"/>
      <c r="R1358" s="11">
        <f>IF(OR(G1358="",Q1358=""),"",G1358/Q1358-1)</f>
        <v/>
      </c>
      <c r="S1358" s="10">
        <f>IF(OR(L1358="",J1358=""),"",L1358*J1358)</f>
        <v/>
      </c>
      <c r="T1358" s="10">
        <f>IF(P1358="","",StartBank+SUM(P$2:P1358))</f>
        <v/>
      </c>
    </row>
    <row r="1359">
      <c r="A1359" s="22" t="n"/>
      <c r="G1359" s="21" t="n"/>
      <c r="H1359" s="11" t="n"/>
      <c r="I1359" s="21">
        <f>IF(OR(H1359="",H1359=0),"",1/H1359)</f>
        <v/>
      </c>
      <c r="J1359" s="11">
        <f>IF(OR(G1359="",H1359=""),"",H1359*G1359-1)</f>
        <v/>
      </c>
      <c r="K1359" s="10">
        <f>IF(OR(G1359="",H1359="",G1359&lt;=1),"",IF(J1359&lt;IF(D1359="Builder",MinEdgeBuilder,IF(D1359="Player",MinEdgePlayer,MinEdgeSingle)),0,ROUND(MIN(IF(D1359="Single",KellySingle,KellyBuilder)*(StartBank+SUM(P$1:P1358))*J1359/(G1359-1),IF(D1359="Builder",CapBuilder,CapSingle)*Unit),2)))</f>
        <v/>
      </c>
      <c r="L1359" s="10" t="n"/>
      <c r="N1359" s="10" t="n"/>
      <c r="O1359" s="10">
        <f>IF(L1359="","",IF(M1359="Won",L1359*G1359,IF(M1359="Void",L1359,IF(M1359="Cash out",N(N1359),IF(M1359="Lost",0,"")))))</f>
        <v/>
      </c>
      <c r="P1359" s="10">
        <f>IF(OR(L1359="",M1359="",M1359="Pending"),"",O1359-L1359)</f>
        <v/>
      </c>
      <c r="Q1359" s="21" t="n"/>
      <c r="R1359" s="11">
        <f>IF(OR(G1359="",Q1359=""),"",G1359/Q1359-1)</f>
        <v/>
      </c>
      <c r="S1359" s="10">
        <f>IF(OR(L1359="",J1359=""),"",L1359*J1359)</f>
        <v/>
      </c>
      <c r="T1359" s="10">
        <f>IF(P1359="","",StartBank+SUM(P$2:P1359))</f>
        <v/>
      </c>
    </row>
    <row r="1360">
      <c r="A1360" s="22" t="n"/>
      <c r="G1360" s="21" t="n"/>
      <c r="H1360" s="11" t="n"/>
      <c r="I1360" s="21">
        <f>IF(OR(H1360="",H1360=0),"",1/H1360)</f>
        <v/>
      </c>
      <c r="J1360" s="11">
        <f>IF(OR(G1360="",H1360=""),"",H1360*G1360-1)</f>
        <v/>
      </c>
      <c r="K1360" s="10">
        <f>IF(OR(G1360="",H1360="",G1360&lt;=1),"",IF(J1360&lt;IF(D1360="Builder",MinEdgeBuilder,IF(D1360="Player",MinEdgePlayer,MinEdgeSingle)),0,ROUND(MIN(IF(D1360="Single",KellySingle,KellyBuilder)*(StartBank+SUM(P$1:P1359))*J1360/(G1360-1),IF(D1360="Builder",CapBuilder,CapSingle)*Unit),2)))</f>
        <v/>
      </c>
      <c r="L1360" s="10" t="n"/>
      <c r="N1360" s="10" t="n"/>
      <c r="O1360" s="10">
        <f>IF(L1360="","",IF(M1360="Won",L1360*G1360,IF(M1360="Void",L1360,IF(M1360="Cash out",N(N1360),IF(M1360="Lost",0,"")))))</f>
        <v/>
      </c>
      <c r="P1360" s="10">
        <f>IF(OR(L1360="",M1360="",M1360="Pending"),"",O1360-L1360)</f>
        <v/>
      </c>
      <c r="Q1360" s="21" t="n"/>
      <c r="R1360" s="11">
        <f>IF(OR(G1360="",Q1360=""),"",G1360/Q1360-1)</f>
        <v/>
      </c>
      <c r="S1360" s="10">
        <f>IF(OR(L1360="",J1360=""),"",L1360*J1360)</f>
        <v/>
      </c>
      <c r="T1360" s="10">
        <f>IF(P1360="","",StartBank+SUM(P$2:P1360))</f>
        <v/>
      </c>
    </row>
    <row r="1361">
      <c r="A1361" s="22" t="n"/>
      <c r="G1361" s="21" t="n"/>
      <c r="H1361" s="11" t="n"/>
      <c r="I1361" s="21">
        <f>IF(OR(H1361="",H1361=0),"",1/H1361)</f>
        <v/>
      </c>
      <c r="J1361" s="11">
        <f>IF(OR(G1361="",H1361=""),"",H1361*G1361-1)</f>
        <v/>
      </c>
      <c r="K1361" s="10">
        <f>IF(OR(G1361="",H1361="",G1361&lt;=1),"",IF(J1361&lt;IF(D1361="Builder",MinEdgeBuilder,IF(D1361="Player",MinEdgePlayer,MinEdgeSingle)),0,ROUND(MIN(IF(D1361="Single",KellySingle,KellyBuilder)*(StartBank+SUM(P$1:P1360))*J1361/(G1361-1),IF(D1361="Builder",CapBuilder,CapSingle)*Unit),2)))</f>
        <v/>
      </c>
      <c r="L1361" s="10" t="n"/>
      <c r="N1361" s="10" t="n"/>
      <c r="O1361" s="10">
        <f>IF(L1361="","",IF(M1361="Won",L1361*G1361,IF(M1361="Void",L1361,IF(M1361="Cash out",N(N1361),IF(M1361="Lost",0,"")))))</f>
        <v/>
      </c>
      <c r="P1361" s="10">
        <f>IF(OR(L1361="",M1361="",M1361="Pending"),"",O1361-L1361)</f>
        <v/>
      </c>
      <c r="Q1361" s="21" t="n"/>
      <c r="R1361" s="11">
        <f>IF(OR(G1361="",Q1361=""),"",G1361/Q1361-1)</f>
        <v/>
      </c>
      <c r="S1361" s="10">
        <f>IF(OR(L1361="",J1361=""),"",L1361*J1361)</f>
        <v/>
      </c>
      <c r="T1361" s="10">
        <f>IF(P1361="","",StartBank+SUM(P$2:P1361))</f>
        <v/>
      </c>
    </row>
    <row r="1362">
      <c r="A1362" s="22" t="n"/>
      <c r="G1362" s="21" t="n"/>
      <c r="H1362" s="11" t="n"/>
      <c r="I1362" s="21">
        <f>IF(OR(H1362="",H1362=0),"",1/H1362)</f>
        <v/>
      </c>
      <c r="J1362" s="11">
        <f>IF(OR(G1362="",H1362=""),"",H1362*G1362-1)</f>
        <v/>
      </c>
      <c r="K1362" s="10">
        <f>IF(OR(G1362="",H1362="",G1362&lt;=1),"",IF(J1362&lt;IF(D1362="Builder",MinEdgeBuilder,IF(D1362="Player",MinEdgePlayer,MinEdgeSingle)),0,ROUND(MIN(IF(D1362="Single",KellySingle,KellyBuilder)*(StartBank+SUM(P$1:P1361))*J1362/(G1362-1),IF(D1362="Builder",CapBuilder,CapSingle)*Unit),2)))</f>
        <v/>
      </c>
      <c r="L1362" s="10" t="n"/>
      <c r="N1362" s="10" t="n"/>
      <c r="O1362" s="10">
        <f>IF(L1362="","",IF(M1362="Won",L1362*G1362,IF(M1362="Void",L1362,IF(M1362="Cash out",N(N1362),IF(M1362="Lost",0,"")))))</f>
        <v/>
      </c>
      <c r="P1362" s="10">
        <f>IF(OR(L1362="",M1362="",M1362="Pending"),"",O1362-L1362)</f>
        <v/>
      </c>
      <c r="Q1362" s="21" t="n"/>
      <c r="R1362" s="11">
        <f>IF(OR(G1362="",Q1362=""),"",G1362/Q1362-1)</f>
        <v/>
      </c>
      <c r="S1362" s="10">
        <f>IF(OR(L1362="",J1362=""),"",L1362*J1362)</f>
        <v/>
      </c>
      <c r="T1362" s="10">
        <f>IF(P1362="","",StartBank+SUM(P$2:P1362))</f>
        <v/>
      </c>
    </row>
    <row r="1363">
      <c r="A1363" s="22" t="n"/>
      <c r="G1363" s="21" t="n"/>
      <c r="H1363" s="11" t="n"/>
      <c r="I1363" s="21">
        <f>IF(OR(H1363="",H1363=0),"",1/H1363)</f>
        <v/>
      </c>
      <c r="J1363" s="11">
        <f>IF(OR(G1363="",H1363=""),"",H1363*G1363-1)</f>
        <v/>
      </c>
      <c r="K1363" s="10">
        <f>IF(OR(G1363="",H1363="",G1363&lt;=1),"",IF(J1363&lt;IF(D1363="Builder",MinEdgeBuilder,IF(D1363="Player",MinEdgePlayer,MinEdgeSingle)),0,ROUND(MIN(IF(D1363="Single",KellySingle,KellyBuilder)*(StartBank+SUM(P$1:P1362))*J1363/(G1363-1),IF(D1363="Builder",CapBuilder,CapSingle)*Unit),2)))</f>
        <v/>
      </c>
      <c r="L1363" s="10" t="n"/>
      <c r="N1363" s="10" t="n"/>
      <c r="O1363" s="10">
        <f>IF(L1363="","",IF(M1363="Won",L1363*G1363,IF(M1363="Void",L1363,IF(M1363="Cash out",N(N1363),IF(M1363="Lost",0,"")))))</f>
        <v/>
      </c>
      <c r="P1363" s="10">
        <f>IF(OR(L1363="",M1363="",M1363="Pending"),"",O1363-L1363)</f>
        <v/>
      </c>
      <c r="Q1363" s="21" t="n"/>
      <c r="R1363" s="11">
        <f>IF(OR(G1363="",Q1363=""),"",G1363/Q1363-1)</f>
        <v/>
      </c>
      <c r="S1363" s="10">
        <f>IF(OR(L1363="",J1363=""),"",L1363*J1363)</f>
        <v/>
      </c>
      <c r="T1363" s="10">
        <f>IF(P1363="","",StartBank+SUM(P$2:P1363))</f>
        <v/>
      </c>
    </row>
    <row r="1364">
      <c r="A1364" s="22" t="n"/>
      <c r="G1364" s="21" t="n"/>
      <c r="H1364" s="11" t="n"/>
      <c r="I1364" s="21">
        <f>IF(OR(H1364="",H1364=0),"",1/H1364)</f>
        <v/>
      </c>
      <c r="J1364" s="11">
        <f>IF(OR(G1364="",H1364=""),"",H1364*G1364-1)</f>
        <v/>
      </c>
      <c r="K1364" s="10">
        <f>IF(OR(G1364="",H1364="",G1364&lt;=1),"",IF(J1364&lt;IF(D1364="Builder",MinEdgeBuilder,IF(D1364="Player",MinEdgePlayer,MinEdgeSingle)),0,ROUND(MIN(IF(D1364="Single",KellySingle,KellyBuilder)*(StartBank+SUM(P$1:P1363))*J1364/(G1364-1),IF(D1364="Builder",CapBuilder,CapSingle)*Unit),2)))</f>
        <v/>
      </c>
      <c r="L1364" s="10" t="n"/>
      <c r="N1364" s="10" t="n"/>
      <c r="O1364" s="10">
        <f>IF(L1364="","",IF(M1364="Won",L1364*G1364,IF(M1364="Void",L1364,IF(M1364="Cash out",N(N1364),IF(M1364="Lost",0,"")))))</f>
        <v/>
      </c>
      <c r="P1364" s="10">
        <f>IF(OR(L1364="",M1364="",M1364="Pending"),"",O1364-L1364)</f>
        <v/>
      </c>
      <c r="Q1364" s="21" t="n"/>
      <c r="R1364" s="11">
        <f>IF(OR(G1364="",Q1364=""),"",G1364/Q1364-1)</f>
        <v/>
      </c>
      <c r="S1364" s="10">
        <f>IF(OR(L1364="",J1364=""),"",L1364*J1364)</f>
        <v/>
      </c>
      <c r="T1364" s="10">
        <f>IF(P1364="","",StartBank+SUM(P$2:P1364))</f>
        <v/>
      </c>
    </row>
    <row r="1365">
      <c r="A1365" s="22" t="n"/>
      <c r="G1365" s="21" t="n"/>
      <c r="H1365" s="11" t="n"/>
      <c r="I1365" s="21">
        <f>IF(OR(H1365="",H1365=0),"",1/H1365)</f>
        <v/>
      </c>
      <c r="J1365" s="11">
        <f>IF(OR(G1365="",H1365=""),"",H1365*G1365-1)</f>
        <v/>
      </c>
      <c r="K1365" s="10">
        <f>IF(OR(G1365="",H1365="",G1365&lt;=1),"",IF(J1365&lt;IF(D1365="Builder",MinEdgeBuilder,IF(D1365="Player",MinEdgePlayer,MinEdgeSingle)),0,ROUND(MIN(IF(D1365="Single",KellySingle,KellyBuilder)*(StartBank+SUM(P$1:P1364))*J1365/(G1365-1),IF(D1365="Builder",CapBuilder,CapSingle)*Unit),2)))</f>
        <v/>
      </c>
      <c r="L1365" s="10" t="n"/>
      <c r="N1365" s="10" t="n"/>
      <c r="O1365" s="10">
        <f>IF(L1365="","",IF(M1365="Won",L1365*G1365,IF(M1365="Void",L1365,IF(M1365="Cash out",N(N1365),IF(M1365="Lost",0,"")))))</f>
        <v/>
      </c>
      <c r="P1365" s="10">
        <f>IF(OR(L1365="",M1365="",M1365="Pending"),"",O1365-L1365)</f>
        <v/>
      </c>
      <c r="Q1365" s="21" t="n"/>
      <c r="R1365" s="11">
        <f>IF(OR(G1365="",Q1365=""),"",G1365/Q1365-1)</f>
        <v/>
      </c>
      <c r="S1365" s="10">
        <f>IF(OR(L1365="",J1365=""),"",L1365*J1365)</f>
        <v/>
      </c>
      <c r="T1365" s="10">
        <f>IF(P1365="","",StartBank+SUM(P$2:P1365))</f>
        <v/>
      </c>
    </row>
    <row r="1366">
      <c r="A1366" s="22" t="n"/>
      <c r="G1366" s="21" t="n"/>
      <c r="H1366" s="11" t="n"/>
      <c r="I1366" s="21">
        <f>IF(OR(H1366="",H1366=0),"",1/H1366)</f>
        <v/>
      </c>
      <c r="J1366" s="11">
        <f>IF(OR(G1366="",H1366=""),"",H1366*G1366-1)</f>
        <v/>
      </c>
      <c r="K1366" s="10">
        <f>IF(OR(G1366="",H1366="",G1366&lt;=1),"",IF(J1366&lt;IF(D1366="Builder",MinEdgeBuilder,IF(D1366="Player",MinEdgePlayer,MinEdgeSingle)),0,ROUND(MIN(IF(D1366="Single",KellySingle,KellyBuilder)*(StartBank+SUM(P$1:P1365))*J1366/(G1366-1),IF(D1366="Builder",CapBuilder,CapSingle)*Unit),2)))</f>
        <v/>
      </c>
      <c r="L1366" s="10" t="n"/>
      <c r="N1366" s="10" t="n"/>
      <c r="O1366" s="10">
        <f>IF(L1366="","",IF(M1366="Won",L1366*G1366,IF(M1366="Void",L1366,IF(M1366="Cash out",N(N1366),IF(M1366="Lost",0,"")))))</f>
        <v/>
      </c>
      <c r="P1366" s="10">
        <f>IF(OR(L1366="",M1366="",M1366="Pending"),"",O1366-L1366)</f>
        <v/>
      </c>
      <c r="Q1366" s="21" t="n"/>
      <c r="R1366" s="11">
        <f>IF(OR(G1366="",Q1366=""),"",G1366/Q1366-1)</f>
        <v/>
      </c>
      <c r="S1366" s="10">
        <f>IF(OR(L1366="",J1366=""),"",L1366*J1366)</f>
        <v/>
      </c>
      <c r="T1366" s="10">
        <f>IF(P1366="","",StartBank+SUM(P$2:P1366))</f>
        <v/>
      </c>
    </row>
    <row r="1367">
      <c r="A1367" s="22" t="n"/>
      <c r="G1367" s="21" t="n"/>
      <c r="H1367" s="11" t="n"/>
      <c r="I1367" s="21">
        <f>IF(OR(H1367="",H1367=0),"",1/H1367)</f>
        <v/>
      </c>
      <c r="J1367" s="11">
        <f>IF(OR(G1367="",H1367=""),"",H1367*G1367-1)</f>
        <v/>
      </c>
      <c r="K1367" s="10">
        <f>IF(OR(G1367="",H1367="",G1367&lt;=1),"",IF(J1367&lt;IF(D1367="Builder",MinEdgeBuilder,IF(D1367="Player",MinEdgePlayer,MinEdgeSingle)),0,ROUND(MIN(IF(D1367="Single",KellySingle,KellyBuilder)*(StartBank+SUM(P$1:P1366))*J1367/(G1367-1),IF(D1367="Builder",CapBuilder,CapSingle)*Unit),2)))</f>
        <v/>
      </c>
      <c r="L1367" s="10" t="n"/>
      <c r="N1367" s="10" t="n"/>
      <c r="O1367" s="10">
        <f>IF(L1367="","",IF(M1367="Won",L1367*G1367,IF(M1367="Void",L1367,IF(M1367="Cash out",N(N1367),IF(M1367="Lost",0,"")))))</f>
        <v/>
      </c>
      <c r="P1367" s="10">
        <f>IF(OR(L1367="",M1367="",M1367="Pending"),"",O1367-L1367)</f>
        <v/>
      </c>
      <c r="Q1367" s="21" t="n"/>
      <c r="R1367" s="11">
        <f>IF(OR(G1367="",Q1367=""),"",G1367/Q1367-1)</f>
        <v/>
      </c>
      <c r="S1367" s="10">
        <f>IF(OR(L1367="",J1367=""),"",L1367*J1367)</f>
        <v/>
      </c>
      <c r="T1367" s="10">
        <f>IF(P1367="","",StartBank+SUM(P$2:P1367))</f>
        <v/>
      </c>
    </row>
    <row r="1368">
      <c r="A1368" s="22" t="n"/>
      <c r="G1368" s="21" t="n"/>
      <c r="H1368" s="11" t="n"/>
      <c r="I1368" s="21">
        <f>IF(OR(H1368="",H1368=0),"",1/H1368)</f>
        <v/>
      </c>
      <c r="J1368" s="11">
        <f>IF(OR(G1368="",H1368=""),"",H1368*G1368-1)</f>
        <v/>
      </c>
      <c r="K1368" s="10">
        <f>IF(OR(G1368="",H1368="",G1368&lt;=1),"",IF(J1368&lt;IF(D1368="Builder",MinEdgeBuilder,IF(D1368="Player",MinEdgePlayer,MinEdgeSingle)),0,ROUND(MIN(IF(D1368="Single",KellySingle,KellyBuilder)*(StartBank+SUM(P$1:P1367))*J1368/(G1368-1),IF(D1368="Builder",CapBuilder,CapSingle)*Unit),2)))</f>
        <v/>
      </c>
      <c r="L1368" s="10" t="n"/>
      <c r="N1368" s="10" t="n"/>
      <c r="O1368" s="10">
        <f>IF(L1368="","",IF(M1368="Won",L1368*G1368,IF(M1368="Void",L1368,IF(M1368="Cash out",N(N1368),IF(M1368="Lost",0,"")))))</f>
        <v/>
      </c>
      <c r="P1368" s="10">
        <f>IF(OR(L1368="",M1368="",M1368="Pending"),"",O1368-L1368)</f>
        <v/>
      </c>
      <c r="Q1368" s="21" t="n"/>
      <c r="R1368" s="11">
        <f>IF(OR(G1368="",Q1368=""),"",G1368/Q1368-1)</f>
        <v/>
      </c>
      <c r="S1368" s="10">
        <f>IF(OR(L1368="",J1368=""),"",L1368*J1368)</f>
        <v/>
      </c>
      <c r="T1368" s="10">
        <f>IF(P1368="","",StartBank+SUM(P$2:P1368))</f>
        <v/>
      </c>
    </row>
    <row r="1369">
      <c r="A1369" s="22" t="n"/>
      <c r="G1369" s="21" t="n"/>
      <c r="H1369" s="11" t="n"/>
      <c r="I1369" s="21">
        <f>IF(OR(H1369="",H1369=0),"",1/H1369)</f>
        <v/>
      </c>
      <c r="J1369" s="11">
        <f>IF(OR(G1369="",H1369=""),"",H1369*G1369-1)</f>
        <v/>
      </c>
      <c r="K1369" s="10">
        <f>IF(OR(G1369="",H1369="",G1369&lt;=1),"",IF(J1369&lt;IF(D1369="Builder",MinEdgeBuilder,IF(D1369="Player",MinEdgePlayer,MinEdgeSingle)),0,ROUND(MIN(IF(D1369="Single",KellySingle,KellyBuilder)*(StartBank+SUM(P$1:P1368))*J1369/(G1369-1),IF(D1369="Builder",CapBuilder,CapSingle)*Unit),2)))</f>
        <v/>
      </c>
      <c r="L1369" s="10" t="n"/>
      <c r="N1369" s="10" t="n"/>
      <c r="O1369" s="10">
        <f>IF(L1369="","",IF(M1369="Won",L1369*G1369,IF(M1369="Void",L1369,IF(M1369="Cash out",N(N1369),IF(M1369="Lost",0,"")))))</f>
        <v/>
      </c>
      <c r="P1369" s="10">
        <f>IF(OR(L1369="",M1369="",M1369="Pending"),"",O1369-L1369)</f>
        <v/>
      </c>
      <c r="Q1369" s="21" t="n"/>
      <c r="R1369" s="11">
        <f>IF(OR(G1369="",Q1369=""),"",G1369/Q1369-1)</f>
        <v/>
      </c>
      <c r="S1369" s="10">
        <f>IF(OR(L1369="",J1369=""),"",L1369*J1369)</f>
        <v/>
      </c>
      <c r="T1369" s="10">
        <f>IF(P1369="","",StartBank+SUM(P$2:P1369))</f>
        <v/>
      </c>
    </row>
    <row r="1370">
      <c r="A1370" s="22" t="n"/>
      <c r="G1370" s="21" t="n"/>
      <c r="H1370" s="11" t="n"/>
      <c r="I1370" s="21">
        <f>IF(OR(H1370="",H1370=0),"",1/H1370)</f>
        <v/>
      </c>
      <c r="J1370" s="11">
        <f>IF(OR(G1370="",H1370=""),"",H1370*G1370-1)</f>
        <v/>
      </c>
      <c r="K1370" s="10">
        <f>IF(OR(G1370="",H1370="",G1370&lt;=1),"",IF(J1370&lt;IF(D1370="Builder",MinEdgeBuilder,IF(D1370="Player",MinEdgePlayer,MinEdgeSingle)),0,ROUND(MIN(IF(D1370="Single",KellySingle,KellyBuilder)*(StartBank+SUM(P$1:P1369))*J1370/(G1370-1),IF(D1370="Builder",CapBuilder,CapSingle)*Unit),2)))</f>
        <v/>
      </c>
      <c r="L1370" s="10" t="n"/>
      <c r="N1370" s="10" t="n"/>
      <c r="O1370" s="10">
        <f>IF(L1370="","",IF(M1370="Won",L1370*G1370,IF(M1370="Void",L1370,IF(M1370="Cash out",N(N1370),IF(M1370="Lost",0,"")))))</f>
        <v/>
      </c>
      <c r="P1370" s="10">
        <f>IF(OR(L1370="",M1370="",M1370="Pending"),"",O1370-L1370)</f>
        <v/>
      </c>
      <c r="Q1370" s="21" t="n"/>
      <c r="R1370" s="11">
        <f>IF(OR(G1370="",Q1370=""),"",G1370/Q1370-1)</f>
        <v/>
      </c>
      <c r="S1370" s="10">
        <f>IF(OR(L1370="",J1370=""),"",L1370*J1370)</f>
        <v/>
      </c>
      <c r="T1370" s="10">
        <f>IF(P1370="","",StartBank+SUM(P$2:P1370))</f>
        <v/>
      </c>
    </row>
    <row r="1371">
      <c r="A1371" s="22" t="n"/>
      <c r="G1371" s="21" t="n"/>
      <c r="H1371" s="11" t="n"/>
      <c r="I1371" s="21">
        <f>IF(OR(H1371="",H1371=0),"",1/H1371)</f>
        <v/>
      </c>
      <c r="J1371" s="11">
        <f>IF(OR(G1371="",H1371=""),"",H1371*G1371-1)</f>
        <v/>
      </c>
      <c r="K1371" s="10">
        <f>IF(OR(G1371="",H1371="",G1371&lt;=1),"",IF(J1371&lt;IF(D1371="Builder",MinEdgeBuilder,IF(D1371="Player",MinEdgePlayer,MinEdgeSingle)),0,ROUND(MIN(IF(D1371="Single",KellySingle,KellyBuilder)*(StartBank+SUM(P$1:P1370))*J1371/(G1371-1),IF(D1371="Builder",CapBuilder,CapSingle)*Unit),2)))</f>
        <v/>
      </c>
      <c r="L1371" s="10" t="n"/>
      <c r="N1371" s="10" t="n"/>
      <c r="O1371" s="10">
        <f>IF(L1371="","",IF(M1371="Won",L1371*G1371,IF(M1371="Void",L1371,IF(M1371="Cash out",N(N1371),IF(M1371="Lost",0,"")))))</f>
        <v/>
      </c>
      <c r="P1371" s="10">
        <f>IF(OR(L1371="",M1371="",M1371="Pending"),"",O1371-L1371)</f>
        <v/>
      </c>
      <c r="Q1371" s="21" t="n"/>
      <c r="R1371" s="11">
        <f>IF(OR(G1371="",Q1371=""),"",G1371/Q1371-1)</f>
        <v/>
      </c>
      <c r="S1371" s="10">
        <f>IF(OR(L1371="",J1371=""),"",L1371*J1371)</f>
        <v/>
      </c>
      <c r="T1371" s="10">
        <f>IF(P1371="","",StartBank+SUM(P$2:P1371))</f>
        <v/>
      </c>
    </row>
    <row r="1372">
      <c r="A1372" s="22" t="n"/>
      <c r="G1372" s="21" t="n"/>
      <c r="H1372" s="11" t="n"/>
      <c r="I1372" s="21">
        <f>IF(OR(H1372="",H1372=0),"",1/H1372)</f>
        <v/>
      </c>
      <c r="J1372" s="11">
        <f>IF(OR(G1372="",H1372=""),"",H1372*G1372-1)</f>
        <v/>
      </c>
      <c r="K1372" s="10">
        <f>IF(OR(G1372="",H1372="",G1372&lt;=1),"",IF(J1372&lt;IF(D1372="Builder",MinEdgeBuilder,IF(D1372="Player",MinEdgePlayer,MinEdgeSingle)),0,ROUND(MIN(IF(D1372="Single",KellySingle,KellyBuilder)*(StartBank+SUM(P$1:P1371))*J1372/(G1372-1),IF(D1372="Builder",CapBuilder,CapSingle)*Unit),2)))</f>
        <v/>
      </c>
      <c r="L1372" s="10" t="n"/>
      <c r="N1372" s="10" t="n"/>
      <c r="O1372" s="10">
        <f>IF(L1372="","",IF(M1372="Won",L1372*G1372,IF(M1372="Void",L1372,IF(M1372="Cash out",N(N1372),IF(M1372="Lost",0,"")))))</f>
        <v/>
      </c>
      <c r="P1372" s="10">
        <f>IF(OR(L1372="",M1372="",M1372="Pending"),"",O1372-L1372)</f>
        <v/>
      </c>
      <c r="Q1372" s="21" t="n"/>
      <c r="R1372" s="11">
        <f>IF(OR(G1372="",Q1372=""),"",G1372/Q1372-1)</f>
        <v/>
      </c>
      <c r="S1372" s="10">
        <f>IF(OR(L1372="",J1372=""),"",L1372*J1372)</f>
        <v/>
      </c>
      <c r="T1372" s="10">
        <f>IF(P1372="","",StartBank+SUM(P$2:P1372))</f>
        <v/>
      </c>
    </row>
    <row r="1373">
      <c r="A1373" s="22" t="n"/>
      <c r="G1373" s="21" t="n"/>
      <c r="H1373" s="11" t="n"/>
      <c r="I1373" s="21">
        <f>IF(OR(H1373="",H1373=0),"",1/H1373)</f>
        <v/>
      </c>
      <c r="J1373" s="11">
        <f>IF(OR(G1373="",H1373=""),"",H1373*G1373-1)</f>
        <v/>
      </c>
      <c r="K1373" s="10">
        <f>IF(OR(G1373="",H1373="",G1373&lt;=1),"",IF(J1373&lt;IF(D1373="Builder",MinEdgeBuilder,IF(D1373="Player",MinEdgePlayer,MinEdgeSingle)),0,ROUND(MIN(IF(D1373="Single",KellySingle,KellyBuilder)*(StartBank+SUM(P$1:P1372))*J1373/(G1373-1),IF(D1373="Builder",CapBuilder,CapSingle)*Unit),2)))</f>
        <v/>
      </c>
      <c r="L1373" s="10" t="n"/>
      <c r="N1373" s="10" t="n"/>
      <c r="O1373" s="10">
        <f>IF(L1373="","",IF(M1373="Won",L1373*G1373,IF(M1373="Void",L1373,IF(M1373="Cash out",N(N1373),IF(M1373="Lost",0,"")))))</f>
        <v/>
      </c>
      <c r="P1373" s="10">
        <f>IF(OR(L1373="",M1373="",M1373="Pending"),"",O1373-L1373)</f>
        <v/>
      </c>
      <c r="Q1373" s="21" t="n"/>
      <c r="R1373" s="11">
        <f>IF(OR(G1373="",Q1373=""),"",G1373/Q1373-1)</f>
        <v/>
      </c>
      <c r="S1373" s="10">
        <f>IF(OR(L1373="",J1373=""),"",L1373*J1373)</f>
        <v/>
      </c>
      <c r="T1373" s="10">
        <f>IF(P1373="","",StartBank+SUM(P$2:P1373))</f>
        <v/>
      </c>
    </row>
    <row r="1374">
      <c r="A1374" s="22" t="n"/>
      <c r="G1374" s="21" t="n"/>
      <c r="H1374" s="11" t="n"/>
      <c r="I1374" s="21">
        <f>IF(OR(H1374="",H1374=0),"",1/H1374)</f>
        <v/>
      </c>
      <c r="J1374" s="11">
        <f>IF(OR(G1374="",H1374=""),"",H1374*G1374-1)</f>
        <v/>
      </c>
      <c r="K1374" s="10">
        <f>IF(OR(G1374="",H1374="",G1374&lt;=1),"",IF(J1374&lt;IF(D1374="Builder",MinEdgeBuilder,IF(D1374="Player",MinEdgePlayer,MinEdgeSingle)),0,ROUND(MIN(IF(D1374="Single",KellySingle,KellyBuilder)*(StartBank+SUM(P$1:P1373))*J1374/(G1374-1),IF(D1374="Builder",CapBuilder,CapSingle)*Unit),2)))</f>
        <v/>
      </c>
      <c r="L1374" s="10" t="n"/>
      <c r="N1374" s="10" t="n"/>
      <c r="O1374" s="10">
        <f>IF(L1374="","",IF(M1374="Won",L1374*G1374,IF(M1374="Void",L1374,IF(M1374="Cash out",N(N1374),IF(M1374="Lost",0,"")))))</f>
        <v/>
      </c>
      <c r="P1374" s="10">
        <f>IF(OR(L1374="",M1374="",M1374="Pending"),"",O1374-L1374)</f>
        <v/>
      </c>
      <c r="Q1374" s="21" t="n"/>
      <c r="R1374" s="11">
        <f>IF(OR(G1374="",Q1374=""),"",G1374/Q1374-1)</f>
        <v/>
      </c>
      <c r="S1374" s="10">
        <f>IF(OR(L1374="",J1374=""),"",L1374*J1374)</f>
        <v/>
      </c>
      <c r="T1374" s="10">
        <f>IF(P1374="","",StartBank+SUM(P$2:P1374))</f>
        <v/>
      </c>
    </row>
    <row r="1375">
      <c r="A1375" s="22" t="n"/>
      <c r="G1375" s="21" t="n"/>
      <c r="H1375" s="11" t="n"/>
      <c r="I1375" s="21">
        <f>IF(OR(H1375="",H1375=0),"",1/H1375)</f>
        <v/>
      </c>
      <c r="J1375" s="11">
        <f>IF(OR(G1375="",H1375=""),"",H1375*G1375-1)</f>
        <v/>
      </c>
      <c r="K1375" s="10">
        <f>IF(OR(G1375="",H1375="",G1375&lt;=1),"",IF(J1375&lt;IF(D1375="Builder",MinEdgeBuilder,IF(D1375="Player",MinEdgePlayer,MinEdgeSingle)),0,ROUND(MIN(IF(D1375="Single",KellySingle,KellyBuilder)*(StartBank+SUM(P$1:P1374))*J1375/(G1375-1),IF(D1375="Builder",CapBuilder,CapSingle)*Unit),2)))</f>
        <v/>
      </c>
      <c r="L1375" s="10" t="n"/>
      <c r="N1375" s="10" t="n"/>
      <c r="O1375" s="10">
        <f>IF(L1375="","",IF(M1375="Won",L1375*G1375,IF(M1375="Void",L1375,IF(M1375="Cash out",N(N1375),IF(M1375="Lost",0,"")))))</f>
        <v/>
      </c>
      <c r="P1375" s="10">
        <f>IF(OR(L1375="",M1375="",M1375="Pending"),"",O1375-L1375)</f>
        <v/>
      </c>
      <c r="Q1375" s="21" t="n"/>
      <c r="R1375" s="11">
        <f>IF(OR(G1375="",Q1375=""),"",G1375/Q1375-1)</f>
        <v/>
      </c>
      <c r="S1375" s="10">
        <f>IF(OR(L1375="",J1375=""),"",L1375*J1375)</f>
        <v/>
      </c>
      <c r="T1375" s="10">
        <f>IF(P1375="","",StartBank+SUM(P$2:P1375))</f>
        <v/>
      </c>
    </row>
    <row r="1376">
      <c r="A1376" s="22" t="n"/>
      <c r="G1376" s="21" t="n"/>
      <c r="H1376" s="11" t="n"/>
      <c r="I1376" s="21">
        <f>IF(OR(H1376="",H1376=0),"",1/H1376)</f>
        <v/>
      </c>
      <c r="J1376" s="11">
        <f>IF(OR(G1376="",H1376=""),"",H1376*G1376-1)</f>
        <v/>
      </c>
      <c r="K1376" s="10">
        <f>IF(OR(G1376="",H1376="",G1376&lt;=1),"",IF(J1376&lt;IF(D1376="Builder",MinEdgeBuilder,IF(D1376="Player",MinEdgePlayer,MinEdgeSingle)),0,ROUND(MIN(IF(D1376="Single",KellySingle,KellyBuilder)*(StartBank+SUM(P$1:P1375))*J1376/(G1376-1),IF(D1376="Builder",CapBuilder,CapSingle)*Unit),2)))</f>
        <v/>
      </c>
      <c r="L1376" s="10" t="n"/>
      <c r="N1376" s="10" t="n"/>
      <c r="O1376" s="10">
        <f>IF(L1376="","",IF(M1376="Won",L1376*G1376,IF(M1376="Void",L1376,IF(M1376="Cash out",N(N1376),IF(M1376="Lost",0,"")))))</f>
        <v/>
      </c>
      <c r="P1376" s="10">
        <f>IF(OR(L1376="",M1376="",M1376="Pending"),"",O1376-L1376)</f>
        <v/>
      </c>
      <c r="Q1376" s="21" t="n"/>
      <c r="R1376" s="11">
        <f>IF(OR(G1376="",Q1376=""),"",G1376/Q1376-1)</f>
        <v/>
      </c>
      <c r="S1376" s="10">
        <f>IF(OR(L1376="",J1376=""),"",L1376*J1376)</f>
        <v/>
      </c>
      <c r="T1376" s="10">
        <f>IF(P1376="","",StartBank+SUM(P$2:P1376))</f>
        <v/>
      </c>
    </row>
    <row r="1377">
      <c r="A1377" s="22" t="n"/>
      <c r="G1377" s="21" t="n"/>
      <c r="H1377" s="11" t="n"/>
      <c r="I1377" s="21">
        <f>IF(OR(H1377="",H1377=0),"",1/H1377)</f>
        <v/>
      </c>
      <c r="J1377" s="11">
        <f>IF(OR(G1377="",H1377=""),"",H1377*G1377-1)</f>
        <v/>
      </c>
      <c r="K1377" s="10">
        <f>IF(OR(G1377="",H1377="",G1377&lt;=1),"",IF(J1377&lt;IF(D1377="Builder",MinEdgeBuilder,IF(D1377="Player",MinEdgePlayer,MinEdgeSingle)),0,ROUND(MIN(IF(D1377="Single",KellySingle,KellyBuilder)*(StartBank+SUM(P$1:P1376))*J1377/(G1377-1),IF(D1377="Builder",CapBuilder,CapSingle)*Unit),2)))</f>
        <v/>
      </c>
      <c r="L1377" s="10" t="n"/>
      <c r="N1377" s="10" t="n"/>
      <c r="O1377" s="10">
        <f>IF(L1377="","",IF(M1377="Won",L1377*G1377,IF(M1377="Void",L1377,IF(M1377="Cash out",N(N1377),IF(M1377="Lost",0,"")))))</f>
        <v/>
      </c>
      <c r="P1377" s="10">
        <f>IF(OR(L1377="",M1377="",M1377="Pending"),"",O1377-L1377)</f>
        <v/>
      </c>
      <c r="Q1377" s="21" t="n"/>
      <c r="R1377" s="11">
        <f>IF(OR(G1377="",Q1377=""),"",G1377/Q1377-1)</f>
        <v/>
      </c>
      <c r="S1377" s="10">
        <f>IF(OR(L1377="",J1377=""),"",L1377*J1377)</f>
        <v/>
      </c>
      <c r="T1377" s="10">
        <f>IF(P1377="","",StartBank+SUM(P$2:P1377))</f>
        <v/>
      </c>
    </row>
    <row r="1378">
      <c r="A1378" s="22" t="n"/>
      <c r="G1378" s="21" t="n"/>
      <c r="H1378" s="11" t="n"/>
      <c r="I1378" s="21">
        <f>IF(OR(H1378="",H1378=0),"",1/H1378)</f>
        <v/>
      </c>
      <c r="J1378" s="11">
        <f>IF(OR(G1378="",H1378=""),"",H1378*G1378-1)</f>
        <v/>
      </c>
      <c r="K1378" s="10">
        <f>IF(OR(G1378="",H1378="",G1378&lt;=1),"",IF(J1378&lt;IF(D1378="Builder",MinEdgeBuilder,IF(D1378="Player",MinEdgePlayer,MinEdgeSingle)),0,ROUND(MIN(IF(D1378="Single",KellySingle,KellyBuilder)*(StartBank+SUM(P$1:P1377))*J1378/(G1378-1),IF(D1378="Builder",CapBuilder,CapSingle)*Unit),2)))</f>
        <v/>
      </c>
      <c r="L1378" s="10" t="n"/>
      <c r="N1378" s="10" t="n"/>
      <c r="O1378" s="10">
        <f>IF(L1378="","",IF(M1378="Won",L1378*G1378,IF(M1378="Void",L1378,IF(M1378="Cash out",N(N1378),IF(M1378="Lost",0,"")))))</f>
        <v/>
      </c>
      <c r="P1378" s="10">
        <f>IF(OR(L1378="",M1378="",M1378="Pending"),"",O1378-L1378)</f>
        <v/>
      </c>
      <c r="Q1378" s="21" t="n"/>
      <c r="R1378" s="11">
        <f>IF(OR(G1378="",Q1378=""),"",G1378/Q1378-1)</f>
        <v/>
      </c>
      <c r="S1378" s="10">
        <f>IF(OR(L1378="",J1378=""),"",L1378*J1378)</f>
        <v/>
      </c>
      <c r="T1378" s="10">
        <f>IF(P1378="","",StartBank+SUM(P$2:P1378))</f>
        <v/>
      </c>
    </row>
    <row r="1379">
      <c r="A1379" s="22" t="n"/>
      <c r="G1379" s="21" t="n"/>
      <c r="H1379" s="11" t="n"/>
      <c r="I1379" s="21">
        <f>IF(OR(H1379="",H1379=0),"",1/H1379)</f>
        <v/>
      </c>
      <c r="J1379" s="11">
        <f>IF(OR(G1379="",H1379=""),"",H1379*G1379-1)</f>
        <v/>
      </c>
      <c r="K1379" s="10">
        <f>IF(OR(G1379="",H1379="",G1379&lt;=1),"",IF(J1379&lt;IF(D1379="Builder",MinEdgeBuilder,IF(D1379="Player",MinEdgePlayer,MinEdgeSingle)),0,ROUND(MIN(IF(D1379="Single",KellySingle,KellyBuilder)*(StartBank+SUM(P$1:P1378))*J1379/(G1379-1),IF(D1379="Builder",CapBuilder,CapSingle)*Unit),2)))</f>
        <v/>
      </c>
      <c r="L1379" s="10" t="n"/>
      <c r="N1379" s="10" t="n"/>
      <c r="O1379" s="10">
        <f>IF(L1379="","",IF(M1379="Won",L1379*G1379,IF(M1379="Void",L1379,IF(M1379="Cash out",N(N1379),IF(M1379="Lost",0,"")))))</f>
        <v/>
      </c>
      <c r="P1379" s="10">
        <f>IF(OR(L1379="",M1379="",M1379="Pending"),"",O1379-L1379)</f>
        <v/>
      </c>
      <c r="Q1379" s="21" t="n"/>
      <c r="R1379" s="11">
        <f>IF(OR(G1379="",Q1379=""),"",G1379/Q1379-1)</f>
        <v/>
      </c>
      <c r="S1379" s="10">
        <f>IF(OR(L1379="",J1379=""),"",L1379*J1379)</f>
        <v/>
      </c>
      <c r="T1379" s="10">
        <f>IF(P1379="","",StartBank+SUM(P$2:P1379))</f>
        <v/>
      </c>
    </row>
    <row r="1380">
      <c r="A1380" s="22" t="n"/>
      <c r="G1380" s="21" t="n"/>
      <c r="H1380" s="11" t="n"/>
      <c r="I1380" s="21">
        <f>IF(OR(H1380="",H1380=0),"",1/H1380)</f>
        <v/>
      </c>
      <c r="J1380" s="11">
        <f>IF(OR(G1380="",H1380=""),"",H1380*G1380-1)</f>
        <v/>
      </c>
      <c r="K1380" s="10">
        <f>IF(OR(G1380="",H1380="",G1380&lt;=1),"",IF(J1380&lt;IF(D1380="Builder",MinEdgeBuilder,IF(D1380="Player",MinEdgePlayer,MinEdgeSingle)),0,ROUND(MIN(IF(D1380="Single",KellySingle,KellyBuilder)*(StartBank+SUM(P$1:P1379))*J1380/(G1380-1),IF(D1380="Builder",CapBuilder,CapSingle)*Unit),2)))</f>
        <v/>
      </c>
      <c r="L1380" s="10" t="n"/>
      <c r="N1380" s="10" t="n"/>
      <c r="O1380" s="10">
        <f>IF(L1380="","",IF(M1380="Won",L1380*G1380,IF(M1380="Void",L1380,IF(M1380="Cash out",N(N1380),IF(M1380="Lost",0,"")))))</f>
        <v/>
      </c>
      <c r="P1380" s="10">
        <f>IF(OR(L1380="",M1380="",M1380="Pending"),"",O1380-L1380)</f>
        <v/>
      </c>
      <c r="Q1380" s="21" t="n"/>
      <c r="R1380" s="11">
        <f>IF(OR(G1380="",Q1380=""),"",G1380/Q1380-1)</f>
        <v/>
      </c>
      <c r="S1380" s="10">
        <f>IF(OR(L1380="",J1380=""),"",L1380*J1380)</f>
        <v/>
      </c>
      <c r="T1380" s="10">
        <f>IF(P1380="","",StartBank+SUM(P$2:P1380))</f>
        <v/>
      </c>
    </row>
    <row r="1381">
      <c r="A1381" s="22" t="n"/>
      <c r="G1381" s="21" t="n"/>
      <c r="H1381" s="11" t="n"/>
      <c r="I1381" s="21">
        <f>IF(OR(H1381="",H1381=0),"",1/H1381)</f>
        <v/>
      </c>
      <c r="J1381" s="11">
        <f>IF(OR(G1381="",H1381=""),"",H1381*G1381-1)</f>
        <v/>
      </c>
      <c r="K1381" s="10">
        <f>IF(OR(G1381="",H1381="",G1381&lt;=1),"",IF(J1381&lt;IF(D1381="Builder",MinEdgeBuilder,IF(D1381="Player",MinEdgePlayer,MinEdgeSingle)),0,ROUND(MIN(IF(D1381="Single",KellySingle,KellyBuilder)*(StartBank+SUM(P$1:P1380))*J1381/(G1381-1),IF(D1381="Builder",CapBuilder,CapSingle)*Unit),2)))</f>
        <v/>
      </c>
      <c r="L1381" s="10" t="n"/>
      <c r="N1381" s="10" t="n"/>
      <c r="O1381" s="10">
        <f>IF(L1381="","",IF(M1381="Won",L1381*G1381,IF(M1381="Void",L1381,IF(M1381="Cash out",N(N1381),IF(M1381="Lost",0,"")))))</f>
        <v/>
      </c>
      <c r="P1381" s="10">
        <f>IF(OR(L1381="",M1381="",M1381="Pending"),"",O1381-L1381)</f>
        <v/>
      </c>
      <c r="Q1381" s="21" t="n"/>
      <c r="R1381" s="11">
        <f>IF(OR(G1381="",Q1381=""),"",G1381/Q1381-1)</f>
        <v/>
      </c>
      <c r="S1381" s="10">
        <f>IF(OR(L1381="",J1381=""),"",L1381*J1381)</f>
        <v/>
      </c>
      <c r="T1381" s="10">
        <f>IF(P1381="","",StartBank+SUM(P$2:P1381))</f>
        <v/>
      </c>
    </row>
    <row r="1382">
      <c r="A1382" s="22" t="n"/>
      <c r="G1382" s="21" t="n"/>
      <c r="H1382" s="11" t="n"/>
      <c r="I1382" s="21">
        <f>IF(OR(H1382="",H1382=0),"",1/H1382)</f>
        <v/>
      </c>
      <c r="J1382" s="11">
        <f>IF(OR(G1382="",H1382=""),"",H1382*G1382-1)</f>
        <v/>
      </c>
      <c r="K1382" s="10">
        <f>IF(OR(G1382="",H1382="",G1382&lt;=1),"",IF(J1382&lt;IF(D1382="Builder",MinEdgeBuilder,IF(D1382="Player",MinEdgePlayer,MinEdgeSingle)),0,ROUND(MIN(IF(D1382="Single",KellySingle,KellyBuilder)*(StartBank+SUM(P$1:P1381))*J1382/(G1382-1),IF(D1382="Builder",CapBuilder,CapSingle)*Unit),2)))</f>
        <v/>
      </c>
      <c r="L1382" s="10" t="n"/>
      <c r="N1382" s="10" t="n"/>
      <c r="O1382" s="10">
        <f>IF(L1382="","",IF(M1382="Won",L1382*G1382,IF(M1382="Void",L1382,IF(M1382="Cash out",N(N1382),IF(M1382="Lost",0,"")))))</f>
        <v/>
      </c>
      <c r="P1382" s="10">
        <f>IF(OR(L1382="",M1382="",M1382="Pending"),"",O1382-L1382)</f>
        <v/>
      </c>
      <c r="Q1382" s="21" t="n"/>
      <c r="R1382" s="11">
        <f>IF(OR(G1382="",Q1382=""),"",G1382/Q1382-1)</f>
        <v/>
      </c>
      <c r="S1382" s="10">
        <f>IF(OR(L1382="",J1382=""),"",L1382*J1382)</f>
        <v/>
      </c>
      <c r="T1382" s="10">
        <f>IF(P1382="","",StartBank+SUM(P$2:P1382))</f>
        <v/>
      </c>
    </row>
    <row r="1383">
      <c r="A1383" s="22" t="n"/>
      <c r="G1383" s="21" t="n"/>
      <c r="H1383" s="11" t="n"/>
      <c r="I1383" s="21">
        <f>IF(OR(H1383="",H1383=0),"",1/H1383)</f>
        <v/>
      </c>
      <c r="J1383" s="11">
        <f>IF(OR(G1383="",H1383=""),"",H1383*G1383-1)</f>
        <v/>
      </c>
      <c r="K1383" s="10">
        <f>IF(OR(G1383="",H1383="",G1383&lt;=1),"",IF(J1383&lt;IF(D1383="Builder",MinEdgeBuilder,IF(D1383="Player",MinEdgePlayer,MinEdgeSingle)),0,ROUND(MIN(IF(D1383="Single",KellySingle,KellyBuilder)*(StartBank+SUM(P$1:P1382))*J1383/(G1383-1),IF(D1383="Builder",CapBuilder,CapSingle)*Unit),2)))</f>
        <v/>
      </c>
      <c r="L1383" s="10" t="n"/>
      <c r="N1383" s="10" t="n"/>
      <c r="O1383" s="10">
        <f>IF(L1383="","",IF(M1383="Won",L1383*G1383,IF(M1383="Void",L1383,IF(M1383="Cash out",N(N1383),IF(M1383="Lost",0,"")))))</f>
        <v/>
      </c>
      <c r="P1383" s="10">
        <f>IF(OR(L1383="",M1383="",M1383="Pending"),"",O1383-L1383)</f>
        <v/>
      </c>
      <c r="Q1383" s="21" t="n"/>
      <c r="R1383" s="11">
        <f>IF(OR(G1383="",Q1383=""),"",G1383/Q1383-1)</f>
        <v/>
      </c>
      <c r="S1383" s="10">
        <f>IF(OR(L1383="",J1383=""),"",L1383*J1383)</f>
        <v/>
      </c>
      <c r="T1383" s="10">
        <f>IF(P1383="","",StartBank+SUM(P$2:P1383))</f>
        <v/>
      </c>
    </row>
    <row r="1384">
      <c r="A1384" s="22" t="n"/>
      <c r="G1384" s="21" t="n"/>
      <c r="H1384" s="11" t="n"/>
      <c r="I1384" s="21">
        <f>IF(OR(H1384="",H1384=0),"",1/H1384)</f>
        <v/>
      </c>
      <c r="J1384" s="11">
        <f>IF(OR(G1384="",H1384=""),"",H1384*G1384-1)</f>
        <v/>
      </c>
      <c r="K1384" s="10">
        <f>IF(OR(G1384="",H1384="",G1384&lt;=1),"",IF(J1384&lt;IF(D1384="Builder",MinEdgeBuilder,IF(D1384="Player",MinEdgePlayer,MinEdgeSingle)),0,ROUND(MIN(IF(D1384="Single",KellySingle,KellyBuilder)*(StartBank+SUM(P$1:P1383))*J1384/(G1384-1),IF(D1384="Builder",CapBuilder,CapSingle)*Unit),2)))</f>
        <v/>
      </c>
      <c r="L1384" s="10" t="n"/>
      <c r="N1384" s="10" t="n"/>
      <c r="O1384" s="10">
        <f>IF(L1384="","",IF(M1384="Won",L1384*G1384,IF(M1384="Void",L1384,IF(M1384="Cash out",N(N1384),IF(M1384="Lost",0,"")))))</f>
        <v/>
      </c>
      <c r="P1384" s="10">
        <f>IF(OR(L1384="",M1384="",M1384="Pending"),"",O1384-L1384)</f>
        <v/>
      </c>
      <c r="Q1384" s="21" t="n"/>
      <c r="R1384" s="11">
        <f>IF(OR(G1384="",Q1384=""),"",G1384/Q1384-1)</f>
        <v/>
      </c>
      <c r="S1384" s="10">
        <f>IF(OR(L1384="",J1384=""),"",L1384*J1384)</f>
        <v/>
      </c>
      <c r="T1384" s="10">
        <f>IF(P1384="","",StartBank+SUM(P$2:P1384))</f>
        <v/>
      </c>
    </row>
    <row r="1385">
      <c r="A1385" s="22" t="n"/>
      <c r="G1385" s="21" t="n"/>
      <c r="H1385" s="11" t="n"/>
      <c r="I1385" s="21">
        <f>IF(OR(H1385="",H1385=0),"",1/H1385)</f>
        <v/>
      </c>
      <c r="J1385" s="11">
        <f>IF(OR(G1385="",H1385=""),"",H1385*G1385-1)</f>
        <v/>
      </c>
      <c r="K1385" s="10">
        <f>IF(OR(G1385="",H1385="",G1385&lt;=1),"",IF(J1385&lt;IF(D1385="Builder",MinEdgeBuilder,IF(D1385="Player",MinEdgePlayer,MinEdgeSingle)),0,ROUND(MIN(IF(D1385="Single",KellySingle,KellyBuilder)*(StartBank+SUM(P$1:P1384))*J1385/(G1385-1),IF(D1385="Builder",CapBuilder,CapSingle)*Unit),2)))</f>
        <v/>
      </c>
      <c r="L1385" s="10" t="n"/>
      <c r="N1385" s="10" t="n"/>
      <c r="O1385" s="10">
        <f>IF(L1385="","",IF(M1385="Won",L1385*G1385,IF(M1385="Void",L1385,IF(M1385="Cash out",N(N1385),IF(M1385="Lost",0,"")))))</f>
        <v/>
      </c>
      <c r="P1385" s="10">
        <f>IF(OR(L1385="",M1385="",M1385="Pending"),"",O1385-L1385)</f>
        <v/>
      </c>
      <c r="Q1385" s="21" t="n"/>
      <c r="R1385" s="11">
        <f>IF(OR(G1385="",Q1385=""),"",G1385/Q1385-1)</f>
        <v/>
      </c>
      <c r="S1385" s="10">
        <f>IF(OR(L1385="",J1385=""),"",L1385*J1385)</f>
        <v/>
      </c>
      <c r="T1385" s="10">
        <f>IF(P1385="","",StartBank+SUM(P$2:P1385))</f>
        <v/>
      </c>
    </row>
    <row r="1386">
      <c r="A1386" s="22" t="n"/>
      <c r="G1386" s="21" t="n"/>
      <c r="H1386" s="11" t="n"/>
      <c r="I1386" s="21">
        <f>IF(OR(H1386="",H1386=0),"",1/H1386)</f>
        <v/>
      </c>
      <c r="J1386" s="11">
        <f>IF(OR(G1386="",H1386=""),"",H1386*G1386-1)</f>
        <v/>
      </c>
      <c r="K1386" s="10">
        <f>IF(OR(G1386="",H1386="",G1386&lt;=1),"",IF(J1386&lt;IF(D1386="Builder",MinEdgeBuilder,IF(D1386="Player",MinEdgePlayer,MinEdgeSingle)),0,ROUND(MIN(IF(D1386="Single",KellySingle,KellyBuilder)*(StartBank+SUM(P$1:P1385))*J1386/(G1386-1),IF(D1386="Builder",CapBuilder,CapSingle)*Unit),2)))</f>
        <v/>
      </c>
      <c r="L1386" s="10" t="n"/>
      <c r="N1386" s="10" t="n"/>
      <c r="O1386" s="10">
        <f>IF(L1386="","",IF(M1386="Won",L1386*G1386,IF(M1386="Void",L1386,IF(M1386="Cash out",N(N1386),IF(M1386="Lost",0,"")))))</f>
        <v/>
      </c>
      <c r="P1386" s="10">
        <f>IF(OR(L1386="",M1386="",M1386="Pending"),"",O1386-L1386)</f>
        <v/>
      </c>
      <c r="Q1386" s="21" t="n"/>
      <c r="R1386" s="11">
        <f>IF(OR(G1386="",Q1386=""),"",G1386/Q1386-1)</f>
        <v/>
      </c>
      <c r="S1386" s="10">
        <f>IF(OR(L1386="",J1386=""),"",L1386*J1386)</f>
        <v/>
      </c>
      <c r="T1386" s="10">
        <f>IF(P1386="","",StartBank+SUM(P$2:P1386))</f>
        <v/>
      </c>
    </row>
    <row r="1387">
      <c r="A1387" s="22" t="n"/>
      <c r="G1387" s="21" t="n"/>
      <c r="H1387" s="11" t="n"/>
      <c r="I1387" s="21">
        <f>IF(OR(H1387="",H1387=0),"",1/H1387)</f>
        <v/>
      </c>
      <c r="J1387" s="11">
        <f>IF(OR(G1387="",H1387=""),"",H1387*G1387-1)</f>
        <v/>
      </c>
      <c r="K1387" s="10">
        <f>IF(OR(G1387="",H1387="",G1387&lt;=1),"",IF(J1387&lt;IF(D1387="Builder",MinEdgeBuilder,IF(D1387="Player",MinEdgePlayer,MinEdgeSingle)),0,ROUND(MIN(IF(D1387="Single",KellySingle,KellyBuilder)*(StartBank+SUM(P$1:P1386))*J1387/(G1387-1),IF(D1387="Builder",CapBuilder,CapSingle)*Unit),2)))</f>
        <v/>
      </c>
      <c r="L1387" s="10" t="n"/>
      <c r="N1387" s="10" t="n"/>
      <c r="O1387" s="10">
        <f>IF(L1387="","",IF(M1387="Won",L1387*G1387,IF(M1387="Void",L1387,IF(M1387="Cash out",N(N1387),IF(M1387="Lost",0,"")))))</f>
        <v/>
      </c>
      <c r="P1387" s="10">
        <f>IF(OR(L1387="",M1387="",M1387="Pending"),"",O1387-L1387)</f>
        <v/>
      </c>
      <c r="Q1387" s="21" t="n"/>
      <c r="R1387" s="11">
        <f>IF(OR(G1387="",Q1387=""),"",G1387/Q1387-1)</f>
        <v/>
      </c>
      <c r="S1387" s="10">
        <f>IF(OR(L1387="",J1387=""),"",L1387*J1387)</f>
        <v/>
      </c>
      <c r="T1387" s="10">
        <f>IF(P1387="","",StartBank+SUM(P$2:P1387))</f>
        <v/>
      </c>
    </row>
    <row r="1388">
      <c r="A1388" s="22" t="n"/>
      <c r="G1388" s="21" t="n"/>
      <c r="H1388" s="11" t="n"/>
      <c r="I1388" s="21">
        <f>IF(OR(H1388="",H1388=0),"",1/H1388)</f>
        <v/>
      </c>
      <c r="J1388" s="11">
        <f>IF(OR(G1388="",H1388=""),"",H1388*G1388-1)</f>
        <v/>
      </c>
      <c r="K1388" s="10">
        <f>IF(OR(G1388="",H1388="",G1388&lt;=1),"",IF(J1388&lt;IF(D1388="Builder",MinEdgeBuilder,IF(D1388="Player",MinEdgePlayer,MinEdgeSingle)),0,ROUND(MIN(IF(D1388="Single",KellySingle,KellyBuilder)*(StartBank+SUM(P$1:P1387))*J1388/(G1388-1),IF(D1388="Builder",CapBuilder,CapSingle)*Unit),2)))</f>
        <v/>
      </c>
      <c r="L1388" s="10" t="n"/>
      <c r="N1388" s="10" t="n"/>
      <c r="O1388" s="10">
        <f>IF(L1388="","",IF(M1388="Won",L1388*G1388,IF(M1388="Void",L1388,IF(M1388="Cash out",N(N1388),IF(M1388="Lost",0,"")))))</f>
        <v/>
      </c>
      <c r="P1388" s="10">
        <f>IF(OR(L1388="",M1388="",M1388="Pending"),"",O1388-L1388)</f>
        <v/>
      </c>
      <c r="Q1388" s="21" t="n"/>
      <c r="R1388" s="11">
        <f>IF(OR(G1388="",Q1388=""),"",G1388/Q1388-1)</f>
        <v/>
      </c>
      <c r="S1388" s="10">
        <f>IF(OR(L1388="",J1388=""),"",L1388*J1388)</f>
        <v/>
      </c>
      <c r="T1388" s="10">
        <f>IF(P1388="","",StartBank+SUM(P$2:P1388))</f>
        <v/>
      </c>
    </row>
    <row r="1389">
      <c r="A1389" s="22" t="n"/>
      <c r="G1389" s="21" t="n"/>
      <c r="H1389" s="11" t="n"/>
      <c r="I1389" s="21">
        <f>IF(OR(H1389="",H1389=0),"",1/H1389)</f>
        <v/>
      </c>
      <c r="J1389" s="11">
        <f>IF(OR(G1389="",H1389=""),"",H1389*G1389-1)</f>
        <v/>
      </c>
      <c r="K1389" s="10">
        <f>IF(OR(G1389="",H1389="",G1389&lt;=1),"",IF(J1389&lt;IF(D1389="Builder",MinEdgeBuilder,IF(D1389="Player",MinEdgePlayer,MinEdgeSingle)),0,ROUND(MIN(IF(D1389="Single",KellySingle,KellyBuilder)*(StartBank+SUM(P$1:P1388))*J1389/(G1389-1),IF(D1389="Builder",CapBuilder,CapSingle)*Unit),2)))</f>
        <v/>
      </c>
      <c r="L1389" s="10" t="n"/>
      <c r="N1389" s="10" t="n"/>
      <c r="O1389" s="10">
        <f>IF(L1389="","",IF(M1389="Won",L1389*G1389,IF(M1389="Void",L1389,IF(M1389="Cash out",N(N1389),IF(M1389="Lost",0,"")))))</f>
        <v/>
      </c>
      <c r="P1389" s="10">
        <f>IF(OR(L1389="",M1389="",M1389="Pending"),"",O1389-L1389)</f>
        <v/>
      </c>
      <c r="Q1389" s="21" t="n"/>
      <c r="R1389" s="11">
        <f>IF(OR(G1389="",Q1389=""),"",G1389/Q1389-1)</f>
        <v/>
      </c>
      <c r="S1389" s="10">
        <f>IF(OR(L1389="",J1389=""),"",L1389*J1389)</f>
        <v/>
      </c>
      <c r="T1389" s="10">
        <f>IF(P1389="","",StartBank+SUM(P$2:P1389))</f>
        <v/>
      </c>
    </row>
    <row r="1390">
      <c r="A1390" s="22" t="n"/>
      <c r="G1390" s="21" t="n"/>
      <c r="H1390" s="11" t="n"/>
      <c r="I1390" s="21">
        <f>IF(OR(H1390="",H1390=0),"",1/H1390)</f>
        <v/>
      </c>
      <c r="J1390" s="11">
        <f>IF(OR(G1390="",H1390=""),"",H1390*G1390-1)</f>
        <v/>
      </c>
      <c r="K1390" s="10">
        <f>IF(OR(G1390="",H1390="",G1390&lt;=1),"",IF(J1390&lt;IF(D1390="Builder",MinEdgeBuilder,IF(D1390="Player",MinEdgePlayer,MinEdgeSingle)),0,ROUND(MIN(IF(D1390="Single",KellySingle,KellyBuilder)*(StartBank+SUM(P$1:P1389))*J1390/(G1390-1),IF(D1390="Builder",CapBuilder,CapSingle)*Unit),2)))</f>
        <v/>
      </c>
      <c r="L1390" s="10" t="n"/>
      <c r="N1390" s="10" t="n"/>
      <c r="O1390" s="10">
        <f>IF(L1390="","",IF(M1390="Won",L1390*G1390,IF(M1390="Void",L1390,IF(M1390="Cash out",N(N1390),IF(M1390="Lost",0,"")))))</f>
        <v/>
      </c>
      <c r="P1390" s="10">
        <f>IF(OR(L1390="",M1390="",M1390="Pending"),"",O1390-L1390)</f>
        <v/>
      </c>
      <c r="Q1390" s="21" t="n"/>
      <c r="R1390" s="11">
        <f>IF(OR(G1390="",Q1390=""),"",G1390/Q1390-1)</f>
        <v/>
      </c>
      <c r="S1390" s="10">
        <f>IF(OR(L1390="",J1390=""),"",L1390*J1390)</f>
        <v/>
      </c>
      <c r="T1390" s="10">
        <f>IF(P1390="","",StartBank+SUM(P$2:P1390))</f>
        <v/>
      </c>
    </row>
    <row r="1391">
      <c r="A1391" s="22" t="n"/>
      <c r="G1391" s="21" t="n"/>
      <c r="H1391" s="11" t="n"/>
      <c r="I1391" s="21">
        <f>IF(OR(H1391="",H1391=0),"",1/H1391)</f>
        <v/>
      </c>
      <c r="J1391" s="11">
        <f>IF(OR(G1391="",H1391=""),"",H1391*G1391-1)</f>
        <v/>
      </c>
      <c r="K1391" s="10">
        <f>IF(OR(G1391="",H1391="",G1391&lt;=1),"",IF(J1391&lt;IF(D1391="Builder",MinEdgeBuilder,IF(D1391="Player",MinEdgePlayer,MinEdgeSingle)),0,ROUND(MIN(IF(D1391="Single",KellySingle,KellyBuilder)*(StartBank+SUM(P$1:P1390))*J1391/(G1391-1),IF(D1391="Builder",CapBuilder,CapSingle)*Unit),2)))</f>
        <v/>
      </c>
      <c r="L1391" s="10" t="n"/>
      <c r="N1391" s="10" t="n"/>
      <c r="O1391" s="10">
        <f>IF(L1391="","",IF(M1391="Won",L1391*G1391,IF(M1391="Void",L1391,IF(M1391="Cash out",N(N1391),IF(M1391="Lost",0,"")))))</f>
        <v/>
      </c>
      <c r="P1391" s="10">
        <f>IF(OR(L1391="",M1391="",M1391="Pending"),"",O1391-L1391)</f>
        <v/>
      </c>
      <c r="Q1391" s="21" t="n"/>
      <c r="R1391" s="11">
        <f>IF(OR(G1391="",Q1391=""),"",G1391/Q1391-1)</f>
        <v/>
      </c>
      <c r="S1391" s="10">
        <f>IF(OR(L1391="",J1391=""),"",L1391*J1391)</f>
        <v/>
      </c>
      <c r="T1391" s="10">
        <f>IF(P1391="","",StartBank+SUM(P$2:P1391))</f>
        <v/>
      </c>
    </row>
    <row r="1392">
      <c r="A1392" s="22" t="n"/>
      <c r="G1392" s="21" t="n"/>
      <c r="H1392" s="11" t="n"/>
      <c r="I1392" s="21">
        <f>IF(OR(H1392="",H1392=0),"",1/H1392)</f>
        <v/>
      </c>
      <c r="J1392" s="11">
        <f>IF(OR(G1392="",H1392=""),"",H1392*G1392-1)</f>
        <v/>
      </c>
      <c r="K1392" s="10">
        <f>IF(OR(G1392="",H1392="",G1392&lt;=1),"",IF(J1392&lt;IF(D1392="Builder",MinEdgeBuilder,IF(D1392="Player",MinEdgePlayer,MinEdgeSingle)),0,ROUND(MIN(IF(D1392="Single",KellySingle,KellyBuilder)*(StartBank+SUM(P$1:P1391))*J1392/(G1392-1),IF(D1392="Builder",CapBuilder,CapSingle)*Unit),2)))</f>
        <v/>
      </c>
      <c r="L1392" s="10" t="n"/>
      <c r="N1392" s="10" t="n"/>
      <c r="O1392" s="10">
        <f>IF(L1392="","",IF(M1392="Won",L1392*G1392,IF(M1392="Void",L1392,IF(M1392="Cash out",N(N1392),IF(M1392="Lost",0,"")))))</f>
        <v/>
      </c>
      <c r="P1392" s="10">
        <f>IF(OR(L1392="",M1392="",M1392="Pending"),"",O1392-L1392)</f>
        <v/>
      </c>
      <c r="Q1392" s="21" t="n"/>
      <c r="R1392" s="11">
        <f>IF(OR(G1392="",Q1392=""),"",G1392/Q1392-1)</f>
        <v/>
      </c>
      <c r="S1392" s="10">
        <f>IF(OR(L1392="",J1392=""),"",L1392*J1392)</f>
        <v/>
      </c>
      <c r="T1392" s="10">
        <f>IF(P1392="","",StartBank+SUM(P$2:P1392))</f>
        <v/>
      </c>
    </row>
    <row r="1393">
      <c r="A1393" s="22" t="n"/>
      <c r="G1393" s="21" t="n"/>
      <c r="H1393" s="11" t="n"/>
      <c r="I1393" s="21">
        <f>IF(OR(H1393="",H1393=0),"",1/H1393)</f>
        <v/>
      </c>
      <c r="J1393" s="11">
        <f>IF(OR(G1393="",H1393=""),"",H1393*G1393-1)</f>
        <v/>
      </c>
      <c r="K1393" s="10">
        <f>IF(OR(G1393="",H1393="",G1393&lt;=1),"",IF(J1393&lt;IF(D1393="Builder",MinEdgeBuilder,IF(D1393="Player",MinEdgePlayer,MinEdgeSingle)),0,ROUND(MIN(IF(D1393="Single",KellySingle,KellyBuilder)*(StartBank+SUM(P$1:P1392))*J1393/(G1393-1),IF(D1393="Builder",CapBuilder,CapSingle)*Unit),2)))</f>
        <v/>
      </c>
      <c r="L1393" s="10" t="n"/>
      <c r="N1393" s="10" t="n"/>
      <c r="O1393" s="10">
        <f>IF(L1393="","",IF(M1393="Won",L1393*G1393,IF(M1393="Void",L1393,IF(M1393="Cash out",N(N1393),IF(M1393="Lost",0,"")))))</f>
        <v/>
      </c>
      <c r="P1393" s="10">
        <f>IF(OR(L1393="",M1393="",M1393="Pending"),"",O1393-L1393)</f>
        <v/>
      </c>
      <c r="Q1393" s="21" t="n"/>
      <c r="R1393" s="11">
        <f>IF(OR(G1393="",Q1393=""),"",G1393/Q1393-1)</f>
        <v/>
      </c>
      <c r="S1393" s="10">
        <f>IF(OR(L1393="",J1393=""),"",L1393*J1393)</f>
        <v/>
      </c>
      <c r="T1393" s="10">
        <f>IF(P1393="","",StartBank+SUM(P$2:P1393))</f>
        <v/>
      </c>
    </row>
    <row r="1394">
      <c r="A1394" s="22" t="n"/>
      <c r="G1394" s="21" t="n"/>
      <c r="H1394" s="11" t="n"/>
      <c r="I1394" s="21">
        <f>IF(OR(H1394="",H1394=0),"",1/H1394)</f>
        <v/>
      </c>
      <c r="J1394" s="11">
        <f>IF(OR(G1394="",H1394=""),"",H1394*G1394-1)</f>
        <v/>
      </c>
      <c r="K1394" s="10">
        <f>IF(OR(G1394="",H1394="",G1394&lt;=1),"",IF(J1394&lt;IF(D1394="Builder",MinEdgeBuilder,IF(D1394="Player",MinEdgePlayer,MinEdgeSingle)),0,ROUND(MIN(IF(D1394="Single",KellySingle,KellyBuilder)*(StartBank+SUM(P$1:P1393))*J1394/(G1394-1),IF(D1394="Builder",CapBuilder,CapSingle)*Unit),2)))</f>
        <v/>
      </c>
      <c r="L1394" s="10" t="n"/>
      <c r="N1394" s="10" t="n"/>
      <c r="O1394" s="10">
        <f>IF(L1394="","",IF(M1394="Won",L1394*G1394,IF(M1394="Void",L1394,IF(M1394="Cash out",N(N1394),IF(M1394="Lost",0,"")))))</f>
        <v/>
      </c>
      <c r="P1394" s="10">
        <f>IF(OR(L1394="",M1394="",M1394="Pending"),"",O1394-L1394)</f>
        <v/>
      </c>
      <c r="Q1394" s="21" t="n"/>
      <c r="R1394" s="11">
        <f>IF(OR(G1394="",Q1394=""),"",G1394/Q1394-1)</f>
        <v/>
      </c>
      <c r="S1394" s="10">
        <f>IF(OR(L1394="",J1394=""),"",L1394*J1394)</f>
        <v/>
      </c>
      <c r="T1394" s="10">
        <f>IF(P1394="","",StartBank+SUM(P$2:P1394))</f>
        <v/>
      </c>
    </row>
    <row r="1395">
      <c r="A1395" s="22" t="n"/>
      <c r="G1395" s="21" t="n"/>
      <c r="H1395" s="11" t="n"/>
      <c r="I1395" s="21">
        <f>IF(OR(H1395="",H1395=0),"",1/H1395)</f>
        <v/>
      </c>
      <c r="J1395" s="11">
        <f>IF(OR(G1395="",H1395=""),"",H1395*G1395-1)</f>
        <v/>
      </c>
      <c r="K1395" s="10">
        <f>IF(OR(G1395="",H1395="",G1395&lt;=1),"",IF(J1395&lt;IF(D1395="Builder",MinEdgeBuilder,IF(D1395="Player",MinEdgePlayer,MinEdgeSingle)),0,ROUND(MIN(IF(D1395="Single",KellySingle,KellyBuilder)*(StartBank+SUM(P$1:P1394))*J1395/(G1395-1),IF(D1395="Builder",CapBuilder,CapSingle)*Unit),2)))</f>
        <v/>
      </c>
      <c r="L1395" s="10" t="n"/>
      <c r="N1395" s="10" t="n"/>
      <c r="O1395" s="10">
        <f>IF(L1395="","",IF(M1395="Won",L1395*G1395,IF(M1395="Void",L1395,IF(M1395="Cash out",N(N1395),IF(M1395="Lost",0,"")))))</f>
        <v/>
      </c>
      <c r="P1395" s="10">
        <f>IF(OR(L1395="",M1395="",M1395="Pending"),"",O1395-L1395)</f>
        <v/>
      </c>
      <c r="Q1395" s="21" t="n"/>
      <c r="R1395" s="11">
        <f>IF(OR(G1395="",Q1395=""),"",G1395/Q1395-1)</f>
        <v/>
      </c>
      <c r="S1395" s="10">
        <f>IF(OR(L1395="",J1395=""),"",L1395*J1395)</f>
        <v/>
      </c>
      <c r="T1395" s="10">
        <f>IF(P1395="","",StartBank+SUM(P$2:P1395))</f>
        <v/>
      </c>
    </row>
    <row r="1396">
      <c r="A1396" s="22" t="n"/>
      <c r="G1396" s="21" t="n"/>
      <c r="H1396" s="11" t="n"/>
      <c r="I1396" s="21">
        <f>IF(OR(H1396="",H1396=0),"",1/H1396)</f>
        <v/>
      </c>
      <c r="J1396" s="11">
        <f>IF(OR(G1396="",H1396=""),"",H1396*G1396-1)</f>
        <v/>
      </c>
      <c r="K1396" s="10">
        <f>IF(OR(G1396="",H1396="",G1396&lt;=1),"",IF(J1396&lt;IF(D1396="Builder",MinEdgeBuilder,IF(D1396="Player",MinEdgePlayer,MinEdgeSingle)),0,ROUND(MIN(IF(D1396="Single",KellySingle,KellyBuilder)*(StartBank+SUM(P$1:P1395))*J1396/(G1396-1),IF(D1396="Builder",CapBuilder,CapSingle)*Unit),2)))</f>
        <v/>
      </c>
      <c r="L1396" s="10" t="n"/>
      <c r="N1396" s="10" t="n"/>
      <c r="O1396" s="10">
        <f>IF(L1396="","",IF(M1396="Won",L1396*G1396,IF(M1396="Void",L1396,IF(M1396="Cash out",N(N1396),IF(M1396="Lost",0,"")))))</f>
        <v/>
      </c>
      <c r="P1396" s="10">
        <f>IF(OR(L1396="",M1396="",M1396="Pending"),"",O1396-L1396)</f>
        <v/>
      </c>
      <c r="Q1396" s="21" t="n"/>
      <c r="R1396" s="11">
        <f>IF(OR(G1396="",Q1396=""),"",G1396/Q1396-1)</f>
        <v/>
      </c>
      <c r="S1396" s="10">
        <f>IF(OR(L1396="",J1396=""),"",L1396*J1396)</f>
        <v/>
      </c>
      <c r="T1396" s="10">
        <f>IF(P1396="","",StartBank+SUM(P$2:P1396))</f>
        <v/>
      </c>
    </row>
    <row r="1397">
      <c r="A1397" s="22" t="n"/>
      <c r="G1397" s="21" t="n"/>
      <c r="H1397" s="11" t="n"/>
      <c r="I1397" s="21">
        <f>IF(OR(H1397="",H1397=0),"",1/H1397)</f>
        <v/>
      </c>
      <c r="J1397" s="11">
        <f>IF(OR(G1397="",H1397=""),"",H1397*G1397-1)</f>
        <v/>
      </c>
      <c r="K1397" s="10">
        <f>IF(OR(G1397="",H1397="",G1397&lt;=1),"",IF(J1397&lt;IF(D1397="Builder",MinEdgeBuilder,IF(D1397="Player",MinEdgePlayer,MinEdgeSingle)),0,ROUND(MIN(IF(D1397="Single",KellySingle,KellyBuilder)*(StartBank+SUM(P$1:P1396))*J1397/(G1397-1),IF(D1397="Builder",CapBuilder,CapSingle)*Unit),2)))</f>
        <v/>
      </c>
      <c r="L1397" s="10" t="n"/>
      <c r="N1397" s="10" t="n"/>
      <c r="O1397" s="10">
        <f>IF(L1397="","",IF(M1397="Won",L1397*G1397,IF(M1397="Void",L1397,IF(M1397="Cash out",N(N1397),IF(M1397="Lost",0,"")))))</f>
        <v/>
      </c>
      <c r="P1397" s="10">
        <f>IF(OR(L1397="",M1397="",M1397="Pending"),"",O1397-L1397)</f>
        <v/>
      </c>
      <c r="Q1397" s="21" t="n"/>
      <c r="R1397" s="11">
        <f>IF(OR(G1397="",Q1397=""),"",G1397/Q1397-1)</f>
        <v/>
      </c>
      <c r="S1397" s="10">
        <f>IF(OR(L1397="",J1397=""),"",L1397*J1397)</f>
        <v/>
      </c>
      <c r="T1397" s="10">
        <f>IF(P1397="","",StartBank+SUM(P$2:P1397))</f>
        <v/>
      </c>
    </row>
    <row r="1398">
      <c r="A1398" s="22" t="n"/>
      <c r="G1398" s="21" t="n"/>
      <c r="H1398" s="11" t="n"/>
      <c r="I1398" s="21">
        <f>IF(OR(H1398="",H1398=0),"",1/H1398)</f>
        <v/>
      </c>
      <c r="J1398" s="11">
        <f>IF(OR(G1398="",H1398=""),"",H1398*G1398-1)</f>
        <v/>
      </c>
      <c r="K1398" s="10">
        <f>IF(OR(G1398="",H1398="",G1398&lt;=1),"",IF(J1398&lt;IF(D1398="Builder",MinEdgeBuilder,IF(D1398="Player",MinEdgePlayer,MinEdgeSingle)),0,ROUND(MIN(IF(D1398="Single",KellySingle,KellyBuilder)*(StartBank+SUM(P$1:P1397))*J1398/(G1398-1),IF(D1398="Builder",CapBuilder,CapSingle)*Unit),2)))</f>
        <v/>
      </c>
      <c r="L1398" s="10" t="n"/>
      <c r="N1398" s="10" t="n"/>
      <c r="O1398" s="10">
        <f>IF(L1398="","",IF(M1398="Won",L1398*G1398,IF(M1398="Void",L1398,IF(M1398="Cash out",N(N1398),IF(M1398="Lost",0,"")))))</f>
        <v/>
      </c>
      <c r="P1398" s="10">
        <f>IF(OR(L1398="",M1398="",M1398="Pending"),"",O1398-L1398)</f>
        <v/>
      </c>
      <c r="Q1398" s="21" t="n"/>
      <c r="R1398" s="11">
        <f>IF(OR(G1398="",Q1398=""),"",G1398/Q1398-1)</f>
        <v/>
      </c>
      <c r="S1398" s="10">
        <f>IF(OR(L1398="",J1398=""),"",L1398*J1398)</f>
        <v/>
      </c>
      <c r="T1398" s="10">
        <f>IF(P1398="","",StartBank+SUM(P$2:P1398))</f>
        <v/>
      </c>
    </row>
    <row r="1399">
      <c r="A1399" s="22" t="n"/>
      <c r="G1399" s="21" t="n"/>
      <c r="H1399" s="11" t="n"/>
      <c r="I1399" s="21">
        <f>IF(OR(H1399="",H1399=0),"",1/H1399)</f>
        <v/>
      </c>
      <c r="J1399" s="11">
        <f>IF(OR(G1399="",H1399=""),"",H1399*G1399-1)</f>
        <v/>
      </c>
      <c r="K1399" s="10">
        <f>IF(OR(G1399="",H1399="",G1399&lt;=1),"",IF(J1399&lt;IF(D1399="Builder",MinEdgeBuilder,IF(D1399="Player",MinEdgePlayer,MinEdgeSingle)),0,ROUND(MIN(IF(D1399="Single",KellySingle,KellyBuilder)*(StartBank+SUM(P$1:P1398))*J1399/(G1399-1),IF(D1399="Builder",CapBuilder,CapSingle)*Unit),2)))</f>
        <v/>
      </c>
      <c r="L1399" s="10" t="n"/>
      <c r="N1399" s="10" t="n"/>
      <c r="O1399" s="10">
        <f>IF(L1399="","",IF(M1399="Won",L1399*G1399,IF(M1399="Void",L1399,IF(M1399="Cash out",N(N1399),IF(M1399="Lost",0,"")))))</f>
        <v/>
      </c>
      <c r="P1399" s="10">
        <f>IF(OR(L1399="",M1399="",M1399="Pending"),"",O1399-L1399)</f>
        <v/>
      </c>
      <c r="Q1399" s="21" t="n"/>
      <c r="R1399" s="11">
        <f>IF(OR(G1399="",Q1399=""),"",G1399/Q1399-1)</f>
        <v/>
      </c>
      <c r="S1399" s="10">
        <f>IF(OR(L1399="",J1399=""),"",L1399*J1399)</f>
        <v/>
      </c>
      <c r="T1399" s="10">
        <f>IF(P1399="","",StartBank+SUM(P$2:P1399))</f>
        <v/>
      </c>
    </row>
    <row r="1400">
      <c r="A1400" s="22" t="n"/>
      <c r="G1400" s="21" t="n"/>
      <c r="H1400" s="11" t="n"/>
      <c r="I1400" s="21">
        <f>IF(OR(H1400="",H1400=0),"",1/H1400)</f>
        <v/>
      </c>
      <c r="J1400" s="11">
        <f>IF(OR(G1400="",H1400=""),"",H1400*G1400-1)</f>
        <v/>
      </c>
      <c r="K1400" s="10">
        <f>IF(OR(G1400="",H1400="",G1400&lt;=1),"",IF(J1400&lt;IF(D1400="Builder",MinEdgeBuilder,IF(D1400="Player",MinEdgePlayer,MinEdgeSingle)),0,ROUND(MIN(IF(D1400="Single",KellySingle,KellyBuilder)*(StartBank+SUM(P$1:P1399))*J1400/(G1400-1),IF(D1400="Builder",CapBuilder,CapSingle)*Unit),2)))</f>
        <v/>
      </c>
      <c r="L1400" s="10" t="n"/>
      <c r="N1400" s="10" t="n"/>
      <c r="O1400" s="10">
        <f>IF(L1400="","",IF(M1400="Won",L1400*G1400,IF(M1400="Void",L1400,IF(M1400="Cash out",N(N1400),IF(M1400="Lost",0,"")))))</f>
        <v/>
      </c>
      <c r="P1400" s="10">
        <f>IF(OR(L1400="",M1400="",M1400="Pending"),"",O1400-L1400)</f>
        <v/>
      </c>
      <c r="Q1400" s="21" t="n"/>
      <c r="R1400" s="11">
        <f>IF(OR(G1400="",Q1400=""),"",G1400/Q1400-1)</f>
        <v/>
      </c>
      <c r="S1400" s="10">
        <f>IF(OR(L1400="",J1400=""),"",L1400*J1400)</f>
        <v/>
      </c>
      <c r="T1400" s="10">
        <f>IF(P1400="","",StartBank+SUM(P$2:P1400))</f>
        <v/>
      </c>
    </row>
    <row r="1401">
      <c r="A1401" s="22" t="n"/>
      <c r="G1401" s="21" t="n"/>
      <c r="H1401" s="11" t="n"/>
      <c r="I1401" s="21">
        <f>IF(OR(H1401="",H1401=0),"",1/H1401)</f>
        <v/>
      </c>
      <c r="J1401" s="11">
        <f>IF(OR(G1401="",H1401=""),"",H1401*G1401-1)</f>
        <v/>
      </c>
      <c r="K1401" s="10">
        <f>IF(OR(G1401="",H1401="",G1401&lt;=1),"",IF(J1401&lt;IF(D1401="Builder",MinEdgeBuilder,IF(D1401="Player",MinEdgePlayer,MinEdgeSingle)),0,ROUND(MIN(IF(D1401="Single",KellySingle,KellyBuilder)*(StartBank+SUM(P$1:P1400))*J1401/(G1401-1),IF(D1401="Builder",CapBuilder,CapSingle)*Unit),2)))</f>
        <v/>
      </c>
      <c r="L1401" s="10" t="n"/>
      <c r="N1401" s="10" t="n"/>
      <c r="O1401" s="10">
        <f>IF(L1401="","",IF(M1401="Won",L1401*G1401,IF(M1401="Void",L1401,IF(M1401="Cash out",N(N1401),IF(M1401="Lost",0,"")))))</f>
        <v/>
      </c>
      <c r="P1401" s="10">
        <f>IF(OR(L1401="",M1401="",M1401="Pending"),"",O1401-L1401)</f>
        <v/>
      </c>
      <c r="Q1401" s="21" t="n"/>
      <c r="R1401" s="11">
        <f>IF(OR(G1401="",Q1401=""),"",G1401/Q1401-1)</f>
        <v/>
      </c>
      <c r="S1401" s="10">
        <f>IF(OR(L1401="",J1401=""),"",L1401*J1401)</f>
        <v/>
      </c>
      <c r="T1401" s="10">
        <f>IF(P1401="","",StartBank+SUM(P$2:P1401))</f>
        <v/>
      </c>
    </row>
    <row r="1402">
      <c r="A1402" s="22" t="n"/>
      <c r="G1402" s="21" t="n"/>
      <c r="H1402" s="11" t="n"/>
      <c r="I1402" s="21">
        <f>IF(OR(H1402="",H1402=0),"",1/H1402)</f>
        <v/>
      </c>
      <c r="J1402" s="11">
        <f>IF(OR(G1402="",H1402=""),"",H1402*G1402-1)</f>
        <v/>
      </c>
      <c r="K1402" s="10">
        <f>IF(OR(G1402="",H1402="",G1402&lt;=1),"",IF(J1402&lt;IF(D1402="Builder",MinEdgeBuilder,IF(D1402="Player",MinEdgePlayer,MinEdgeSingle)),0,ROUND(MIN(IF(D1402="Single",KellySingle,KellyBuilder)*(StartBank+SUM(P$1:P1401))*J1402/(G1402-1),IF(D1402="Builder",CapBuilder,CapSingle)*Unit),2)))</f>
        <v/>
      </c>
      <c r="L1402" s="10" t="n"/>
      <c r="N1402" s="10" t="n"/>
      <c r="O1402" s="10">
        <f>IF(L1402="","",IF(M1402="Won",L1402*G1402,IF(M1402="Void",L1402,IF(M1402="Cash out",N(N1402),IF(M1402="Lost",0,"")))))</f>
        <v/>
      </c>
      <c r="P1402" s="10">
        <f>IF(OR(L1402="",M1402="",M1402="Pending"),"",O1402-L1402)</f>
        <v/>
      </c>
      <c r="Q1402" s="21" t="n"/>
      <c r="R1402" s="11">
        <f>IF(OR(G1402="",Q1402=""),"",G1402/Q1402-1)</f>
        <v/>
      </c>
      <c r="S1402" s="10">
        <f>IF(OR(L1402="",J1402=""),"",L1402*J1402)</f>
        <v/>
      </c>
      <c r="T1402" s="10">
        <f>IF(P1402="","",StartBank+SUM(P$2:P1402))</f>
        <v/>
      </c>
    </row>
    <row r="1403">
      <c r="A1403" s="22" t="n"/>
      <c r="G1403" s="21" t="n"/>
      <c r="H1403" s="11" t="n"/>
      <c r="I1403" s="21">
        <f>IF(OR(H1403="",H1403=0),"",1/H1403)</f>
        <v/>
      </c>
      <c r="J1403" s="11">
        <f>IF(OR(G1403="",H1403=""),"",H1403*G1403-1)</f>
        <v/>
      </c>
      <c r="K1403" s="10">
        <f>IF(OR(G1403="",H1403="",G1403&lt;=1),"",IF(J1403&lt;IF(D1403="Builder",MinEdgeBuilder,IF(D1403="Player",MinEdgePlayer,MinEdgeSingle)),0,ROUND(MIN(IF(D1403="Single",KellySingle,KellyBuilder)*(StartBank+SUM(P$1:P1402))*J1403/(G1403-1),IF(D1403="Builder",CapBuilder,CapSingle)*Unit),2)))</f>
        <v/>
      </c>
      <c r="L1403" s="10" t="n"/>
      <c r="N1403" s="10" t="n"/>
      <c r="O1403" s="10">
        <f>IF(L1403="","",IF(M1403="Won",L1403*G1403,IF(M1403="Void",L1403,IF(M1403="Cash out",N(N1403),IF(M1403="Lost",0,"")))))</f>
        <v/>
      </c>
      <c r="P1403" s="10">
        <f>IF(OR(L1403="",M1403="",M1403="Pending"),"",O1403-L1403)</f>
        <v/>
      </c>
      <c r="Q1403" s="21" t="n"/>
      <c r="R1403" s="11">
        <f>IF(OR(G1403="",Q1403=""),"",G1403/Q1403-1)</f>
        <v/>
      </c>
      <c r="S1403" s="10">
        <f>IF(OR(L1403="",J1403=""),"",L1403*J1403)</f>
        <v/>
      </c>
      <c r="T1403" s="10">
        <f>IF(P1403="","",StartBank+SUM(P$2:P1403))</f>
        <v/>
      </c>
    </row>
    <row r="1404">
      <c r="A1404" s="22" t="n"/>
      <c r="G1404" s="21" t="n"/>
      <c r="H1404" s="11" t="n"/>
      <c r="I1404" s="21">
        <f>IF(OR(H1404="",H1404=0),"",1/H1404)</f>
        <v/>
      </c>
      <c r="J1404" s="11">
        <f>IF(OR(G1404="",H1404=""),"",H1404*G1404-1)</f>
        <v/>
      </c>
      <c r="K1404" s="10">
        <f>IF(OR(G1404="",H1404="",G1404&lt;=1),"",IF(J1404&lt;IF(D1404="Builder",MinEdgeBuilder,IF(D1404="Player",MinEdgePlayer,MinEdgeSingle)),0,ROUND(MIN(IF(D1404="Single",KellySingle,KellyBuilder)*(StartBank+SUM(P$1:P1403))*J1404/(G1404-1),IF(D1404="Builder",CapBuilder,CapSingle)*Unit),2)))</f>
        <v/>
      </c>
      <c r="L1404" s="10" t="n"/>
      <c r="N1404" s="10" t="n"/>
      <c r="O1404" s="10">
        <f>IF(L1404="","",IF(M1404="Won",L1404*G1404,IF(M1404="Void",L1404,IF(M1404="Cash out",N(N1404),IF(M1404="Lost",0,"")))))</f>
        <v/>
      </c>
      <c r="P1404" s="10">
        <f>IF(OR(L1404="",M1404="",M1404="Pending"),"",O1404-L1404)</f>
        <v/>
      </c>
      <c r="Q1404" s="21" t="n"/>
      <c r="R1404" s="11">
        <f>IF(OR(G1404="",Q1404=""),"",G1404/Q1404-1)</f>
        <v/>
      </c>
      <c r="S1404" s="10">
        <f>IF(OR(L1404="",J1404=""),"",L1404*J1404)</f>
        <v/>
      </c>
      <c r="T1404" s="10">
        <f>IF(P1404="","",StartBank+SUM(P$2:P1404))</f>
        <v/>
      </c>
    </row>
    <row r="1405">
      <c r="A1405" s="22" t="n"/>
      <c r="G1405" s="21" t="n"/>
      <c r="H1405" s="11" t="n"/>
      <c r="I1405" s="21">
        <f>IF(OR(H1405="",H1405=0),"",1/H1405)</f>
        <v/>
      </c>
      <c r="J1405" s="11">
        <f>IF(OR(G1405="",H1405=""),"",H1405*G1405-1)</f>
        <v/>
      </c>
      <c r="K1405" s="10">
        <f>IF(OR(G1405="",H1405="",G1405&lt;=1),"",IF(J1405&lt;IF(D1405="Builder",MinEdgeBuilder,IF(D1405="Player",MinEdgePlayer,MinEdgeSingle)),0,ROUND(MIN(IF(D1405="Single",KellySingle,KellyBuilder)*(StartBank+SUM(P$1:P1404))*J1405/(G1405-1),IF(D1405="Builder",CapBuilder,CapSingle)*Unit),2)))</f>
        <v/>
      </c>
      <c r="L1405" s="10" t="n"/>
      <c r="N1405" s="10" t="n"/>
      <c r="O1405" s="10">
        <f>IF(L1405="","",IF(M1405="Won",L1405*G1405,IF(M1405="Void",L1405,IF(M1405="Cash out",N(N1405),IF(M1405="Lost",0,"")))))</f>
        <v/>
      </c>
      <c r="P1405" s="10">
        <f>IF(OR(L1405="",M1405="",M1405="Pending"),"",O1405-L1405)</f>
        <v/>
      </c>
      <c r="Q1405" s="21" t="n"/>
      <c r="R1405" s="11">
        <f>IF(OR(G1405="",Q1405=""),"",G1405/Q1405-1)</f>
        <v/>
      </c>
      <c r="S1405" s="10">
        <f>IF(OR(L1405="",J1405=""),"",L1405*J1405)</f>
        <v/>
      </c>
      <c r="T1405" s="10">
        <f>IF(P1405="","",StartBank+SUM(P$2:P1405))</f>
        <v/>
      </c>
    </row>
    <row r="1406">
      <c r="A1406" s="22" t="n"/>
      <c r="G1406" s="21" t="n"/>
      <c r="H1406" s="11" t="n"/>
      <c r="I1406" s="21">
        <f>IF(OR(H1406="",H1406=0),"",1/H1406)</f>
        <v/>
      </c>
      <c r="J1406" s="11">
        <f>IF(OR(G1406="",H1406=""),"",H1406*G1406-1)</f>
        <v/>
      </c>
      <c r="K1406" s="10">
        <f>IF(OR(G1406="",H1406="",G1406&lt;=1),"",IF(J1406&lt;IF(D1406="Builder",MinEdgeBuilder,IF(D1406="Player",MinEdgePlayer,MinEdgeSingle)),0,ROUND(MIN(IF(D1406="Single",KellySingle,KellyBuilder)*(StartBank+SUM(P$1:P1405))*J1406/(G1406-1),IF(D1406="Builder",CapBuilder,CapSingle)*Unit),2)))</f>
        <v/>
      </c>
      <c r="L1406" s="10" t="n"/>
      <c r="N1406" s="10" t="n"/>
      <c r="O1406" s="10">
        <f>IF(L1406="","",IF(M1406="Won",L1406*G1406,IF(M1406="Void",L1406,IF(M1406="Cash out",N(N1406),IF(M1406="Lost",0,"")))))</f>
        <v/>
      </c>
      <c r="P1406" s="10">
        <f>IF(OR(L1406="",M1406="",M1406="Pending"),"",O1406-L1406)</f>
        <v/>
      </c>
      <c r="Q1406" s="21" t="n"/>
      <c r="R1406" s="11">
        <f>IF(OR(G1406="",Q1406=""),"",G1406/Q1406-1)</f>
        <v/>
      </c>
      <c r="S1406" s="10">
        <f>IF(OR(L1406="",J1406=""),"",L1406*J1406)</f>
        <v/>
      </c>
      <c r="T1406" s="10">
        <f>IF(P1406="","",StartBank+SUM(P$2:P1406))</f>
        <v/>
      </c>
    </row>
    <row r="1407">
      <c r="A1407" s="22" t="n"/>
      <c r="G1407" s="21" t="n"/>
      <c r="H1407" s="11" t="n"/>
      <c r="I1407" s="21">
        <f>IF(OR(H1407="",H1407=0),"",1/H1407)</f>
        <v/>
      </c>
      <c r="J1407" s="11">
        <f>IF(OR(G1407="",H1407=""),"",H1407*G1407-1)</f>
        <v/>
      </c>
      <c r="K1407" s="10">
        <f>IF(OR(G1407="",H1407="",G1407&lt;=1),"",IF(J1407&lt;IF(D1407="Builder",MinEdgeBuilder,IF(D1407="Player",MinEdgePlayer,MinEdgeSingle)),0,ROUND(MIN(IF(D1407="Single",KellySingle,KellyBuilder)*(StartBank+SUM(P$1:P1406))*J1407/(G1407-1),IF(D1407="Builder",CapBuilder,CapSingle)*Unit),2)))</f>
        <v/>
      </c>
      <c r="L1407" s="10" t="n"/>
      <c r="N1407" s="10" t="n"/>
      <c r="O1407" s="10">
        <f>IF(L1407="","",IF(M1407="Won",L1407*G1407,IF(M1407="Void",L1407,IF(M1407="Cash out",N(N1407),IF(M1407="Lost",0,"")))))</f>
        <v/>
      </c>
      <c r="P1407" s="10">
        <f>IF(OR(L1407="",M1407="",M1407="Pending"),"",O1407-L1407)</f>
        <v/>
      </c>
      <c r="Q1407" s="21" t="n"/>
      <c r="R1407" s="11">
        <f>IF(OR(G1407="",Q1407=""),"",G1407/Q1407-1)</f>
        <v/>
      </c>
      <c r="S1407" s="10">
        <f>IF(OR(L1407="",J1407=""),"",L1407*J1407)</f>
        <v/>
      </c>
      <c r="T1407" s="10">
        <f>IF(P1407="","",StartBank+SUM(P$2:P1407))</f>
        <v/>
      </c>
    </row>
    <row r="1408">
      <c r="A1408" s="22" t="n"/>
      <c r="G1408" s="21" t="n"/>
      <c r="H1408" s="11" t="n"/>
      <c r="I1408" s="21">
        <f>IF(OR(H1408="",H1408=0),"",1/H1408)</f>
        <v/>
      </c>
      <c r="J1408" s="11">
        <f>IF(OR(G1408="",H1408=""),"",H1408*G1408-1)</f>
        <v/>
      </c>
      <c r="K1408" s="10">
        <f>IF(OR(G1408="",H1408="",G1408&lt;=1),"",IF(J1408&lt;IF(D1408="Builder",MinEdgeBuilder,IF(D1408="Player",MinEdgePlayer,MinEdgeSingle)),0,ROUND(MIN(IF(D1408="Single",KellySingle,KellyBuilder)*(StartBank+SUM(P$1:P1407))*J1408/(G1408-1),IF(D1408="Builder",CapBuilder,CapSingle)*Unit),2)))</f>
        <v/>
      </c>
      <c r="L1408" s="10" t="n"/>
      <c r="N1408" s="10" t="n"/>
      <c r="O1408" s="10">
        <f>IF(L1408="","",IF(M1408="Won",L1408*G1408,IF(M1408="Void",L1408,IF(M1408="Cash out",N(N1408),IF(M1408="Lost",0,"")))))</f>
        <v/>
      </c>
      <c r="P1408" s="10">
        <f>IF(OR(L1408="",M1408="",M1408="Pending"),"",O1408-L1408)</f>
        <v/>
      </c>
      <c r="Q1408" s="21" t="n"/>
      <c r="R1408" s="11">
        <f>IF(OR(G1408="",Q1408=""),"",G1408/Q1408-1)</f>
        <v/>
      </c>
      <c r="S1408" s="10">
        <f>IF(OR(L1408="",J1408=""),"",L1408*J1408)</f>
        <v/>
      </c>
      <c r="T1408" s="10">
        <f>IF(P1408="","",StartBank+SUM(P$2:P1408))</f>
        <v/>
      </c>
    </row>
    <row r="1409">
      <c r="A1409" s="22" t="n"/>
      <c r="G1409" s="21" t="n"/>
      <c r="H1409" s="11" t="n"/>
      <c r="I1409" s="21">
        <f>IF(OR(H1409="",H1409=0),"",1/H1409)</f>
        <v/>
      </c>
      <c r="J1409" s="11">
        <f>IF(OR(G1409="",H1409=""),"",H1409*G1409-1)</f>
        <v/>
      </c>
      <c r="K1409" s="10">
        <f>IF(OR(G1409="",H1409="",G1409&lt;=1),"",IF(J1409&lt;IF(D1409="Builder",MinEdgeBuilder,IF(D1409="Player",MinEdgePlayer,MinEdgeSingle)),0,ROUND(MIN(IF(D1409="Single",KellySingle,KellyBuilder)*(StartBank+SUM(P$1:P1408))*J1409/(G1409-1),IF(D1409="Builder",CapBuilder,CapSingle)*Unit),2)))</f>
        <v/>
      </c>
      <c r="L1409" s="10" t="n"/>
      <c r="N1409" s="10" t="n"/>
      <c r="O1409" s="10">
        <f>IF(L1409="","",IF(M1409="Won",L1409*G1409,IF(M1409="Void",L1409,IF(M1409="Cash out",N(N1409),IF(M1409="Lost",0,"")))))</f>
        <v/>
      </c>
      <c r="P1409" s="10">
        <f>IF(OR(L1409="",M1409="",M1409="Pending"),"",O1409-L1409)</f>
        <v/>
      </c>
      <c r="Q1409" s="21" t="n"/>
      <c r="R1409" s="11">
        <f>IF(OR(G1409="",Q1409=""),"",G1409/Q1409-1)</f>
        <v/>
      </c>
      <c r="S1409" s="10">
        <f>IF(OR(L1409="",J1409=""),"",L1409*J1409)</f>
        <v/>
      </c>
      <c r="T1409" s="10">
        <f>IF(P1409="","",StartBank+SUM(P$2:P1409))</f>
        <v/>
      </c>
    </row>
    <row r="1410">
      <c r="A1410" s="22" t="n"/>
      <c r="G1410" s="21" t="n"/>
      <c r="H1410" s="11" t="n"/>
      <c r="I1410" s="21">
        <f>IF(OR(H1410="",H1410=0),"",1/H1410)</f>
        <v/>
      </c>
      <c r="J1410" s="11">
        <f>IF(OR(G1410="",H1410=""),"",H1410*G1410-1)</f>
        <v/>
      </c>
      <c r="K1410" s="10">
        <f>IF(OR(G1410="",H1410="",G1410&lt;=1),"",IF(J1410&lt;IF(D1410="Builder",MinEdgeBuilder,IF(D1410="Player",MinEdgePlayer,MinEdgeSingle)),0,ROUND(MIN(IF(D1410="Single",KellySingle,KellyBuilder)*(StartBank+SUM(P$1:P1409))*J1410/(G1410-1),IF(D1410="Builder",CapBuilder,CapSingle)*Unit),2)))</f>
        <v/>
      </c>
      <c r="L1410" s="10" t="n"/>
      <c r="N1410" s="10" t="n"/>
      <c r="O1410" s="10">
        <f>IF(L1410="","",IF(M1410="Won",L1410*G1410,IF(M1410="Void",L1410,IF(M1410="Cash out",N(N1410),IF(M1410="Lost",0,"")))))</f>
        <v/>
      </c>
      <c r="P1410" s="10">
        <f>IF(OR(L1410="",M1410="",M1410="Pending"),"",O1410-L1410)</f>
        <v/>
      </c>
      <c r="Q1410" s="21" t="n"/>
      <c r="R1410" s="11">
        <f>IF(OR(G1410="",Q1410=""),"",G1410/Q1410-1)</f>
        <v/>
      </c>
      <c r="S1410" s="10">
        <f>IF(OR(L1410="",J1410=""),"",L1410*J1410)</f>
        <v/>
      </c>
      <c r="T1410" s="10">
        <f>IF(P1410="","",StartBank+SUM(P$2:P1410))</f>
        <v/>
      </c>
    </row>
    <row r="1411">
      <c r="A1411" s="22" t="n"/>
      <c r="G1411" s="21" t="n"/>
      <c r="H1411" s="11" t="n"/>
      <c r="I1411" s="21">
        <f>IF(OR(H1411="",H1411=0),"",1/H1411)</f>
        <v/>
      </c>
      <c r="J1411" s="11">
        <f>IF(OR(G1411="",H1411=""),"",H1411*G1411-1)</f>
        <v/>
      </c>
      <c r="K1411" s="10">
        <f>IF(OR(G1411="",H1411="",G1411&lt;=1),"",IF(J1411&lt;IF(D1411="Builder",MinEdgeBuilder,IF(D1411="Player",MinEdgePlayer,MinEdgeSingle)),0,ROUND(MIN(IF(D1411="Single",KellySingle,KellyBuilder)*(StartBank+SUM(P$1:P1410))*J1411/(G1411-1),IF(D1411="Builder",CapBuilder,CapSingle)*Unit),2)))</f>
        <v/>
      </c>
      <c r="L1411" s="10" t="n"/>
      <c r="N1411" s="10" t="n"/>
      <c r="O1411" s="10">
        <f>IF(L1411="","",IF(M1411="Won",L1411*G1411,IF(M1411="Void",L1411,IF(M1411="Cash out",N(N1411),IF(M1411="Lost",0,"")))))</f>
        <v/>
      </c>
      <c r="P1411" s="10">
        <f>IF(OR(L1411="",M1411="",M1411="Pending"),"",O1411-L1411)</f>
        <v/>
      </c>
      <c r="Q1411" s="21" t="n"/>
      <c r="R1411" s="11">
        <f>IF(OR(G1411="",Q1411=""),"",G1411/Q1411-1)</f>
        <v/>
      </c>
      <c r="S1411" s="10">
        <f>IF(OR(L1411="",J1411=""),"",L1411*J1411)</f>
        <v/>
      </c>
      <c r="T1411" s="10">
        <f>IF(P1411="","",StartBank+SUM(P$2:P1411))</f>
        <v/>
      </c>
    </row>
    <row r="1412">
      <c r="A1412" s="22" t="n"/>
      <c r="G1412" s="21" t="n"/>
      <c r="H1412" s="11" t="n"/>
      <c r="I1412" s="21">
        <f>IF(OR(H1412="",H1412=0),"",1/H1412)</f>
        <v/>
      </c>
      <c r="J1412" s="11">
        <f>IF(OR(G1412="",H1412=""),"",H1412*G1412-1)</f>
        <v/>
      </c>
      <c r="K1412" s="10">
        <f>IF(OR(G1412="",H1412="",G1412&lt;=1),"",IF(J1412&lt;IF(D1412="Builder",MinEdgeBuilder,IF(D1412="Player",MinEdgePlayer,MinEdgeSingle)),0,ROUND(MIN(IF(D1412="Single",KellySingle,KellyBuilder)*(StartBank+SUM(P$1:P1411))*J1412/(G1412-1),IF(D1412="Builder",CapBuilder,CapSingle)*Unit),2)))</f>
        <v/>
      </c>
      <c r="L1412" s="10" t="n"/>
      <c r="N1412" s="10" t="n"/>
      <c r="O1412" s="10">
        <f>IF(L1412="","",IF(M1412="Won",L1412*G1412,IF(M1412="Void",L1412,IF(M1412="Cash out",N(N1412),IF(M1412="Lost",0,"")))))</f>
        <v/>
      </c>
      <c r="P1412" s="10">
        <f>IF(OR(L1412="",M1412="",M1412="Pending"),"",O1412-L1412)</f>
        <v/>
      </c>
      <c r="Q1412" s="21" t="n"/>
      <c r="R1412" s="11">
        <f>IF(OR(G1412="",Q1412=""),"",G1412/Q1412-1)</f>
        <v/>
      </c>
      <c r="S1412" s="10">
        <f>IF(OR(L1412="",J1412=""),"",L1412*J1412)</f>
        <v/>
      </c>
      <c r="T1412" s="10">
        <f>IF(P1412="","",StartBank+SUM(P$2:P1412))</f>
        <v/>
      </c>
    </row>
    <row r="1413">
      <c r="A1413" s="22" t="n"/>
      <c r="G1413" s="21" t="n"/>
      <c r="H1413" s="11" t="n"/>
      <c r="I1413" s="21">
        <f>IF(OR(H1413="",H1413=0),"",1/H1413)</f>
        <v/>
      </c>
      <c r="J1413" s="11">
        <f>IF(OR(G1413="",H1413=""),"",H1413*G1413-1)</f>
        <v/>
      </c>
      <c r="K1413" s="10">
        <f>IF(OR(G1413="",H1413="",G1413&lt;=1),"",IF(J1413&lt;IF(D1413="Builder",MinEdgeBuilder,IF(D1413="Player",MinEdgePlayer,MinEdgeSingle)),0,ROUND(MIN(IF(D1413="Single",KellySingle,KellyBuilder)*(StartBank+SUM(P$1:P1412))*J1413/(G1413-1),IF(D1413="Builder",CapBuilder,CapSingle)*Unit),2)))</f>
        <v/>
      </c>
      <c r="L1413" s="10" t="n"/>
      <c r="N1413" s="10" t="n"/>
      <c r="O1413" s="10">
        <f>IF(L1413="","",IF(M1413="Won",L1413*G1413,IF(M1413="Void",L1413,IF(M1413="Cash out",N(N1413),IF(M1413="Lost",0,"")))))</f>
        <v/>
      </c>
      <c r="P1413" s="10">
        <f>IF(OR(L1413="",M1413="",M1413="Pending"),"",O1413-L1413)</f>
        <v/>
      </c>
      <c r="Q1413" s="21" t="n"/>
      <c r="R1413" s="11">
        <f>IF(OR(G1413="",Q1413=""),"",G1413/Q1413-1)</f>
        <v/>
      </c>
      <c r="S1413" s="10">
        <f>IF(OR(L1413="",J1413=""),"",L1413*J1413)</f>
        <v/>
      </c>
      <c r="T1413" s="10">
        <f>IF(P1413="","",StartBank+SUM(P$2:P1413))</f>
        <v/>
      </c>
    </row>
    <row r="1414">
      <c r="A1414" s="22" t="n"/>
      <c r="G1414" s="21" t="n"/>
      <c r="H1414" s="11" t="n"/>
      <c r="I1414" s="21">
        <f>IF(OR(H1414="",H1414=0),"",1/H1414)</f>
        <v/>
      </c>
      <c r="J1414" s="11">
        <f>IF(OR(G1414="",H1414=""),"",H1414*G1414-1)</f>
        <v/>
      </c>
      <c r="K1414" s="10">
        <f>IF(OR(G1414="",H1414="",G1414&lt;=1),"",IF(J1414&lt;IF(D1414="Builder",MinEdgeBuilder,IF(D1414="Player",MinEdgePlayer,MinEdgeSingle)),0,ROUND(MIN(IF(D1414="Single",KellySingle,KellyBuilder)*(StartBank+SUM(P$1:P1413))*J1414/(G1414-1),IF(D1414="Builder",CapBuilder,CapSingle)*Unit),2)))</f>
        <v/>
      </c>
      <c r="L1414" s="10" t="n"/>
      <c r="N1414" s="10" t="n"/>
      <c r="O1414" s="10">
        <f>IF(L1414="","",IF(M1414="Won",L1414*G1414,IF(M1414="Void",L1414,IF(M1414="Cash out",N(N1414),IF(M1414="Lost",0,"")))))</f>
        <v/>
      </c>
      <c r="P1414" s="10">
        <f>IF(OR(L1414="",M1414="",M1414="Pending"),"",O1414-L1414)</f>
        <v/>
      </c>
      <c r="Q1414" s="21" t="n"/>
      <c r="R1414" s="11">
        <f>IF(OR(G1414="",Q1414=""),"",G1414/Q1414-1)</f>
        <v/>
      </c>
      <c r="S1414" s="10">
        <f>IF(OR(L1414="",J1414=""),"",L1414*J1414)</f>
        <v/>
      </c>
      <c r="T1414" s="10">
        <f>IF(P1414="","",StartBank+SUM(P$2:P1414))</f>
        <v/>
      </c>
    </row>
    <row r="1415">
      <c r="A1415" s="22" t="n"/>
      <c r="G1415" s="21" t="n"/>
      <c r="H1415" s="11" t="n"/>
      <c r="I1415" s="21">
        <f>IF(OR(H1415="",H1415=0),"",1/H1415)</f>
        <v/>
      </c>
      <c r="J1415" s="11">
        <f>IF(OR(G1415="",H1415=""),"",H1415*G1415-1)</f>
        <v/>
      </c>
      <c r="K1415" s="10">
        <f>IF(OR(G1415="",H1415="",G1415&lt;=1),"",IF(J1415&lt;IF(D1415="Builder",MinEdgeBuilder,IF(D1415="Player",MinEdgePlayer,MinEdgeSingle)),0,ROUND(MIN(IF(D1415="Single",KellySingle,KellyBuilder)*(StartBank+SUM(P$1:P1414))*J1415/(G1415-1),IF(D1415="Builder",CapBuilder,CapSingle)*Unit),2)))</f>
        <v/>
      </c>
      <c r="L1415" s="10" t="n"/>
      <c r="N1415" s="10" t="n"/>
      <c r="O1415" s="10">
        <f>IF(L1415="","",IF(M1415="Won",L1415*G1415,IF(M1415="Void",L1415,IF(M1415="Cash out",N(N1415),IF(M1415="Lost",0,"")))))</f>
        <v/>
      </c>
      <c r="P1415" s="10">
        <f>IF(OR(L1415="",M1415="",M1415="Pending"),"",O1415-L1415)</f>
        <v/>
      </c>
      <c r="Q1415" s="21" t="n"/>
      <c r="R1415" s="11">
        <f>IF(OR(G1415="",Q1415=""),"",G1415/Q1415-1)</f>
        <v/>
      </c>
      <c r="S1415" s="10">
        <f>IF(OR(L1415="",J1415=""),"",L1415*J1415)</f>
        <v/>
      </c>
      <c r="T1415" s="10">
        <f>IF(P1415="","",StartBank+SUM(P$2:P1415))</f>
        <v/>
      </c>
    </row>
    <row r="1416">
      <c r="A1416" s="22" t="n"/>
      <c r="G1416" s="21" t="n"/>
      <c r="H1416" s="11" t="n"/>
      <c r="I1416" s="21">
        <f>IF(OR(H1416="",H1416=0),"",1/H1416)</f>
        <v/>
      </c>
      <c r="J1416" s="11">
        <f>IF(OR(G1416="",H1416=""),"",H1416*G1416-1)</f>
        <v/>
      </c>
      <c r="K1416" s="10">
        <f>IF(OR(G1416="",H1416="",G1416&lt;=1),"",IF(J1416&lt;IF(D1416="Builder",MinEdgeBuilder,IF(D1416="Player",MinEdgePlayer,MinEdgeSingle)),0,ROUND(MIN(IF(D1416="Single",KellySingle,KellyBuilder)*(StartBank+SUM(P$1:P1415))*J1416/(G1416-1),IF(D1416="Builder",CapBuilder,CapSingle)*Unit),2)))</f>
        <v/>
      </c>
      <c r="L1416" s="10" t="n"/>
      <c r="N1416" s="10" t="n"/>
      <c r="O1416" s="10">
        <f>IF(L1416="","",IF(M1416="Won",L1416*G1416,IF(M1416="Void",L1416,IF(M1416="Cash out",N(N1416),IF(M1416="Lost",0,"")))))</f>
        <v/>
      </c>
      <c r="P1416" s="10">
        <f>IF(OR(L1416="",M1416="",M1416="Pending"),"",O1416-L1416)</f>
        <v/>
      </c>
      <c r="Q1416" s="21" t="n"/>
      <c r="R1416" s="11">
        <f>IF(OR(G1416="",Q1416=""),"",G1416/Q1416-1)</f>
        <v/>
      </c>
      <c r="S1416" s="10">
        <f>IF(OR(L1416="",J1416=""),"",L1416*J1416)</f>
        <v/>
      </c>
      <c r="T1416" s="10">
        <f>IF(P1416="","",StartBank+SUM(P$2:P1416))</f>
        <v/>
      </c>
    </row>
    <row r="1417">
      <c r="A1417" s="22" t="n"/>
      <c r="G1417" s="21" t="n"/>
      <c r="H1417" s="11" t="n"/>
      <c r="I1417" s="21">
        <f>IF(OR(H1417="",H1417=0),"",1/H1417)</f>
        <v/>
      </c>
      <c r="J1417" s="11">
        <f>IF(OR(G1417="",H1417=""),"",H1417*G1417-1)</f>
        <v/>
      </c>
      <c r="K1417" s="10">
        <f>IF(OR(G1417="",H1417="",G1417&lt;=1),"",IF(J1417&lt;IF(D1417="Builder",MinEdgeBuilder,IF(D1417="Player",MinEdgePlayer,MinEdgeSingle)),0,ROUND(MIN(IF(D1417="Single",KellySingle,KellyBuilder)*(StartBank+SUM(P$1:P1416))*J1417/(G1417-1),IF(D1417="Builder",CapBuilder,CapSingle)*Unit),2)))</f>
        <v/>
      </c>
      <c r="L1417" s="10" t="n"/>
      <c r="N1417" s="10" t="n"/>
      <c r="O1417" s="10">
        <f>IF(L1417="","",IF(M1417="Won",L1417*G1417,IF(M1417="Void",L1417,IF(M1417="Cash out",N(N1417),IF(M1417="Lost",0,"")))))</f>
        <v/>
      </c>
      <c r="P1417" s="10">
        <f>IF(OR(L1417="",M1417="",M1417="Pending"),"",O1417-L1417)</f>
        <v/>
      </c>
      <c r="Q1417" s="21" t="n"/>
      <c r="R1417" s="11">
        <f>IF(OR(G1417="",Q1417=""),"",G1417/Q1417-1)</f>
        <v/>
      </c>
      <c r="S1417" s="10">
        <f>IF(OR(L1417="",J1417=""),"",L1417*J1417)</f>
        <v/>
      </c>
      <c r="T1417" s="10">
        <f>IF(P1417="","",StartBank+SUM(P$2:P1417))</f>
        <v/>
      </c>
    </row>
    <row r="1418">
      <c r="A1418" s="22" t="n"/>
      <c r="G1418" s="21" t="n"/>
      <c r="H1418" s="11" t="n"/>
      <c r="I1418" s="21">
        <f>IF(OR(H1418="",H1418=0),"",1/H1418)</f>
        <v/>
      </c>
      <c r="J1418" s="11">
        <f>IF(OR(G1418="",H1418=""),"",H1418*G1418-1)</f>
        <v/>
      </c>
      <c r="K1418" s="10">
        <f>IF(OR(G1418="",H1418="",G1418&lt;=1),"",IF(J1418&lt;IF(D1418="Builder",MinEdgeBuilder,IF(D1418="Player",MinEdgePlayer,MinEdgeSingle)),0,ROUND(MIN(IF(D1418="Single",KellySingle,KellyBuilder)*(StartBank+SUM(P$1:P1417))*J1418/(G1418-1),IF(D1418="Builder",CapBuilder,CapSingle)*Unit),2)))</f>
        <v/>
      </c>
      <c r="L1418" s="10" t="n"/>
      <c r="N1418" s="10" t="n"/>
      <c r="O1418" s="10">
        <f>IF(L1418="","",IF(M1418="Won",L1418*G1418,IF(M1418="Void",L1418,IF(M1418="Cash out",N(N1418),IF(M1418="Lost",0,"")))))</f>
        <v/>
      </c>
      <c r="P1418" s="10">
        <f>IF(OR(L1418="",M1418="",M1418="Pending"),"",O1418-L1418)</f>
        <v/>
      </c>
      <c r="Q1418" s="21" t="n"/>
      <c r="R1418" s="11">
        <f>IF(OR(G1418="",Q1418=""),"",G1418/Q1418-1)</f>
        <v/>
      </c>
      <c r="S1418" s="10">
        <f>IF(OR(L1418="",J1418=""),"",L1418*J1418)</f>
        <v/>
      </c>
      <c r="T1418" s="10">
        <f>IF(P1418="","",StartBank+SUM(P$2:P1418))</f>
        <v/>
      </c>
    </row>
    <row r="1419">
      <c r="A1419" s="22" t="n"/>
      <c r="G1419" s="21" t="n"/>
      <c r="H1419" s="11" t="n"/>
      <c r="I1419" s="21">
        <f>IF(OR(H1419="",H1419=0),"",1/H1419)</f>
        <v/>
      </c>
      <c r="J1419" s="11">
        <f>IF(OR(G1419="",H1419=""),"",H1419*G1419-1)</f>
        <v/>
      </c>
      <c r="K1419" s="10">
        <f>IF(OR(G1419="",H1419="",G1419&lt;=1),"",IF(J1419&lt;IF(D1419="Builder",MinEdgeBuilder,IF(D1419="Player",MinEdgePlayer,MinEdgeSingle)),0,ROUND(MIN(IF(D1419="Single",KellySingle,KellyBuilder)*(StartBank+SUM(P$1:P1418))*J1419/(G1419-1),IF(D1419="Builder",CapBuilder,CapSingle)*Unit),2)))</f>
        <v/>
      </c>
      <c r="L1419" s="10" t="n"/>
      <c r="N1419" s="10" t="n"/>
      <c r="O1419" s="10">
        <f>IF(L1419="","",IF(M1419="Won",L1419*G1419,IF(M1419="Void",L1419,IF(M1419="Cash out",N(N1419),IF(M1419="Lost",0,"")))))</f>
        <v/>
      </c>
      <c r="P1419" s="10">
        <f>IF(OR(L1419="",M1419="",M1419="Pending"),"",O1419-L1419)</f>
        <v/>
      </c>
      <c r="Q1419" s="21" t="n"/>
      <c r="R1419" s="11">
        <f>IF(OR(G1419="",Q1419=""),"",G1419/Q1419-1)</f>
        <v/>
      </c>
      <c r="S1419" s="10">
        <f>IF(OR(L1419="",J1419=""),"",L1419*J1419)</f>
        <v/>
      </c>
      <c r="T1419" s="10">
        <f>IF(P1419="","",StartBank+SUM(P$2:P1419))</f>
        <v/>
      </c>
    </row>
    <row r="1420">
      <c r="A1420" s="22" t="n"/>
      <c r="G1420" s="21" t="n"/>
      <c r="H1420" s="11" t="n"/>
      <c r="I1420" s="21">
        <f>IF(OR(H1420="",H1420=0),"",1/H1420)</f>
        <v/>
      </c>
      <c r="J1420" s="11">
        <f>IF(OR(G1420="",H1420=""),"",H1420*G1420-1)</f>
        <v/>
      </c>
      <c r="K1420" s="10">
        <f>IF(OR(G1420="",H1420="",G1420&lt;=1),"",IF(J1420&lt;IF(D1420="Builder",MinEdgeBuilder,IF(D1420="Player",MinEdgePlayer,MinEdgeSingle)),0,ROUND(MIN(IF(D1420="Single",KellySingle,KellyBuilder)*(StartBank+SUM(P$1:P1419))*J1420/(G1420-1),IF(D1420="Builder",CapBuilder,CapSingle)*Unit),2)))</f>
        <v/>
      </c>
      <c r="L1420" s="10" t="n"/>
      <c r="N1420" s="10" t="n"/>
      <c r="O1420" s="10">
        <f>IF(L1420="","",IF(M1420="Won",L1420*G1420,IF(M1420="Void",L1420,IF(M1420="Cash out",N(N1420),IF(M1420="Lost",0,"")))))</f>
        <v/>
      </c>
      <c r="P1420" s="10">
        <f>IF(OR(L1420="",M1420="",M1420="Pending"),"",O1420-L1420)</f>
        <v/>
      </c>
      <c r="Q1420" s="21" t="n"/>
      <c r="R1420" s="11">
        <f>IF(OR(G1420="",Q1420=""),"",G1420/Q1420-1)</f>
        <v/>
      </c>
      <c r="S1420" s="10">
        <f>IF(OR(L1420="",J1420=""),"",L1420*J1420)</f>
        <v/>
      </c>
      <c r="T1420" s="10">
        <f>IF(P1420="","",StartBank+SUM(P$2:P1420))</f>
        <v/>
      </c>
    </row>
    <row r="1421">
      <c r="A1421" s="22" t="n"/>
      <c r="G1421" s="21" t="n"/>
      <c r="H1421" s="11" t="n"/>
      <c r="I1421" s="21">
        <f>IF(OR(H1421="",H1421=0),"",1/H1421)</f>
        <v/>
      </c>
      <c r="J1421" s="11">
        <f>IF(OR(G1421="",H1421=""),"",H1421*G1421-1)</f>
        <v/>
      </c>
      <c r="K1421" s="10">
        <f>IF(OR(G1421="",H1421="",G1421&lt;=1),"",IF(J1421&lt;IF(D1421="Builder",MinEdgeBuilder,IF(D1421="Player",MinEdgePlayer,MinEdgeSingle)),0,ROUND(MIN(IF(D1421="Single",KellySingle,KellyBuilder)*(StartBank+SUM(P$1:P1420))*J1421/(G1421-1),IF(D1421="Builder",CapBuilder,CapSingle)*Unit),2)))</f>
        <v/>
      </c>
      <c r="L1421" s="10" t="n"/>
      <c r="N1421" s="10" t="n"/>
      <c r="O1421" s="10">
        <f>IF(L1421="","",IF(M1421="Won",L1421*G1421,IF(M1421="Void",L1421,IF(M1421="Cash out",N(N1421),IF(M1421="Lost",0,"")))))</f>
        <v/>
      </c>
      <c r="P1421" s="10">
        <f>IF(OR(L1421="",M1421="",M1421="Pending"),"",O1421-L1421)</f>
        <v/>
      </c>
      <c r="Q1421" s="21" t="n"/>
      <c r="R1421" s="11">
        <f>IF(OR(G1421="",Q1421=""),"",G1421/Q1421-1)</f>
        <v/>
      </c>
      <c r="S1421" s="10">
        <f>IF(OR(L1421="",J1421=""),"",L1421*J1421)</f>
        <v/>
      </c>
      <c r="T1421" s="10">
        <f>IF(P1421="","",StartBank+SUM(P$2:P1421))</f>
        <v/>
      </c>
    </row>
    <row r="1422">
      <c r="A1422" s="22" t="n"/>
      <c r="G1422" s="21" t="n"/>
      <c r="H1422" s="11" t="n"/>
      <c r="I1422" s="21">
        <f>IF(OR(H1422="",H1422=0),"",1/H1422)</f>
        <v/>
      </c>
      <c r="J1422" s="11">
        <f>IF(OR(G1422="",H1422=""),"",H1422*G1422-1)</f>
        <v/>
      </c>
      <c r="K1422" s="10">
        <f>IF(OR(G1422="",H1422="",G1422&lt;=1),"",IF(J1422&lt;IF(D1422="Builder",MinEdgeBuilder,IF(D1422="Player",MinEdgePlayer,MinEdgeSingle)),0,ROUND(MIN(IF(D1422="Single",KellySingle,KellyBuilder)*(StartBank+SUM(P$1:P1421))*J1422/(G1422-1),IF(D1422="Builder",CapBuilder,CapSingle)*Unit),2)))</f>
        <v/>
      </c>
      <c r="L1422" s="10" t="n"/>
      <c r="N1422" s="10" t="n"/>
      <c r="O1422" s="10">
        <f>IF(L1422="","",IF(M1422="Won",L1422*G1422,IF(M1422="Void",L1422,IF(M1422="Cash out",N(N1422),IF(M1422="Lost",0,"")))))</f>
        <v/>
      </c>
      <c r="P1422" s="10">
        <f>IF(OR(L1422="",M1422="",M1422="Pending"),"",O1422-L1422)</f>
        <v/>
      </c>
      <c r="Q1422" s="21" t="n"/>
      <c r="R1422" s="11">
        <f>IF(OR(G1422="",Q1422=""),"",G1422/Q1422-1)</f>
        <v/>
      </c>
      <c r="S1422" s="10">
        <f>IF(OR(L1422="",J1422=""),"",L1422*J1422)</f>
        <v/>
      </c>
      <c r="T1422" s="10">
        <f>IF(P1422="","",StartBank+SUM(P$2:P1422))</f>
        <v/>
      </c>
    </row>
    <row r="1423">
      <c r="A1423" s="22" t="n"/>
      <c r="G1423" s="21" t="n"/>
      <c r="H1423" s="11" t="n"/>
      <c r="I1423" s="21">
        <f>IF(OR(H1423="",H1423=0),"",1/H1423)</f>
        <v/>
      </c>
      <c r="J1423" s="11">
        <f>IF(OR(G1423="",H1423=""),"",H1423*G1423-1)</f>
        <v/>
      </c>
      <c r="K1423" s="10">
        <f>IF(OR(G1423="",H1423="",G1423&lt;=1),"",IF(J1423&lt;IF(D1423="Builder",MinEdgeBuilder,IF(D1423="Player",MinEdgePlayer,MinEdgeSingle)),0,ROUND(MIN(IF(D1423="Single",KellySingle,KellyBuilder)*(StartBank+SUM(P$1:P1422))*J1423/(G1423-1),IF(D1423="Builder",CapBuilder,CapSingle)*Unit),2)))</f>
        <v/>
      </c>
      <c r="L1423" s="10" t="n"/>
      <c r="N1423" s="10" t="n"/>
      <c r="O1423" s="10">
        <f>IF(L1423="","",IF(M1423="Won",L1423*G1423,IF(M1423="Void",L1423,IF(M1423="Cash out",N(N1423),IF(M1423="Lost",0,"")))))</f>
        <v/>
      </c>
      <c r="P1423" s="10">
        <f>IF(OR(L1423="",M1423="",M1423="Pending"),"",O1423-L1423)</f>
        <v/>
      </c>
      <c r="Q1423" s="21" t="n"/>
      <c r="R1423" s="11">
        <f>IF(OR(G1423="",Q1423=""),"",G1423/Q1423-1)</f>
        <v/>
      </c>
      <c r="S1423" s="10">
        <f>IF(OR(L1423="",J1423=""),"",L1423*J1423)</f>
        <v/>
      </c>
      <c r="T1423" s="10">
        <f>IF(P1423="","",StartBank+SUM(P$2:P1423))</f>
        <v/>
      </c>
    </row>
    <row r="1424">
      <c r="A1424" s="22" t="n"/>
      <c r="G1424" s="21" t="n"/>
      <c r="H1424" s="11" t="n"/>
      <c r="I1424" s="21">
        <f>IF(OR(H1424="",H1424=0),"",1/H1424)</f>
        <v/>
      </c>
      <c r="J1424" s="11">
        <f>IF(OR(G1424="",H1424=""),"",H1424*G1424-1)</f>
        <v/>
      </c>
      <c r="K1424" s="10">
        <f>IF(OR(G1424="",H1424="",G1424&lt;=1),"",IF(J1424&lt;IF(D1424="Builder",MinEdgeBuilder,IF(D1424="Player",MinEdgePlayer,MinEdgeSingle)),0,ROUND(MIN(IF(D1424="Single",KellySingle,KellyBuilder)*(StartBank+SUM(P$1:P1423))*J1424/(G1424-1),IF(D1424="Builder",CapBuilder,CapSingle)*Unit),2)))</f>
        <v/>
      </c>
      <c r="L1424" s="10" t="n"/>
      <c r="N1424" s="10" t="n"/>
      <c r="O1424" s="10">
        <f>IF(L1424="","",IF(M1424="Won",L1424*G1424,IF(M1424="Void",L1424,IF(M1424="Cash out",N(N1424),IF(M1424="Lost",0,"")))))</f>
        <v/>
      </c>
      <c r="P1424" s="10">
        <f>IF(OR(L1424="",M1424="",M1424="Pending"),"",O1424-L1424)</f>
        <v/>
      </c>
      <c r="Q1424" s="21" t="n"/>
      <c r="R1424" s="11">
        <f>IF(OR(G1424="",Q1424=""),"",G1424/Q1424-1)</f>
        <v/>
      </c>
      <c r="S1424" s="10">
        <f>IF(OR(L1424="",J1424=""),"",L1424*J1424)</f>
        <v/>
      </c>
      <c r="T1424" s="10">
        <f>IF(P1424="","",StartBank+SUM(P$2:P1424))</f>
        <v/>
      </c>
    </row>
    <row r="1425">
      <c r="A1425" s="22" t="n"/>
      <c r="G1425" s="21" t="n"/>
      <c r="H1425" s="11" t="n"/>
      <c r="I1425" s="21">
        <f>IF(OR(H1425="",H1425=0),"",1/H1425)</f>
        <v/>
      </c>
      <c r="J1425" s="11">
        <f>IF(OR(G1425="",H1425=""),"",H1425*G1425-1)</f>
        <v/>
      </c>
      <c r="K1425" s="10">
        <f>IF(OR(G1425="",H1425="",G1425&lt;=1),"",IF(J1425&lt;IF(D1425="Builder",MinEdgeBuilder,IF(D1425="Player",MinEdgePlayer,MinEdgeSingle)),0,ROUND(MIN(IF(D1425="Single",KellySingle,KellyBuilder)*(StartBank+SUM(P$1:P1424))*J1425/(G1425-1),IF(D1425="Builder",CapBuilder,CapSingle)*Unit),2)))</f>
        <v/>
      </c>
      <c r="L1425" s="10" t="n"/>
      <c r="N1425" s="10" t="n"/>
      <c r="O1425" s="10">
        <f>IF(L1425="","",IF(M1425="Won",L1425*G1425,IF(M1425="Void",L1425,IF(M1425="Cash out",N(N1425),IF(M1425="Lost",0,"")))))</f>
        <v/>
      </c>
      <c r="P1425" s="10">
        <f>IF(OR(L1425="",M1425="",M1425="Pending"),"",O1425-L1425)</f>
        <v/>
      </c>
      <c r="Q1425" s="21" t="n"/>
      <c r="R1425" s="11">
        <f>IF(OR(G1425="",Q1425=""),"",G1425/Q1425-1)</f>
        <v/>
      </c>
      <c r="S1425" s="10">
        <f>IF(OR(L1425="",J1425=""),"",L1425*J1425)</f>
        <v/>
      </c>
      <c r="T1425" s="10">
        <f>IF(P1425="","",StartBank+SUM(P$2:P1425))</f>
        <v/>
      </c>
    </row>
    <row r="1426">
      <c r="A1426" s="22" t="n"/>
      <c r="G1426" s="21" t="n"/>
      <c r="H1426" s="11" t="n"/>
      <c r="I1426" s="21">
        <f>IF(OR(H1426="",H1426=0),"",1/H1426)</f>
        <v/>
      </c>
      <c r="J1426" s="11">
        <f>IF(OR(G1426="",H1426=""),"",H1426*G1426-1)</f>
        <v/>
      </c>
      <c r="K1426" s="10">
        <f>IF(OR(G1426="",H1426="",G1426&lt;=1),"",IF(J1426&lt;IF(D1426="Builder",MinEdgeBuilder,IF(D1426="Player",MinEdgePlayer,MinEdgeSingle)),0,ROUND(MIN(IF(D1426="Single",KellySingle,KellyBuilder)*(StartBank+SUM(P$1:P1425))*J1426/(G1426-1),IF(D1426="Builder",CapBuilder,CapSingle)*Unit),2)))</f>
        <v/>
      </c>
      <c r="L1426" s="10" t="n"/>
      <c r="N1426" s="10" t="n"/>
      <c r="O1426" s="10">
        <f>IF(L1426="","",IF(M1426="Won",L1426*G1426,IF(M1426="Void",L1426,IF(M1426="Cash out",N(N1426),IF(M1426="Lost",0,"")))))</f>
        <v/>
      </c>
      <c r="P1426" s="10">
        <f>IF(OR(L1426="",M1426="",M1426="Pending"),"",O1426-L1426)</f>
        <v/>
      </c>
      <c r="Q1426" s="21" t="n"/>
      <c r="R1426" s="11">
        <f>IF(OR(G1426="",Q1426=""),"",G1426/Q1426-1)</f>
        <v/>
      </c>
      <c r="S1426" s="10">
        <f>IF(OR(L1426="",J1426=""),"",L1426*J1426)</f>
        <v/>
      </c>
      <c r="T1426" s="10">
        <f>IF(P1426="","",StartBank+SUM(P$2:P1426))</f>
        <v/>
      </c>
    </row>
    <row r="1427">
      <c r="A1427" s="22" t="n"/>
      <c r="G1427" s="21" t="n"/>
      <c r="H1427" s="11" t="n"/>
      <c r="I1427" s="21">
        <f>IF(OR(H1427="",H1427=0),"",1/H1427)</f>
        <v/>
      </c>
      <c r="J1427" s="11">
        <f>IF(OR(G1427="",H1427=""),"",H1427*G1427-1)</f>
        <v/>
      </c>
      <c r="K1427" s="10">
        <f>IF(OR(G1427="",H1427="",G1427&lt;=1),"",IF(J1427&lt;IF(D1427="Builder",MinEdgeBuilder,IF(D1427="Player",MinEdgePlayer,MinEdgeSingle)),0,ROUND(MIN(IF(D1427="Single",KellySingle,KellyBuilder)*(StartBank+SUM(P$1:P1426))*J1427/(G1427-1),IF(D1427="Builder",CapBuilder,CapSingle)*Unit),2)))</f>
        <v/>
      </c>
      <c r="L1427" s="10" t="n"/>
      <c r="N1427" s="10" t="n"/>
      <c r="O1427" s="10">
        <f>IF(L1427="","",IF(M1427="Won",L1427*G1427,IF(M1427="Void",L1427,IF(M1427="Cash out",N(N1427),IF(M1427="Lost",0,"")))))</f>
        <v/>
      </c>
      <c r="P1427" s="10">
        <f>IF(OR(L1427="",M1427="",M1427="Pending"),"",O1427-L1427)</f>
        <v/>
      </c>
      <c r="Q1427" s="21" t="n"/>
      <c r="R1427" s="11">
        <f>IF(OR(G1427="",Q1427=""),"",G1427/Q1427-1)</f>
        <v/>
      </c>
      <c r="S1427" s="10">
        <f>IF(OR(L1427="",J1427=""),"",L1427*J1427)</f>
        <v/>
      </c>
      <c r="T1427" s="10">
        <f>IF(P1427="","",StartBank+SUM(P$2:P1427))</f>
        <v/>
      </c>
    </row>
    <row r="1428">
      <c r="A1428" s="22" t="n"/>
      <c r="G1428" s="21" t="n"/>
      <c r="H1428" s="11" t="n"/>
      <c r="I1428" s="21">
        <f>IF(OR(H1428="",H1428=0),"",1/H1428)</f>
        <v/>
      </c>
      <c r="J1428" s="11">
        <f>IF(OR(G1428="",H1428=""),"",H1428*G1428-1)</f>
        <v/>
      </c>
      <c r="K1428" s="10">
        <f>IF(OR(G1428="",H1428="",G1428&lt;=1),"",IF(J1428&lt;IF(D1428="Builder",MinEdgeBuilder,IF(D1428="Player",MinEdgePlayer,MinEdgeSingle)),0,ROUND(MIN(IF(D1428="Single",KellySingle,KellyBuilder)*(StartBank+SUM(P$1:P1427))*J1428/(G1428-1),IF(D1428="Builder",CapBuilder,CapSingle)*Unit),2)))</f>
        <v/>
      </c>
      <c r="L1428" s="10" t="n"/>
      <c r="N1428" s="10" t="n"/>
      <c r="O1428" s="10">
        <f>IF(L1428="","",IF(M1428="Won",L1428*G1428,IF(M1428="Void",L1428,IF(M1428="Cash out",N(N1428),IF(M1428="Lost",0,"")))))</f>
        <v/>
      </c>
      <c r="P1428" s="10">
        <f>IF(OR(L1428="",M1428="",M1428="Pending"),"",O1428-L1428)</f>
        <v/>
      </c>
      <c r="Q1428" s="21" t="n"/>
      <c r="R1428" s="11">
        <f>IF(OR(G1428="",Q1428=""),"",G1428/Q1428-1)</f>
        <v/>
      </c>
      <c r="S1428" s="10">
        <f>IF(OR(L1428="",J1428=""),"",L1428*J1428)</f>
        <v/>
      </c>
      <c r="T1428" s="10">
        <f>IF(P1428="","",StartBank+SUM(P$2:P1428))</f>
        <v/>
      </c>
    </row>
    <row r="1429">
      <c r="A1429" s="22" t="n"/>
      <c r="G1429" s="21" t="n"/>
      <c r="H1429" s="11" t="n"/>
      <c r="I1429" s="21">
        <f>IF(OR(H1429="",H1429=0),"",1/H1429)</f>
        <v/>
      </c>
      <c r="J1429" s="11">
        <f>IF(OR(G1429="",H1429=""),"",H1429*G1429-1)</f>
        <v/>
      </c>
      <c r="K1429" s="10">
        <f>IF(OR(G1429="",H1429="",G1429&lt;=1),"",IF(J1429&lt;IF(D1429="Builder",MinEdgeBuilder,IF(D1429="Player",MinEdgePlayer,MinEdgeSingle)),0,ROUND(MIN(IF(D1429="Single",KellySingle,KellyBuilder)*(StartBank+SUM(P$1:P1428))*J1429/(G1429-1),IF(D1429="Builder",CapBuilder,CapSingle)*Unit),2)))</f>
        <v/>
      </c>
      <c r="L1429" s="10" t="n"/>
      <c r="N1429" s="10" t="n"/>
      <c r="O1429" s="10">
        <f>IF(L1429="","",IF(M1429="Won",L1429*G1429,IF(M1429="Void",L1429,IF(M1429="Cash out",N(N1429),IF(M1429="Lost",0,"")))))</f>
        <v/>
      </c>
      <c r="P1429" s="10">
        <f>IF(OR(L1429="",M1429="",M1429="Pending"),"",O1429-L1429)</f>
        <v/>
      </c>
      <c r="Q1429" s="21" t="n"/>
      <c r="R1429" s="11">
        <f>IF(OR(G1429="",Q1429=""),"",G1429/Q1429-1)</f>
        <v/>
      </c>
      <c r="S1429" s="10">
        <f>IF(OR(L1429="",J1429=""),"",L1429*J1429)</f>
        <v/>
      </c>
      <c r="T1429" s="10">
        <f>IF(P1429="","",StartBank+SUM(P$2:P1429))</f>
        <v/>
      </c>
    </row>
    <row r="1430">
      <c r="A1430" s="22" t="n"/>
      <c r="G1430" s="21" t="n"/>
      <c r="H1430" s="11" t="n"/>
      <c r="I1430" s="21">
        <f>IF(OR(H1430="",H1430=0),"",1/H1430)</f>
        <v/>
      </c>
      <c r="J1430" s="11">
        <f>IF(OR(G1430="",H1430=""),"",H1430*G1430-1)</f>
        <v/>
      </c>
      <c r="K1430" s="10">
        <f>IF(OR(G1430="",H1430="",G1430&lt;=1),"",IF(J1430&lt;IF(D1430="Builder",MinEdgeBuilder,IF(D1430="Player",MinEdgePlayer,MinEdgeSingle)),0,ROUND(MIN(IF(D1430="Single",KellySingle,KellyBuilder)*(StartBank+SUM(P$1:P1429))*J1430/(G1430-1),IF(D1430="Builder",CapBuilder,CapSingle)*Unit),2)))</f>
        <v/>
      </c>
      <c r="L1430" s="10" t="n"/>
      <c r="N1430" s="10" t="n"/>
      <c r="O1430" s="10">
        <f>IF(L1430="","",IF(M1430="Won",L1430*G1430,IF(M1430="Void",L1430,IF(M1430="Cash out",N(N1430),IF(M1430="Lost",0,"")))))</f>
        <v/>
      </c>
      <c r="P1430" s="10">
        <f>IF(OR(L1430="",M1430="",M1430="Pending"),"",O1430-L1430)</f>
        <v/>
      </c>
      <c r="Q1430" s="21" t="n"/>
      <c r="R1430" s="11">
        <f>IF(OR(G1430="",Q1430=""),"",G1430/Q1430-1)</f>
        <v/>
      </c>
      <c r="S1430" s="10">
        <f>IF(OR(L1430="",J1430=""),"",L1430*J1430)</f>
        <v/>
      </c>
      <c r="T1430" s="10">
        <f>IF(P1430="","",StartBank+SUM(P$2:P1430))</f>
        <v/>
      </c>
    </row>
    <row r="1431">
      <c r="A1431" s="22" t="n"/>
      <c r="G1431" s="21" t="n"/>
      <c r="H1431" s="11" t="n"/>
      <c r="I1431" s="21">
        <f>IF(OR(H1431="",H1431=0),"",1/H1431)</f>
        <v/>
      </c>
      <c r="J1431" s="11">
        <f>IF(OR(G1431="",H1431=""),"",H1431*G1431-1)</f>
        <v/>
      </c>
      <c r="K1431" s="10">
        <f>IF(OR(G1431="",H1431="",G1431&lt;=1),"",IF(J1431&lt;IF(D1431="Builder",MinEdgeBuilder,IF(D1431="Player",MinEdgePlayer,MinEdgeSingle)),0,ROUND(MIN(IF(D1431="Single",KellySingle,KellyBuilder)*(StartBank+SUM(P$1:P1430))*J1431/(G1431-1),IF(D1431="Builder",CapBuilder,CapSingle)*Unit),2)))</f>
        <v/>
      </c>
      <c r="L1431" s="10" t="n"/>
      <c r="N1431" s="10" t="n"/>
      <c r="O1431" s="10">
        <f>IF(L1431="","",IF(M1431="Won",L1431*G1431,IF(M1431="Void",L1431,IF(M1431="Cash out",N(N1431),IF(M1431="Lost",0,"")))))</f>
        <v/>
      </c>
      <c r="P1431" s="10">
        <f>IF(OR(L1431="",M1431="",M1431="Pending"),"",O1431-L1431)</f>
        <v/>
      </c>
      <c r="Q1431" s="21" t="n"/>
      <c r="R1431" s="11">
        <f>IF(OR(G1431="",Q1431=""),"",G1431/Q1431-1)</f>
        <v/>
      </c>
      <c r="S1431" s="10">
        <f>IF(OR(L1431="",J1431=""),"",L1431*J1431)</f>
        <v/>
      </c>
      <c r="T1431" s="10">
        <f>IF(P1431="","",StartBank+SUM(P$2:P1431))</f>
        <v/>
      </c>
    </row>
    <row r="1432">
      <c r="A1432" s="22" t="n"/>
      <c r="G1432" s="21" t="n"/>
      <c r="H1432" s="11" t="n"/>
      <c r="I1432" s="21">
        <f>IF(OR(H1432="",H1432=0),"",1/H1432)</f>
        <v/>
      </c>
      <c r="J1432" s="11">
        <f>IF(OR(G1432="",H1432=""),"",H1432*G1432-1)</f>
        <v/>
      </c>
      <c r="K1432" s="10">
        <f>IF(OR(G1432="",H1432="",G1432&lt;=1),"",IF(J1432&lt;IF(D1432="Builder",MinEdgeBuilder,IF(D1432="Player",MinEdgePlayer,MinEdgeSingle)),0,ROUND(MIN(IF(D1432="Single",KellySingle,KellyBuilder)*(StartBank+SUM(P$1:P1431))*J1432/(G1432-1),IF(D1432="Builder",CapBuilder,CapSingle)*Unit),2)))</f>
        <v/>
      </c>
      <c r="L1432" s="10" t="n"/>
      <c r="N1432" s="10" t="n"/>
      <c r="O1432" s="10">
        <f>IF(L1432="","",IF(M1432="Won",L1432*G1432,IF(M1432="Void",L1432,IF(M1432="Cash out",N(N1432),IF(M1432="Lost",0,"")))))</f>
        <v/>
      </c>
      <c r="P1432" s="10">
        <f>IF(OR(L1432="",M1432="",M1432="Pending"),"",O1432-L1432)</f>
        <v/>
      </c>
      <c r="Q1432" s="21" t="n"/>
      <c r="R1432" s="11">
        <f>IF(OR(G1432="",Q1432=""),"",G1432/Q1432-1)</f>
        <v/>
      </c>
      <c r="S1432" s="10">
        <f>IF(OR(L1432="",J1432=""),"",L1432*J1432)</f>
        <v/>
      </c>
      <c r="T1432" s="10">
        <f>IF(P1432="","",StartBank+SUM(P$2:P1432))</f>
        <v/>
      </c>
    </row>
    <row r="1433">
      <c r="A1433" s="22" t="n"/>
      <c r="G1433" s="21" t="n"/>
      <c r="H1433" s="11" t="n"/>
      <c r="I1433" s="21">
        <f>IF(OR(H1433="",H1433=0),"",1/H1433)</f>
        <v/>
      </c>
      <c r="J1433" s="11">
        <f>IF(OR(G1433="",H1433=""),"",H1433*G1433-1)</f>
        <v/>
      </c>
      <c r="K1433" s="10">
        <f>IF(OR(G1433="",H1433="",G1433&lt;=1),"",IF(J1433&lt;IF(D1433="Builder",MinEdgeBuilder,IF(D1433="Player",MinEdgePlayer,MinEdgeSingle)),0,ROUND(MIN(IF(D1433="Single",KellySingle,KellyBuilder)*(StartBank+SUM(P$1:P1432))*J1433/(G1433-1),IF(D1433="Builder",CapBuilder,CapSingle)*Unit),2)))</f>
        <v/>
      </c>
      <c r="L1433" s="10" t="n"/>
      <c r="N1433" s="10" t="n"/>
      <c r="O1433" s="10">
        <f>IF(L1433="","",IF(M1433="Won",L1433*G1433,IF(M1433="Void",L1433,IF(M1433="Cash out",N(N1433),IF(M1433="Lost",0,"")))))</f>
        <v/>
      </c>
      <c r="P1433" s="10">
        <f>IF(OR(L1433="",M1433="",M1433="Pending"),"",O1433-L1433)</f>
        <v/>
      </c>
      <c r="Q1433" s="21" t="n"/>
      <c r="R1433" s="11">
        <f>IF(OR(G1433="",Q1433=""),"",G1433/Q1433-1)</f>
        <v/>
      </c>
      <c r="S1433" s="10">
        <f>IF(OR(L1433="",J1433=""),"",L1433*J1433)</f>
        <v/>
      </c>
      <c r="T1433" s="10">
        <f>IF(P1433="","",StartBank+SUM(P$2:P1433))</f>
        <v/>
      </c>
    </row>
    <row r="1434">
      <c r="A1434" s="22" t="n"/>
      <c r="G1434" s="21" t="n"/>
      <c r="H1434" s="11" t="n"/>
      <c r="I1434" s="21">
        <f>IF(OR(H1434="",H1434=0),"",1/H1434)</f>
        <v/>
      </c>
      <c r="J1434" s="11">
        <f>IF(OR(G1434="",H1434=""),"",H1434*G1434-1)</f>
        <v/>
      </c>
      <c r="K1434" s="10">
        <f>IF(OR(G1434="",H1434="",G1434&lt;=1),"",IF(J1434&lt;IF(D1434="Builder",MinEdgeBuilder,IF(D1434="Player",MinEdgePlayer,MinEdgeSingle)),0,ROUND(MIN(IF(D1434="Single",KellySingle,KellyBuilder)*(StartBank+SUM(P$1:P1433))*J1434/(G1434-1),IF(D1434="Builder",CapBuilder,CapSingle)*Unit),2)))</f>
        <v/>
      </c>
      <c r="L1434" s="10" t="n"/>
      <c r="N1434" s="10" t="n"/>
      <c r="O1434" s="10">
        <f>IF(L1434="","",IF(M1434="Won",L1434*G1434,IF(M1434="Void",L1434,IF(M1434="Cash out",N(N1434),IF(M1434="Lost",0,"")))))</f>
        <v/>
      </c>
      <c r="P1434" s="10">
        <f>IF(OR(L1434="",M1434="",M1434="Pending"),"",O1434-L1434)</f>
        <v/>
      </c>
      <c r="Q1434" s="21" t="n"/>
      <c r="R1434" s="11">
        <f>IF(OR(G1434="",Q1434=""),"",G1434/Q1434-1)</f>
        <v/>
      </c>
      <c r="S1434" s="10">
        <f>IF(OR(L1434="",J1434=""),"",L1434*J1434)</f>
        <v/>
      </c>
      <c r="T1434" s="10">
        <f>IF(P1434="","",StartBank+SUM(P$2:P1434))</f>
        <v/>
      </c>
    </row>
    <row r="1435">
      <c r="A1435" s="22" t="n"/>
      <c r="G1435" s="21" t="n"/>
      <c r="H1435" s="11" t="n"/>
      <c r="I1435" s="21">
        <f>IF(OR(H1435="",H1435=0),"",1/H1435)</f>
        <v/>
      </c>
      <c r="J1435" s="11">
        <f>IF(OR(G1435="",H1435=""),"",H1435*G1435-1)</f>
        <v/>
      </c>
      <c r="K1435" s="10">
        <f>IF(OR(G1435="",H1435="",G1435&lt;=1),"",IF(J1435&lt;IF(D1435="Builder",MinEdgeBuilder,IF(D1435="Player",MinEdgePlayer,MinEdgeSingle)),0,ROUND(MIN(IF(D1435="Single",KellySingle,KellyBuilder)*(StartBank+SUM(P$1:P1434))*J1435/(G1435-1),IF(D1435="Builder",CapBuilder,CapSingle)*Unit),2)))</f>
        <v/>
      </c>
      <c r="L1435" s="10" t="n"/>
      <c r="N1435" s="10" t="n"/>
      <c r="O1435" s="10">
        <f>IF(L1435="","",IF(M1435="Won",L1435*G1435,IF(M1435="Void",L1435,IF(M1435="Cash out",N(N1435),IF(M1435="Lost",0,"")))))</f>
        <v/>
      </c>
      <c r="P1435" s="10">
        <f>IF(OR(L1435="",M1435="",M1435="Pending"),"",O1435-L1435)</f>
        <v/>
      </c>
      <c r="Q1435" s="21" t="n"/>
      <c r="R1435" s="11">
        <f>IF(OR(G1435="",Q1435=""),"",G1435/Q1435-1)</f>
        <v/>
      </c>
      <c r="S1435" s="10">
        <f>IF(OR(L1435="",J1435=""),"",L1435*J1435)</f>
        <v/>
      </c>
      <c r="T1435" s="10">
        <f>IF(P1435="","",StartBank+SUM(P$2:P1435))</f>
        <v/>
      </c>
    </row>
    <row r="1436">
      <c r="A1436" s="22" t="n"/>
      <c r="G1436" s="21" t="n"/>
      <c r="H1436" s="11" t="n"/>
      <c r="I1436" s="21">
        <f>IF(OR(H1436="",H1436=0),"",1/H1436)</f>
        <v/>
      </c>
      <c r="J1436" s="11">
        <f>IF(OR(G1436="",H1436=""),"",H1436*G1436-1)</f>
        <v/>
      </c>
      <c r="K1436" s="10">
        <f>IF(OR(G1436="",H1436="",G1436&lt;=1),"",IF(J1436&lt;IF(D1436="Builder",MinEdgeBuilder,IF(D1436="Player",MinEdgePlayer,MinEdgeSingle)),0,ROUND(MIN(IF(D1436="Single",KellySingle,KellyBuilder)*(StartBank+SUM(P$1:P1435))*J1436/(G1436-1),IF(D1436="Builder",CapBuilder,CapSingle)*Unit),2)))</f>
        <v/>
      </c>
      <c r="L1436" s="10" t="n"/>
      <c r="N1436" s="10" t="n"/>
      <c r="O1436" s="10">
        <f>IF(L1436="","",IF(M1436="Won",L1436*G1436,IF(M1436="Void",L1436,IF(M1436="Cash out",N(N1436),IF(M1436="Lost",0,"")))))</f>
        <v/>
      </c>
      <c r="P1436" s="10">
        <f>IF(OR(L1436="",M1436="",M1436="Pending"),"",O1436-L1436)</f>
        <v/>
      </c>
      <c r="Q1436" s="21" t="n"/>
      <c r="R1436" s="11">
        <f>IF(OR(G1436="",Q1436=""),"",G1436/Q1436-1)</f>
        <v/>
      </c>
      <c r="S1436" s="10">
        <f>IF(OR(L1436="",J1436=""),"",L1436*J1436)</f>
        <v/>
      </c>
      <c r="T1436" s="10">
        <f>IF(P1436="","",StartBank+SUM(P$2:P1436))</f>
        <v/>
      </c>
    </row>
    <row r="1437">
      <c r="A1437" s="22" t="n"/>
      <c r="G1437" s="21" t="n"/>
      <c r="H1437" s="11" t="n"/>
      <c r="I1437" s="21">
        <f>IF(OR(H1437="",H1437=0),"",1/H1437)</f>
        <v/>
      </c>
      <c r="J1437" s="11">
        <f>IF(OR(G1437="",H1437=""),"",H1437*G1437-1)</f>
        <v/>
      </c>
      <c r="K1437" s="10">
        <f>IF(OR(G1437="",H1437="",G1437&lt;=1),"",IF(J1437&lt;IF(D1437="Builder",MinEdgeBuilder,IF(D1437="Player",MinEdgePlayer,MinEdgeSingle)),0,ROUND(MIN(IF(D1437="Single",KellySingle,KellyBuilder)*(StartBank+SUM(P$1:P1436))*J1437/(G1437-1),IF(D1437="Builder",CapBuilder,CapSingle)*Unit),2)))</f>
        <v/>
      </c>
      <c r="L1437" s="10" t="n"/>
      <c r="N1437" s="10" t="n"/>
      <c r="O1437" s="10">
        <f>IF(L1437="","",IF(M1437="Won",L1437*G1437,IF(M1437="Void",L1437,IF(M1437="Cash out",N(N1437),IF(M1437="Lost",0,"")))))</f>
        <v/>
      </c>
      <c r="P1437" s="10">
        <f>IF(OR(L1437="",M1437="",M1437="Pending"),"",O1437-L1437)</f>
        <v/>
      </c>
      <c r="Q1437" s="21" t="n"/>
      <c r="R1437" s="11">
        <f>IF(OR(G1437="",Q1437=""),"",G1437/Q1437-1)</f>
        <v/>
      </c>
      <c r="S1437" s="10">
        <f>IF(OR(L1437="",J1437=""),"",L1437*J1437)</f>
        <v/>
      </c>
      <c r="T1437" s="10">
        <f>IF(P1437="","",StartBank+SUM(P$2:P1437))</f>
        <v/>
      </c>
    </row>
    <row r="1438">
      <c r="A1438" s="22" t="n"/>
      <c r="G1438" s="21" t="n"/>
      <c r="H1438" s="11" t="n"/>
      <c r="I1438" s="21">
        <f>IF(OR(H1438="",H1438=0),"",1/H1438)</f>
        <v/>
      </c>
      <c r="J1438" s="11">
        <f>IF(OR(G1438="",H1438=""),"",H1438*G1438-1)</f>
        <v/>
      </c>
      <c r="K1438" s="10">
        <f>IF(OR(G1438="",H1438="",G1438&lt;=1),"",IF(J1438&lt;IF(D1438="Builder",MinEdgeBuilder,IF(D1438="Player",MinEdgePlayer,MinEdgeSingle)),0,ROUND(MIN(IF(D1438="Single",KellySingle,KellyBuilder)*(StartBank+SUM(P$1:P1437))*J1438/(G1438-1),IF(D1438="Builder",CapBuilder,CapSingle)*Unit),2)))</f>
        <v/>
      </c>
      <c r="L1438" s="10" t="n"/>
      <c r="N1438" s="10" t="n"/>
      <c r="O1438" s="10">
        <f>IF(L1438="","",IF(M1438="Won",L1438*G1438,IF(M1438="Void",L1438,IF(M1438="Cash out",N(N1438),IF(M1438="Lost",0,"")))))</f>
        <v/>
      </c>
      <c r="P1438" s="10">
        <f>IF(OR(L1438="",M1438="",M1438="Pending"),"",O1438-L1438)</f>
        <v/>
      </c>
      <c r="Q1438" s="21" t="n"/>
      <c r="R1438" s="11">
        <f>IF(OR(G1438="",Q1438=""),"",G1438/Q1438-1)</f>
        <v/>
      </c>
      <c r="S1438" s="10">
        <f>IF(OR(L1438="",J1438=""),"",L1438*J1438)</f>
        <v/>
      </c>
      <c r="T1438" s="10">
        <f>IF(P1438="","",StartBank+SUM(P$2:P1438))</f>
        <v/>
      </c>
    </row>
    <row r="1439">
      <c r="A1439" s="22" t="n"/>
      <c r="G1439" s="21" t="n"/>
      <c r="H1439" s="11" t="n"/>
      <c r="I1439" s="21">
        <f>IF(OR(H1439="",H1439=0),"",1/H1439)</f>
        <v/>
      </c>
      <c r="J1439" s="11">
        <f>IF(OR(G1439="",H1439=""),"",H1439*G1439-1)</f>
        <v/>
      </c>
      <c r="K1439" s="10">
        <f>IF(OR(G1439="",H1439="",G1439&lt;=1),"",IF(J1439&lt;IF(D1439="Builder",MinEdgeBuilder,IF(D1439="Player",MinEdgePlayer,MinEdgeSingle)),0,ROUND(MIN(IF(D1439="Single",KellySingle,KellyBuilder)*(StartBank+SUM(P$1:P1438))*J1439/(G1439-1),IF(D1439="Builder",CapBuilder,CapSingle)*Unit),2)))</f>
        <v/>
      </c>
      <c r="L1439" s="10" t="n"/>
      <c r="N1439" s="10" t="n"/>
      <c r="O1439" s="10">
        <f>IF(L1439="","",IF(M1439="Won",L1439*G1439,IF(M1439="Void",L1439,IF(M1439="Cash out",N(N1439),IF(M1439="Lost",0,"")))))</f>
        <v/>
      </c>
      <c r="P1439" s="10">
        <f>IF(OR(L1439="",M1439="",M1439="Pending"),"",O1439-L1439)</f>
        <v/>
      </c>
      <c r="Q1439" s="21" t="n"/>
      <c r="R1439" s="11">
        <f>IF(OR(G1439="",Q1439=""),"",G1439/Q1439-1)</f>
        <v/>
      </c>
      <c r="S1439" s="10">
        <f>IF(OR(L1439="",J1439=""),"",L1439*J1439)</f>
        <v/>
      </c>
      <c r="T1439" s="10">
        <f>IF(P1439="","",StartBank+SUM(P$2:P1439))</f>
        <v/>
      </c>
    </row>
    <row r="1440">
      <c r="A1440" s="22" t="n"/>
      <c r="G1440" s="21" t="n"/>
      <c r="H1440" s="11" t="n"/>
      <c r="I1440" s="21">
        <f>IF(OR(H1440="",H1440=0),"",1/H1440)</f>
        <v/>
      </c>
      <c r="J1440" s="11">
        <f>IF(OR(G1440="",H1440=""),"",H1440*G1440-1)</f>
        <v/>
      </c>
      <c r="K1440" s="10">
        <f>IF(OR(G1440="",H1440="",G1440&lt;=1),"",IF(J1440&lt;IF(D1440="Builder",MinEdgeBuilder,IF(D1440="Player",MinEdgePlayer,MinEdgeSingle)),0,ROUND(MIN(IF(D1440="Single",KellySingle,KellyBuilder)*(StartBank+SUM(P$1:P1439))*J1440/(G1440-1),IF(D1440="Builder",CapBuilder,CapSingle)*Unit),2)))</f>
        <v/>
      </c>
      <c r="L1440" s="10" t="n"/>
      <c r="N1440" s="10" t="n"/>
      <c r="O1440" s="10">
        <f>IF(L1440="","",IF(M1440="Won",L1440*G1440,IF(M1440="Void",L1440,IF(M1440="Cash out",N(N1440),IF(M1440="Lost",0,"")))))</f>
        <v/>
      </c>
      <c r="P1440" s="10">
        <f>IF(OR(L1440="",M1440="",M1440="Pending"),"",O1440-L1440)</f>
        <v/>
      </c>
      <c r="Q1440" s="21" t="n"/>
      <c r="R1440" s="11">
        <f>IF(OR(G1440="",Q1440=""),"",G1440/Q1440-1)</f>
        <v/>
      </c>
      <c r="S1440" s="10">
        <f>IF(OR(L1440="",J1440=""),"",L1440*J1440)</f>
        <v/>
      </c>
      <c r="T1440" s="10">
        <f>IF(P1440="","",StartBank+SUM(P$2:P1440))</f>
        <v/>
      </c>
    </row>
    <row r="1441">
      <c r="A1441" s="22" t="n"/>
      <c r="G1441" s="21" t="n"/>
      <c r="H1441" s="11" t="n"/>
      <c r="I1441" s="21">
        <f>IF(OR(H1441="",H1441=0),"",1/H1441)</f>
        <v/>
      </c>
      <c r="J1441" s="11">
        <f>IF(OR(G1441="",H1441=""),"",H1441*G1441-1)</f>
        <v/>
      </c>
      <c r="K1441" s="10">
        <f>IF(OR(G1441="",H1441="",G1441&lt;=1),"",IF(J1441&lt;IF(D1441="Builder",MinEdgeBuilder,IF(D1441="Player",MinEdgePlayer,MinEdgeSingle)),0,ROUND(MIN(IF(D1441="Single",KellySingle,KellyBuilder)*(StartBank+SUM(P$1:P1440))*J1441/(G1441-1),IF(D1441="Builder",CapBuilder,CapSingle)*Unit),2)))</f>
        <v/>
      </c>
      <c r="L1441" s="10" t="n"/>
      <c r="N1441" s="10" t="n"/>
      <c r="O1441" s="10">
        <f>IF(L1441="","",IF(M1441="Won",L1441*G1441,IF(M1441="Void",L1441,IF(M1441="Cash out",N(N1441),IF(M1441="Lost",0,"")))))</f>
        <v/>
      </c>
      <c r="P1441" s="10">
        <f>IF(OR(L1441="",M1441="",M1441="Pending"),"",O1441-L1441)</f>
        <v/>
      </c>
      <c r="Q1441" s="21" t="n"/>
      <c r="R1441" s="11">
        <f>IF(OR(G1441="",Q1441=""),"",G1441/Q1441-1)</f>
        <v/>
      </c>
      <c r="S1441" s="10">
        <f>IF(OR(L1441="",J1441=""),"",L1441*J1441)</f>
        <v/>
      </c>
      <c r="T1441" s="10">
        <f>IF(P1441="","",StartBank+SUM(P$2:P1441))</f>
        <v/>
      </c>
    </row>
    <row r="1442">
      <c r="A1442" s="22" t="n"/>
      <c r="G1442" s="21" t="n"/>
      <c r="H1442" s="11" t="n"/>
      <c r="I1442" s="21">
        <f>IF(OR(H1442="",H1442=0),"",1/H1442)</f>
        <v/>
      </c>
      <c r="J1442" s="11">
        <f>IF(OR(G1442="",H1442=""),"",H1442*G1442-1)</f>
        <v/>
      </c>
      <c r="K1442" s="10">
        <f>IF(OR(G1442="",H1442="",G1442&lt;=1),"",IF(J1442&lt;IF(D1442="Builder",MinEdgeBuilder,IF(D1442="Player",MinEdgePlayer,MinEdgeSingle)),0,ROUND(MIN(IF(D1442="Single",KellySingle,KellyBuilder)*(StartBank+SUM(P$1:P1441))*J1442/(G1442-1),IF(D1442="Builder",CapBuilder,CapSingle)*Unit),2)))</f>
        <v/>
      </c>
      <c r="L1442" s="10" t="n"/>
      <c r="N1442" s="10" t="n"/>
      <c r="O1442" s="10">
        <f>IF(L1442="","",IF(M1442="Won",L1442*G1442,IF(M1442="Void",L1442,IF(M1442="Cash out",N(N1442),IF(M1442="Lost",0,"")))))</f>
        <v/>
      </c>
      <c r="P1442" s="10">
        <f>IF(OR(L1442="",M1442="",M1442="Pending"),"",O1442-L1442)</f>
        <v/>
      </c>
      <c r="Q1442" s="21" t="n"/>
      <c r="R1442" s="11">
        <f>IF(OR(G1442="",Q1442=""),"",G1442/Q1442-1)</f>
        <v/>
      </c>
      <c r="S1442" s="10">
        <f>IF(OR(L1442="",J1442=""),"",L1442*J1442)</f>
        <v/>
      </c>
      <c r="T1442" s="10">
        <f>IF(P1442="","",StartBank+SUM(P$2:P1442))</f>
        <v/>
      </c>
    </row>
    <row r="1443">
      <c r="A1443" s="22" t="n"/>
      <c r="G1443" s="21" t="n"/>
      <c r="H1443" s="11" t="n"/>
      <c r="I1443" s="21">
        <f>IF(OR(H1443="",H1443=0),"",1/H1443)</f>
        <v/>
      </c>
      <c r="J1443" s="11">
        <f>IF(OR(G1443="",H1443=""),"",H1443*G1443-1)</f>
        <v/>
      </c>
      <c r="K1443" s="10">
        <f>IF(OR(G1443="",H1443="",G1443&lt;=1),"",IF(J1443&lt;IF(D1443="Builder",MinEdgeBuilder,IF(D1443="Player",MinEdgePlayer,MinEdgeSingle)),0,ROUND(MIN(IF(D1443="Single",KellySingle,KellyBuilder)*(StartBank+SUM(P$1:P1442))*J1443/(G1443-1),IF(D1443="Builder",CapBuilder,CapSingle)*Unit),2)))</f>
        <v/>
      </c>
      <c r="L1443" s="10" t="n"/>
      <c r="N1443" s="10" t="n"/>
      <c r="O1443" s="10">
        <f>IF(L1443="","",IF(M1443="Won",L1443*G1443,IF(M1443="Void",L1443,IF(M1443="Cash out",N(N1443),IF(M1443="Lost",0,"")))))</f>
        <v/>
      </c>
      <c r="P1443" s="10">
        <f>IF(OR(L1443="",M1443="",M1443="Pending"),"",O1443-L1443)</f>
        <v/>
      </c>
      <c r="Q1443" s="21" t="n"/>
      <c r="R1443" s="11">
        <f>IF(OR(G1443="",Q1443=""),"",G1443/Q1443-1)</f>
        <v/>
      </c>
      <c r="S1443" s="10">
        <f>IF(OR(L1443="",J1443=""),"",L1443*J1443)</f>
        <v/>
      </c>
      <c r="T1443" s="10">
        <f>IF(P1443="","",StartBank+SUM(P$2:P1443))</f>
        <v/>
      </c>
    </row>
    <row r="1444">
      <c r="A1444" s="22" t="n"/>
      <c r="G1444" s="21" t="n"/>
      <c r="H1444" s="11" t="n"/>
      <c r="I1444" s="21">
        <f>IF(OR(H1444="",H1444=0),"",1/H1444)</f>
        <v/>
      </c>
      <c r="J1444" s="11">
        <f>IF(OR(G1444="",H1444=""),"",H1444*G1444-1)</f>
        <v/>
      </c>
      <c r="K1444" s="10">
        <f>IF(OR(G1444="",H1444="",G1444&lt;=1),"",IF(J1444&lt;IF(D1444="Builder",MinEdgeBuilder,IF(D1444="Player",MinEdgePlayer,MinEdgeSingle)),0,ROUND(MIN(IF(D1444="Single",KellySingle,KellyBuilder)*(StartBank+SUM(P$1:P1443))*J1444/(G1444-1),IF(D1444="Builder",CapBuilder,CapSingle)*Unit),2)))</f>
        <v/>
      </c>
      <c r="L1444" s="10" t="n"/>
      <c r="N1444" s="10" t="n"/>
      <c r="O1444" s="10">
        <f>IF(L1444="","",IF(M1444="Won",L1444*G1444,IF(M1444="Void",L1444,IF(M1444="Cash out",N(N1444),IF(M1444="Lost",0,"")))))</f>
        <v/>
      </c>
      <c r="P1444" s="10">
        <f>IF(OR(L1444="",M1444="",M1444="Pending"),"",O1444-L1444)</f>
        <v/>
      </c>
      <c r="Q1444" s="21" t="n"/>
      <c r="R1444" s="11">
        <f>IF(OR(G1444="",Q1444=""),"",G1444/Q1444-1)</f>
        <v/>
      </c>
      <c r="S1444" s="10">
        <f>IF(OR(L1444="",J1444=""),"",L1444*J1444)</f>
        <v/>
      </c>
      <c r="T1444" s="10">
        <f>IF(P1444="","",StartBank+SUM(P$2:P1444))</f>
        <v/>
      </c>
    </row>
    <row r="1445">
      <c r="A1445" s="22" t="n"/>
      <c r="G1445" s="21" t="n"/>
      <c r="H1445" s="11" t="n"/>
      <c r="I1445" s="21">
        <f>IF(OR(H1445="",H1445=0),"",1/H1445)</f>
        <v/>
      </c>
      <c r="J1445" s="11">
        <f>IF(OR(G1445="",H1445=""),"",H1445*G1445-1)</f>
        <v/>
      </c>
      <c r="K1445" s="10">
        <f>IF(OR(G1445="",H1445="",G1445&lt;=1),"",IF(J1445&lt;IF(D1445="Builder",MinEdgeBuilder,IF(D1445="Player",MinEdgePlayer,MinEdgeSingle)),0,ROUND(MIN(IF(D1445="Single",KellySingle,KellyBuilder)*(StartBank+SUM(P$1:P1444))*J1445/(G1445-1),IF(D1445="Builder",CapBuilder,CapSingle)*Unit),2)))</f>
        <v/>
      </c>
      <c r="L1445" s="10" t="n"/>
      <c r="N1445" s="10" t="n"/>
      <c r="O1445" s="10">
        <f>IF(L1445="","",IF(M1445="Won",L1445*G1445,IF(M1445="Void",L1445,IF(M1445="Cash out",N(N1445),IF(M1445="Lost",0,"")))))</f>
        <v/>
      </c>
      <c r="P1445" s="10">
        <f>IF(OR(L1445="",M1445="",M1445="Pending"),"",O1445-L1445)</f>
        <v/>
      </c>
      <c r="Q1445" s="21" t="n"/>
      <c r="R1445" s="11">
        <f>IF(OR(G1445="",Q1445=""),"",G1445/Q1445-1)</f>
        <v/>
      </c>
      <c r="S1445" s="10">
        <f>IF(OR(L1445="",J1445=""),"",L1445*J1445)</f>
        <v/>
      </c>
      <c r="T1445" s="10">
        <f>IF(P1445="","",StartBank+SUM(P$2:P1445))</f>
        <v/>
      </c>
    </row>
    <row r="1446">
      <c r="A1446" s="22" t="n"/>
      <c r="G1446" s="21" t="n"/>
      <c r="H1446" s="11" t="n"/>
      <c r="I1446" s="21">
        <f>IF(OR(H1446="",H1446=0),"",1/H1446)</f>
        <v/>
      </c>
      <c r="J1446" s="11">
        <f>IF(OR(G1446="",H1446=""),"",H1446*G1446-1)</f>
        <v/>
      </c>
      <c r="K1446" s="10">
        <f>IF(OR(G1446="",H1446="",G1446&lt;=1),"",IF(J1446&lt;IF(D1446="Builder",MinEdgeBuilder,IF(D1446="Player",MinEdgePlayer,MinEdgeSingle)),0,ROUND(MIN(IF(D1446="Single",KellySingle,KellyBuilder)*(StartBank+SUM(P$1:P1445))*J1446/(G1446-1),IF(D1446="Builder",CapBuilder,CapSingle)*Unit),2)))</f>
        <v/>
      </c>
      <c r="L1446" s="10" t="n"/>
      <c r="N1446" s="10" t="n"/>
      <c r="O1446" s="10">
        <f>IF(L1446="","",IF(M1446="Won",L1446*G1446,IF(M1446="Void",L1446,IF(M1446="Cash out",N(N1446),IF(M1446="Lost",0,"")))))</f>
        <v/>
      </c>
      <c r="P1446" s="10">
        <f>IF(OR(L1446="",M1446="",M1446="Pending"),"",O1446-L1446)</f>
        <v/>
      </c>
      <c r="Q1446" s="21" t="n"/>
      <c r="R1446" s="11">
        <f>IF(OR(G1446="",Q1446=""),"",G1446/Q1446-1)</f>
        <v/>
      </c>
      <c r="S1446" s="10">
        <f>IF(OR(L1446="",J1446=""),"",L1446*J1446)</f>
        <v/>
      </c>
      <c r="T1446" s="10">
        <f>IF(P1446="","",StartBank+SUM(P$2:P1446))</f>
        <v/>
      </c>
    </row>
    <row r="1447">
      <c r="A1447" s="22" t="n"/>
      <c r="G1447" s="21" t="n"/>
      <c r="H1447" s="11" t="n"/>
      <c r="I1447" s="21">
        <f>IF(OR(H1447="",H1447=0),"",1/H1447)</f>
        <v/>
      </c>
      <c r="J1447" s="11">
        <f>IF(OR(G1447="",H1447=""),"",H1447*G1447-1)</f>
        <v/>
      </c>
      <c r="K1447" s="10">
        <f>IF(OR(G1447="",H1447="",G1447&lt;=1),"",IF(J1447&lt;IF(D1447="Builder",MinEdgeBuilder,IF(D1447="Player",MinEdgePlayer,MinEdgeSingle)),0,ROUND(MIN(IF(D1447="Single",KellySingle,KellyBuilder)*(StartBank+SUM(P$1:P1446))*J1447/(G1447-1),IF(D1447="Builder",CapBuilder,CapSingle)*Unit),2)))</f>
        <v/>
      </c>
      <c r="L1447" s="10" t="n"/>
      <c r="N1447" s="10" t="n"/>
      <c r="O1447" s="10">
        <f>IF(L1447="","",IF(M1447="Won",L1447*G1447,IF(M1447="Void",L1447,IF(M1447="Cash out",N(N1447),IF(M1447="Lost",0,"")))))</f>
        <v/>
      </c>
      <c r="P1447" s="10">
        <f>IF(OR(L1447="",M1447="",M1447="Pending"),"",O1447-L1447)</f>
        <v/>
      </c>
      <c r="Q1447" s="21" t="n"/>
      <c r="R1447" s="11">
        <f>IF(OR(G1447="",Q1447=""),"",G1447/Q1447-1)</f>
        <v/>
      </c>
      <c r="S1447" s="10">
        <f>IF(OR(L1447="",J1447=""),"",L1447*J1447)</f>
        <v/>
      </c>
      <c r="T1447" s="10">
        <f>IF(P1447="","",StartBank+SUM(P$2:P1447))</f>
        <v/>
      </c>
    </row>
    <row r="1448">
      <c r="A1448" s="22" t="n"/>
      <c r="G1448" s="21" t="n"/>
      <c r="H1448" s="11" t="n"/>
      <c r="I1448" s="21">
        <f>IF(OR(H1448="",H1448=0),"",1/H1448)</f>
        <v/>
      </c>
      <c r="J1448" s="11">
        <f>IF(OR(G1448="",H1448=""),"",H1448*G1448-1)</f>
        <v/>
      </c>
      <c r="K1448" s="10">
        <f>IF(OR(G1448="",H1448="",G1448&lt;=1),"",IF(J1448&lt;IF(D1448="Builder",MinEdgeBuilder,IF(D1448="Player",MinEdgePlayer,MinEdgeSingle)),0,ROUND(MIN(IF(D1448="Single",KellySingle,KellyBuilder)*(StartBank+SUM(P$1:P1447))*J1448/(G1448-1),IF(D1448="Builder",CapBuilder,CapSingle)*Unit),2)))</f>
        <v/>
      </c>
      <c r="L1448" s="10" t="n"/>
      <c r="N1448" s="10" t="n"/>
      <c r="O1448" s="10">
        <f>IF(L1448="","",IF(M1448="Won",L1448*G1448,IF(M1448="Void",L1448,IF(M1448="Cash out",N(N1448),IF(M1448="Lost",0,"")))))</f>
        <v/>
      </c>
      <c r="P1448" s="10">
        <f>IF(OR(L1448="",M1448="",M1448="Pending"),"",O1448-L1448)</f>
        <v/>
      </c>
      <c r="Q1448" s="21" t="n"/>
      <c r="R1448" s="11">
        <f>IF(OR(G1448="",Q1448=""),"",G1448/Q1448-1)</f>
        <v/>
      </c>
      <c r="S1448" s="10">
        <f>IF(OR(L1448="",J1448=""),"",L1448*J1448)</f>
        <v/>
      </c>
      <c r="T1448" s="10">
        <f>IF(P1448="","",StartBank+SUM(P$2:P1448))</f>
        <v/>
      </c>
    </row>
    <row r="1449">
      <c r="A1449" s="22" t="n"/>
      <c r="G1449" s="21" t="n"/>
      <c r="H1449" s="11" t="n"/>
      <c r="I1449" s="21">
        <f>IF(OR(H1449="",H1449=0),"",1/H1449)</f>
        <v/>
      </c>
      <c r="J1449" s="11">
        <f>IF(OR(G1449="",H1449=""),"",H1449*G1449-1)</f>
        <v/>
      </c>
      <c r="K1449" s="10">
        <f>IF(OR(G1449="",H1449="",G1449&lt;=1),"",IF(J1449&lt;IF(D1449="Builder",MinEdgeBuilder,IF(D1449="Player",MinEdgePlayer,MinEdgeSingle)),0,ROUND(MIN(IF(D1449="Single",KellySingle,KellyBuilder)*(StartBank+SUM(P$1:P1448))*J1449/(G1449-1),IF(D1449="Builder",CapBuilder,CapSingle)*Unit),2)))</f>
        <v/>
      </c>
      <c r="L1449" s="10" t="n"/>
      <c r="N1449" s="10" t="n"/>
      <c r="O1449" s="10">
        <f>IF(L1449="","",IF(M1449="Won",L1449*G1449,IF(M1449="Void",L1449,IF(M1449="Cash out",N(N1449),IF(M1449="Lost",0,"")))))</f>
        <v/>
      </c>
      <c r="P1449" s="10">
        <f>IF(OR(L1449="",M1449="",M1449="Pending"),"",O1449-L1449)</f>
        <v/>
      </c>
      <c r="Q1449" s="21" t="n"/>
      <c r="R1449" s="11">
        <f>IF(OR(G1449="",Q1449=""),"",G1449/Q1449-1)</f>
        <v/>
      </c>
      <c r="S1449" s="10">
        <f>IF(OR(L1449="",J1449=""),"",L1449*J1449)</f>
        <v/>
      </c>
      <c r="T1449" s="10">
        <f>IF(P1449="","",StartBank+SUM(P$2:P1449))</f>
        <v/>
      </c>
    </row>
    <row r="1450">
      <c r="A1450" s="22" t="n"/>
      <c r="G1450" s="21" t="n"/>
      <c r="H1450" s="11" t="n"/>
      <c r="I1450" s="21">
        <f>IF(OR(H1450="",H1450=0),"",1/H1450)</f>
        <v/>
      </c>
      <c r="J1450" s="11">
        <f>IF(OR(G1450="",H1450=""),"",H1450*G1450-1)</f>
        <v/>
      </c>
      <c r="K1450" s="10">
        <f>IF(OR(G1450="",H1450="",G1450&lt;=1),"",IF(J1450&lt;IF(D1450="Builder",MinEdgeBuilder,IF(D1450="Player",MinEdgePlayer,MinEdgeSingle)),0,ROUND(MIN(IF(D1450="Single",KellySingle,KellyBuilder)*(StartBank+SUM(P$1:P1449))*J1450/(G1450-1),IF(D1450="Builder",CapBuilder,CapSingle)*Unit),2)))</f>
        <v/>
      </c>
      <c r="L1450" s="10" t="n"/>
      <c r="N1450" s="10" t="n"/>
      <c r="O1450" s="10">
        <f>IF(L1450="","",IF(M1450="Won",L1450*G1450,IF(M1450="Void",L1450,IF(M1450="Cash out",N(N1450),IF(M1450="Lost",0,"")))))</f>
        <v/>
      </c>
      <c r="P1450" s="10">
        <f>IF(OR(L1450="",M1450="",M1450="Pending"),"",O1450-L1450)</f>
        <v/>
      </c>
      <c r="Q1450" s="21" t="n"/>
      <c r="R1450" s="11">
        <f>IF(OR(G1450="",Q1450=""),"",G1450/Q1450-1)</f>
        <v/>
      </c>
      <c r="S1450" s="10">
        <f>IF(OR(L1450="",J1450=""),"",L1450*J1450)</f>
        <v/>
      </c>
      <c r="T1450" s="10">
        <f>IF(P1450="","",StartBank+SUM(P$2:P1450))</f>
        <v/>
      </c>
    </row>
    <row r="1451">
      <c r="A1451" s="22" t="n"/>
      <c r="G1451" s="21" t="n"/>
      <c r="H1451" s="11" t="n"/>
      <c r="I1451" s="21">
        <f>IF(OR(H1451="",H1451=0),"",1/H1451)</f>
        <v/>
      </c>
      <c r="J1451" s="11">
        <f>IF(OR(G1451="",H1451=""),"",H1451*G1451-1)</f>
        <v/>
      </c>
      <c r="K1451" s="10">
        <f>IF(OR(G1451="",H1451="",G1451&lt;=1),"",IF(J1451&lt;IF(D1451="Builder",MinEdgeBuilder,IF(D1451="Player",MinEdgePlayer,MinEdgeSingle)),0,ROUND(MIN(IF(D1451="Single",KellySingle,KellyBuilder)*(StartBank+SUM(P$1:P1450))*J1451/(G1451-1),IF(D1451="Builder",CapBuilder,CapSingle)*Unit),2)))</f>
        <v/>
      </c>
      <c r="L1451" s="10" t="n"/>
      <c r="N1451" s="10" t="n"/>
      <c r="O1451" s="10">
        <f>IF(L1451="","",IF(M1451="Won",L1451*G1451,IF(M1451="Void",L1451,IF(M1451="Cash out",N(N1451),IF(M1451="Lost",0,"")))))</f>
        <v/>
      </c>
      <c r="P1451" s="10">
        <f>IF(OR(L1451="",M1451="",M1451="Pending"),"",O1451-L1451)</f>
        <v/>
      </c>
      <c r="Q1451" s="21" t="n"/>
      <c r="R1451" s="11">
        <f>IF(OR(G1451="",Q1451=""),"",G1451/Q1451-1)</f>
        <v/>
      </c>
      <c r="S1451" s="10">
        <f>IF(OR(L1451="",J1451=""),"",L1451*J1451)</f>
        <v/>
      </c>
      <c r="T1451" s="10">
        <f>IF(P1451="","",StartBank+SUM(P$2:P1451))</f>
        <v/>
      </c>
    </row>
    <row r="1452">
      <c r="A1452" s="22" t="n"/>
      <c r="G1452" s="21" t="n"/>
      <c r="H1452" s="11" t="n"/>
      <c r="I1452" s="21">
        <f>IF(OR(H1452="",H1452=0),"",1/H1452)</f>
        <v/>
      </c>
      <c r="J1452" s="11">
        <f>IF(OR(G1452="",H1452=""),"",H1452*G1452-1)</f>
        <v/>
      </c>
      <c r="K1452" s="10">
        <f>IF(OR(G1452="",H1452="",G1452&lt;=1),"",IF(J1452&lt;IF(D1452="Builder",MinEdgeBuilder,IF(D1452="Player",MinEdgePlayer,MinEdgeSingle)),0,ROUND(MIN(IF(D1452="Single",KellySingle,KellyBuilder)*(StartBank+SUM(P$1:P1451))*J1452/(G1452-1),IF(D1452="Builder",CapBuilder,CapSingle)*Unit),2)))</f>
        <v/>
      </c>
      <c r="L1452" s="10" t="n"/>
      <c r="N1452" s="10" t="n"/>
      <c r="O1452" s="10">
        <f>IF(L1452="","",IF(M1452="Won",L1452*G1452,IF(M1452="Void",L1452,IF(M1452="Cash out",N(N1452),IF(M1452="Lost",0,"")))))</f>
        <v/>
      </c>
      <c r="P1452" s="10">
        <f>IF(OR(L1452="",M1452="",M1452="Pending"),"",O1452-L1452)</f>
        <v/>
      </c>
      <c r="Q1452" s="21" t="n"/>
      <c r="R1452" s="11">
        <f>IF(OR(G1452="",Q1452=""),"",G1452/Q1452-1)</f>
        <v/>
      </c>
      <c r="S1452" s="10">
        <f>IF(OR(L1452="",J1452=""),"",L1452*J1452)</f>
        <v/>
      </c>
      <c r="T1452" s="10">
        <f>IF(P1452="","",StartBank+SUM(P$2:P1452))</f>
        <v/>
      </c>
    </row>
    <row r="1453">
      <c r="A1453" s="22" t="n"/>
      <c r="G1453" s="21" t="n"/>
      <c r="H1453" s="11" t="n"/>
      <c r="I1453" s="21">
        <f>IF(OR(H1453="",H1453=0),"",1/H1453)</f>
        <v/>
      </c>
      <c r="J1453" s="11">
        <f>IF(OR(G1453="",H1453=""),"",H1453*G1453-1)</f>
        <v/>
      </c>
      <c r="K1453" s="10">
        <f>IF(OR(G1453="",H1453="",G1453&lt;=1),"",IF(J1453&lt;IF(D1453="Builder",MinEdgeBuilder,IF(D1453="Player",MinEdgePlayer,MinEdgeSingle)),0,ROUND(MIN(IF(D1453="Single",KellySingle,KellyBuilder)*(StartBank+SUM(P$1:P1452))*J1453/(G1453-1),IF(D1453="Builder",CapBuilder,CapSingle)*Unit),2)))</f>
        <v/>
      </c>
      <c r="L1453" s="10" t="n"/>
      <c r="N1453" s="10" t="n"/>
      <c r="O1453" s="10">
        <f>IF(L1453="","",IF(M1453="Won",L1453*G1453,IF(M1453="Void",L1453,IF(M1453="Cash out",N(N1453),IF(M1453="Lost",0,"")))))</f>
        <v/>
      </c>
      <c r="P1453" s="10">
        <f>IF(OR(L1453="",M1453="",M1453="Pending"),"",O1453-L1453)</f>
        <v/>
      </c>
      <c r="Q1453" s="21" t="n"/>
      <c r="R1453" s="11">
        <f>IF(OR(G1453="",Q1453=""),"",G1453/Q1453-1)</f>
        <v/>
      </c>
      <c r="S1453" s="10">
        <f>IF(OR(L1453="",J1453=""),"",L1453*J1453)</f>
        <v/>
      </c>
      <c r="T1453" s="10">
        <f>IF(P1453="","",StartBank+SUM(P$2:P1453))</f>
        <v/>
      </c>
    </row>
    <row r="1454">
      <c r="A1454" s="22" t="n"/>
      <c r="G1454" s="21" t="n"/>
      <c r="H1454" s="11" t="n"/>
      <c r="I1454" s="21">
        <f>IF(OR(H1454="",H1454=0),"",1/H1454)</f>
        <v/>
      </c>
      <c r="J1454" s="11">
        <f>IF(OR(G1454="",H1454=""),"",H1454*G1454-1)</f>
        <v/>
      </c>
      <c r="K1454" s="10">
        <f>IF(OR(G1454="",H1454="",G1454&lt;=1),"",IF(J1454&lt;IF(D1454="Builder",MinEdgeBuilder,IF(D1454="Player",MinEdgePlayer,MinEdgeSingle)),0,ROUND(MIN(IF(D1454="Single",KellySingle,KellyBuilder)*(StartBank+SUM(P$1:P1453))*J1454/(G1454-1),IF(D1454="Builder",CapBuilder,CapSingle)*Unit),2)))</f>
        <v/>
      </c>
      <c r="L1454" s="10" t="n"/>
      <c r="N1454" s="10" t="n"/>
      <c r="O1454" s="10">
        <f>IF(L1454="","",IF(M1454="Won",L1454*G1454,IF(M1454="Void",L1454,IF(M1454="Cash out",N(N1454),IF(M1454="Lost",0,"")))))</f>
        <v/>
      </c>
      <c r="P1454" s="10">
        <f>IF(OR(L1454="",M1454="",M1454="Pending"),"",O1454-L1454)</f>
        <v/>
      </c>
      <c r="Q1454" s="21" t="n"/>
      <c r="R1454" s="11">
        <f>IF(OR(G1454="",Q1454=""),"",G1454/Q1454-1)</f>
        <v/>
      </c>
      <c r="S1454" s="10">
        <f>IF(OR(L1454="",J1454=""),"",L1454*J1454)</f>
        <v/>
      </c>
      <c r="T1454" s="10">
        <f>IF(P1454="","",StartBank+SUM(P$2:P1454))</f>
        <v/>
      </c>
    </row>
    <row r="1455">
      <c r="A1455" s="22" t="n"/>
      <c r="G1455" s="21" t="n"/>
      <c r="H1455" s="11" t="n"/>
      <c r="I1455" s="21">
        <f>IF(OR(H1455="",H1455=0),"",1/H1455)</f>
        <v/>
      </c>
      <c r="J1455" s="11">
        <f>IF(OR(G1455="",H1455=""),"",H1455*G1455-1)</f>
        <v/>
      </c>
      <c r="K1455" s="10">
        <f>IF(OR(G1455="",H1455="",G1455&lt;=1),"",IF(J1455&lt;IF(D1455="Builder",MinEdgeBuilder,IF(D1455="Player",MinEdgePlayer,MinEdgeSingle)),0,ROUND(MIN(IF(D1455="Single",KellySingle,KellyBuilder)*(StartBank+SUM(P$1:P1454))*J1455/(G1455-1),IF(D1455="Builder",CapBuilder,CapSingle)*Unit),2)))</f>
        <v/>
      </c>
      <c r="L1455" s="10" t="n"/>
      <c r="N1455" s="10" t="n"/>
      <c r="O1455" s="10">
        <f>IF(L1455="","",IF(M1455="Won",L1455*G1455,IF(M1455="Void",L1455,IF(M1455="Cash out",N(N1455),IF(M1455="Lost",0,"")))))</f>
        <v/>
      </c>
      <c r="P1455" s="10">
        <f>IF(OR(L1455="",M1455="",M1455="Pending"),"",O1455-L1455)</f>
        <v/>
      </c>
      <c r="Q1455" s="21" t="n"/>
      <c r="R1455" s="11">
        <f>IF(OR(G1455="",Q1455=""),"",G1455/Q1455-1)</f>
        <v/>
      </c>
      <c r="S1455" s="10">
        <f>IF(OR(L1455="",J1455=""),"",L1455*J1455)</f>
        <v/>
      </c>
      <c r="T1455" s="10">
        <f>IF(P1455="","",StartBank+SUM(P$2:P1455))</f>
        <v/>
      </c>
    </row>
    <row r="1456">
      <c r="A1456" s="22" t="n"/>
      <c r="G1456" s="21" t="n"/>
      <c r="H1456" s="11" t="n"/>
      <c r="I1456" s="21">
        <f>IF(OR(H1456="",H1456=0),"",1/H1456)</f>
        <v/>
      </c>
      <c r="J1456" s="11">
        <f>IF(OR(G1456="",H1456=""),"",H1456*G1456-1)</f>
        <v/>
      </c>
      <c r="K1456" s="10">
        <f>IF(OR(G1456="",H1456="",G1456&lt;=1),"",IF(J1456&lt;IF(D1456="Builder",MinEdgeBuilder,IF(D1456="Player",MinEdgePlayer,MinEdgeSingle)),0,ROUND(MIN(IF(D1456="Single",KellySingle,KellyBuilder)*(StartBank+SUM(P$1:P1455))*J1456/(G1456-1),IF(D1456="Builder",CapBuilder,CapSingle)*Unit),2)))</f>
        <v/>
      </c>
      <c r="L1456" s="10" t="n"/>
      <c r="N1456" s="10" t="n"/>
      <c r="O1456" s="10">
        <f>IF(L1456="","",IF(M1456="Won",L1456*G1456,IF(M1456="Void",L1456,IF(M1456="Cash out",N(N1456),IF(M1456="Lost",0,"")))))</f>
        <v/>
      </c>
      <c r="P1456" s="10">
        <f>IF(OR(L1456="",M1456="",M1456="Pending"),"",O1456-L1456)</f>
        <v/>
      </c>
      <c r="Q1456" s="21" t="n"/>
      <c r="R1456" s="11">
        <f>IF(OR(G1456="",Q1456=""),"",G1456/Q1456-1)</f>
        <v/>
      </c>
      <c r="S1456" s="10">
        <f>IF(OR(L1456="",J1456=""),"",L1456*J1456)</f>
        <v/>
      </c>
      <c r="T1456" s="10">
        <f>IF(P1456="","",StartBank+SUM(P$2:P1456))</f>
        <v/>
      </c>
    </row>
    <row r="1457">
      <c r="A1457" s="22" t="n"/>
      <c r="G1457" s="21" t="n"/>
      <c r="H1457" s="11" t="n"/>
      <c r="I1457" s="21">
        <f>IF(OR(H1457="",H1457=0),"",1/H1457)</f>
        <v/>
      </c>
      <c r="J1457" s="11">
        <f>IF(OR(G1457="",H1457=""),"",H1457*G1457-1)</f>
        <v/>
      </c>
      <c r="K1457" s="10">
        <f>IF(OR(G1457="",H1457="",G1457&lt;=1),"",IF(J1457&lt;IF(D1457="Builder",MinEdgeBuilder,IF(D1457="Player",MinEdgePlayer,MinEdgeSingle)),0,ROUND(MIN(IF(D1457="Single",KellySingle,KellyBuilder)*(StartBank+SUM(P$1:P1456))*J1457/(G1457-1),IF(D1457="Builder",CapBuilder,CapSingle)*Unit),2)))</f>
        <v/>
      </c>
      <c r="L1457" s="10" t="n"/>
      <c r="N1457" s="10" t="n"/>
      <c r="O1457" s="10">
        <f>IF(L1457="","",IF(M1457="Won",L1457*G1457,IF(M1457="Void",L1457,IF(M1457="Cash out",N(N1457),IF(M1457="Lost",0,"")))))</f>
        <v/>
      </c>
      <c r="P1457" s="10">
        <f>IF(OR(L1457="",M1457="",M1457="Pending"),"",O1457-L1457)</f>
        <v/>
      </c>
      <c r="Q1457" s="21" t="n"/>
      <c r="R1457" s="11">
        <f>IF(OR(G1457="",Q1457=""),"",G1457/Q1457-1)</f>
        <v/>
      </c>
      <c r="S1457" s="10">
        <f>IF(OR(L1457="",J1457=""),"",L1457*J1457)</f>
        <v/>
      </c>
      <c r="T1457" s="10">
        <f>IF(P1457="","",StartBank+SUM(P$2:P1457))</f>
        <v/>
      </c>
    </row>
    <row r="1458">
      <c r="A1458" s="22" t="n"/>
      <c r="G1458" s="21" t="n"/>
      <c r="H1458" s="11" t="n"/>
      <c r="I1458" s="21">
        <f>IF(OR(H1458="",H1458=0),"",1/H1458)</f>
        <v/>
      </c>
      <c r="J1458" s="11">
        <f>IF(OR(G1458="",H1458=""),"",H1458*G1458-1)</f>
        <v/>
      </c>
      <c r="K1458" s="10">
        <f>IF(OR(G1458="",H1458="",G1458&lt;=1),"",IF(J1458&lt;IF(D1458="Builder",MinEdgeBuilder,IF(D1458="Player",MinEdgePlayer,MinEdgeSingle)),0,ROUND(MIN(IF(D1458="Single",KellySingle,KellyBuilder)*(StartBank+SUM(P$1:P1457))*J1458/(G1458-1),IF(D1458="Builder",CapBuilder,CapSingle)*Unit),2)))</f>
        <v/>
      </c>
      <c r="L1458" s="10" t="n"/>
      <c r="N1458" s="10" t="n"/>
      <c r="O1458" s="10">
        <f>IF(L1458="","",IF(M1458="Won",L1458*G1458,IF(M1458="Void",L1458,IF(M1458="Cash out",N(N1458),IF(M1458="Lost",0,"")))))</f>
        <v/>
      </c>
      <c r="P1458" s="10">
        <f>IF(OR(L1458="",M1458="",M1458="Pending"),"",O1458-L1458)</f>
        <v/>
      </c>
      <c r="Q1458" s="21" t="n"/>
      <c r="R1458" s="11">
        <f>IF(OR(G1458="",Q1458=""),"",G1458/Q1458-1)</f>
        <v/>
      </c>
      <c r="S1458" s="10">
        <f>IF(OR(L1458="",J1458=""),"",L1458*J1458)</f>
        <v/>
      </c>
      <c r="T1458" s="10">
        <f>IF(P1458="","",StartBank+SUM(P$2:P1458))</f>
        <v/>
      </c>
    </row>
    <row r="1459">
      <c r="A1459" s="22" t="n"/>
      <c r="G1459" s="21" t="n"/>
      <c r="H1459" s="11" t="n"/>
      <c r="I1459" s="21">
        <f>IF(OR(H1459="",H1459=0),"",1/H1459)</f>
        <v/>
      </c>
      <c r="J1459" s="11">
        <f>IF(OR(G1459="",H1459=""),"",H1459*G1459-1)</f>
        <v/>
      </c>
      <c r="K1459" s="10">
        <f>IF(OR(G1459="",H1459="",G1459&lt;=1),"",IF(J1459&lt;IF(D1459="Builder",MinEdgeBuilder,IF(D1459="Player",MinEdgePlayer,MinEdgeSingle)),0,ROUND(MIN(IF(D1459="Single",KellySingle,KellyBuilder)*(StartBank+SUM(P$1:P1458))*J1459/(G1459-1),IF(D1459="Builder",CapBuilder,CapSingle)*Unit),2)))</f>
        <v/>
      </c>
      <c r="L1459" s="10" t="n"/>
      <c r="N1459" s="10" t="n"/>
      <c r="O1459" s="10">
        <f>IF(L1459="","",IF(M1459="Won",L1459*G1459,IF(M1459="Void",L1459,IF(M1459="Cash out",N(N1459),IF(M1459="Lost",0,"")))))</f>
        <v/>
      </c>
      <c r="P1459" s="10">
        <f>IF(OR(L1459="",M1459="",M1459="Pending"),"",O1459-L1459)</f>
        <v/>
      </c>
      <c r="Q1459" s="21" t="n"/>
      <c r="R1459" s="11">
        <f>IF(OR(G1459="",Q1459=""),"",G1459/Q1459-1)</f>
        <v/>
      </c>
      <c r="S1459" s="10">
        <f>IF(OR(L1459="",J1459=""),"",L1459*J1459)</f>
        <v/>
      </c>
      <c r="T1459" s="10">
        <f>IF(P1459="","",StartBank+SUM(P$2:P1459))</f>
        <v/>
      </c>
    </row>
    <row r="1460">
      <c r="A1460" s="22" t="n"/>
      <c r="G1460" s="21" t="n"/>
      <c r="H1460" s="11" t="n"/>
      <c r="I1460" s="21">
        <f>IF(OR(H1460="",H1460=0),"",1/H1460)</f>
        <v/>
      </c>
      <c r="J1460" s="11">
        <f>IF(OR(G1460="",H1460=""),"",H1460*G1460-1)</f>
        <v/>
      </c>
      <c r="K1460" s="10">
        <f>IF(OR(G1460="",H1460="",G1460&lt;=1),"",IF(J1460&lt;IF(D1460="Builder",MinEdgeBuilder,IF(D1460="Player",MinEdgePlayer,MinEdgeSingle)),0,ROUND(MIN(IF(D1460="Single",KellySingle,KellyBuilder)*(StartBank+SUM(P$1:P1459))*J1460/(G1460-1),IF(D1460="Builder",CapBuilder,CapSingle)*Unit),2)))</f>
        <v/>
      </c>
      <c r="L1460" s="10" t="n"/>
      <c r="N1460" s="10" t="n"/>
      <c r="O1460" s="10">
        <f>IF(L1460="","",IF(M1460="Won",L1460*G1460,IF(M1460="Void",L1460,IF(M1460="Cash out",N(N1460),IF(M1460="Lost",0,"")))))</f>
        <v/>
      </c>
      <c r="P1460" s="10">
        <f>IF(OR(L1460="",M1460="",M1460="Pending"),"",O1460-L1460)</f>
        <v/>
      </c>
      <c r="Q1460" s="21" t="n"/>
      <c r="R1460" s="11">
        <f>IF(OR(G1460="",Q1460=""),"",G1460/Q1460-1)</f>
        <v/>
      </c>
      <c r="S1460" s="10">
        <f>IF(OR(L1460="",J1460=""),"",L1460*J1460)</f>
        <v/>
      </c>
      <c r="T1460" s="10">
        <f>IF(P1460="","",StartBank+SUM(P$2:P1460))</f>
        <v/>
      </c>
    </row>
    <row r="1461">
      <c r="A1461" s="22" t="n"/>
      <c r="G1461" s="21" t="n"/>
      <c r="H1461" s="11" t="n"/>
      <c r="I1461" s="21">
        <f>IF(OR(H1461="",H1461=0),"",1/H1461)</f>
        <v/>
      </c>
      <c r="J1461" s="11">
        <f>IF(OR(G1461="",H1461=""),"",H1461*G1461-1)</f>
        <v/>
      </c>
      <c r="K1461" s="10">
        <f>IF(OR(G1461="",H1461="",G1461&lt;=1),"",IF(J1461&lt;IF(D1461="Builder",MinEdgeBuilder,IF(D1461="Player",MinEdgePlayer,MinEdgeSingle)),0,ROUND(MIN(IF(D1461="Single",KellySingle,KellyBuilder)*(StartBank+SUM(P$1:P1460))*J1461/(G1461-1),IF(D1461="Builder",CapBuilder,CapSingle)*Unit),2)))</f>
        <v/>
      </c>
      <c r="L1461" s="10" t="n"/>
      <c r="N1461" s="10" t="n"/>
      <c r="O1461" s="10">
        <f>IF(L1461="","",IF(M1461="Won",L1461*G1461,IF(M1461="Void",L1461,IF(M1461="Cash out",N(N1461),IF(M1461="Lost",0,"")))))</f>
        <v/>
      </c>
      <c r="P1461" s="10">
        <f>IF(OR(L1461="",M1461="",M1461="Pending"),"",O1461-L1461)</f>
        <v/>
      </c>
      <c r="Q1461" s="21" t="n"/>
      <c r="R1461" s="11">
        <f>IF(OR(G1461="",Q1461=""),"",G1461/Q1461-1)</f>
        <v/>
      </c>
      <c r="S1461" s="10">
        <f>IF(OR(L1461="",J1461=""),"",L1461*J1461)</f>
        <v/>
      </c>
      <c r="T1461" s="10">
        <f>IF(P1461="","",StartBank+SUM(P$2:P1461))</f>
        <v/>
      </c>
    </row>
    <row r="1462">
      <c r="A1462" s="22" t="n"/>
      <c r="G1462" s="21" t="n"/>
      <c r="H1462" s="11" t="n"/>
      <c r="I1462" s="21">
        <f>IF(OR(H1462="",H1462=0),"",1/H1462)</f>
        <v/>
      </c>
      <c r="J1462" s="11">
        <f>IF(OR(G1462="",H1462=""),"",H1462*G1462-1)</f>
        <v/>
      </c>
      <c r="K1462" s="10">
        <f>IF(OR(G1462="",H1462="",G1462&lt;=1),"",IF(J1462&lt;IF(D1462="Builder",MinEdgeBuilder,IF(D1462="Player",MinEdgePlayer,MinEdgeSingle)),0,ROUND(MIN(IF(D1462="Single",KellySingle,KellyBuilder)*(StartBank+SUM(P$1:P1461))*J1462/(G1462-1),IF(D1462="Builder",CapBuilder,CapSingle)*Unit),2)))</f>
        <v/>
      </c>
      <c r="L1462" s="10" t="n"/>
      <c r="N1462" s="10" t="n"/>
      <c r="O1462" s="10">
        <f>IF(L1462="","",IF(M1462="Won",L1462*G1462,IF(M1462="Void",L1462,IF(M1462="Cash out",N(N1462),IF(M1462="Lost",0,"")))))</f>
        <v/>
      </c>
      <c r="P1462" s="10">
        <f>IF(OR(L1462="",M1462="",M1462="Pending"),"",O1462-L1462)</f>
        <v/>
      </c>
      <c r="Q1462" s="21" t="n"/>
      <c r="R1462" s="11">
        <f>IF(OR(G1462="",Q1462=""),"",G1462/Q1462-1)</f>
        <v/>
      </c>
      <c r="S1462" s="10">
        <f>IF(OR(L1462="",J1462=""),"",L1462*J1462)</f>
        <v/>
      </c>
      <c r="T1462" s="10">
        <f>IF(P1462="","",StartBank+SUM(P$2:P1462))</f>
        <v/>
      </c>
    </row>
    <row r="1463">
      <c r="A1463" s="22" t="n"/>
      <c r="G1463" s="21" t="n"/>
      <c r="H1463" s="11" t="n"/>
      <c r="I1463" s="21">
        <f>IF(OR(H1463="",H1463=0),"",1/H1463)</f>
        <v/>
      </c>
      <c r="J1463" s="11">
        <f>IF(OR(G1463="",H1463=""),"",H1463*G1463-1)</f>
        <v/>
      </c>
      <c r="K1463" s="10">
        <f>IF(OR(G1463="",H1463="",G1463&lt;=1),"",IF(J1463&lt;IF(D1463="Builder",MinEdgeBuilder,IF(D1463="Player",MinEdgePlayer,MinEdgeSingle)),0,ROUND(MIN(IF(D1463="Single",KellySingle,KellyBuilder)*(StartBank+SUM(P$1:P1462))*J1463/(G1463-1),IF(D1463="Builder",CapBuilder,CapSingle)*Unit),2)))</f>
        <v/>
      </c>
      <c r="L1463" s="10" t="n"/>
      <c r="N1463" s="10" t="n"/>
      <c r="O1463" s="10">
        <f>IF(L1463="","",IF(M1463="Won",L1463*G1463,IF(M1463="Void",L1463,IF(M1463="Cash out",N(N1463),IF(M1463="Lost",0,"")))))</f>
        <v/>
      </c>
      <c r="P1463" s="10">
        <f>IF(OR(L1463="",M1463="",M1463="Pending"),"",O1463-L1463)</f>
        <v/>
      </c>
      <c r="Q1463" s="21" t="n"/>
      <c r="R1463" s="11">
        <f>IF(OR(G1463="",Q1463=""),"",G1463/Q1463-1)</f>
        <v/>
      </c>
      <c r="S1463" s="10">
        <f>IF(OR(L1463="",J1463=""),"",L1463*J1463)</f>
        <v/>
      </c>
      <c r="T1463" s="10">
        <f>IF(P1463="","",StartBank+SUM(P$2:P1463))</f>
        <v/>
      </c>
    </row>
    <row r="1464">
      <c r="A1464" s="22" t="n"/>
      <c r="G1464" s="21" t="n"/>
      <c r="H1464" s="11" t="n"/>
      <c r="I1464" s="21">
        <f>IF(OR(H1464="",H1464=0),"",1/H1464)</f>
        <v/>
      </c>
      <c r="J1464" s="11">
        <f>IF(OR(G1464="",H1464=""),"",H1464*G1464-1)</f>
        <v/>
      </c>
      <c r="K1464" s="10">
        <f>IF(OR(G1464="",H1464="",G1464&lt;=1),"",IF(J1464&lt;IF(D1464="Builder",MinEdgeBuilder,IF(D1464="Player",MinEdgePlayer,MinEdgeSingle)),0,ROUND(MIN(IF(D1464="Single",KellySingle,KellyBuilder)*(StartBank+SUM(P$1:P1463))*J1464/(G1464-1),IF(D1464="Builder",CapBuilder,CapSingle)*Unit),2)))</f>
        <v/>
      </c>
      <c r="L1464" s="10" t="n"/>
      <c r="N1464" s="10" t="n"/>
      <c r="O1464" s="10">
        <f>IF(L1464="","",IF(M1464="Won",L1464*G1464,IF(M1464="Void",L1464,IF(M1464="Cash out",N(N1464),IF(M1464="Lost",0,"")))))</f>
        <v/>
      </c>
      <c r="P1464" s="10">
        <f>IF(OR(L1464="",M1464="",M1464="Pending"),"",O1464-L1464)</f>
        <v/>
      </c>
      <c r="Q1464" s="21" t="n"/>
      <c r="R1464" s="11">
        <f>IF(OR(G1464="",Q1464=""),"",G1464/Q1464-1)</f>
        <v/>
      </c>
      <c r="S1464" s="10">
        <f>IF(OR(L1464="",J1464=""),"",L1464*J1464)</f>
        <v/>
      </c>
      <c r="T1464" s="10">
        <f>IF(P1464="","",StartBank+SUM(P$2:P1464))</f>
        <v/>
      </c>
    </row>
    <row r="1465">
      <c r="A1465" s="22" t="n"/>
      <c r="G1465" s="21" t="n"/>
      <c r="H1465" s="11" t="n"/>
      <c r="I1465" s="21">
        <f>IF(OR(H1465="",H1465=0),"",1/H1465)</f>
        <v/>
      </c>
      <c r="J1465" s="11">
        <f>IF(OR(G1465="",H1465=""),"",H1465*G1465-1)</f>
        <v/>
      </c>
      <c r="K1465" s="10">
        <f>IF(OR(G1465="",H1465="",G1465&lt;=1),"",IF(J1465&lt;IF(D1465="Builder",MinEdgeBuilder,IF(D1465="Player",MinEdgePlayer,MinEdgeSingle)),0,ROUND(MIN(IF(D1465="Single",KellySingle,KellyBuilder)*(StartBank+SUM(P$1:P1464))*J1465/(G1465-1),IF(D1465="Builder",CapBuilder,CapSingle)*Unit),2)))</f>
        <v/>
      </c>
      <c r="L1465" s="10" t="n"/>
      <c r="N1465" s="10" t="n"/>
      <c r="O1465" s="10">
        <f>IF(L1465="","",IF(M1465="Won",L1465*G1465,IF(M1465="Void",L1465,IF(M1465="Cash out",N(N1465),IF(M1465="Lost",0,"")))))</f>
        <v/>
      </c>
      <c r="P1465" s="10">
        <f>IF(OR(L1465="",M1465="",M1465="Pending"),"",O1465-L1465)</f>
        <v/>
      </c>
      <c r="Q1465" s="21" t="n"/>
      <c r="R1465" s="11">
        <f>IF(OR(G1465="",Q1465=""),"",G1465/Q1465-1)</f>
        <v/>
      </c>
      <c r="S1465" s="10">
        <f>IF(OR(L1465="",J1465=""),"",L1465*J1465)</f>
        <v/>
      </c>
      <c r="T1465" s="10">
        <f>IF(P1465="","",StartBank+SUM(P$2:P1465))</f>
        <v/>
      </c>
    </row>
    <row r="1466">
      <c r="A1466" s="22" t="n"/>
      <c r="G1466" s="21" t="n"/>
      <c r="H1466" s="11" t="n"/>
      <c r="I1466" s="21">
        <f>IF(OR(H1466="",H1466=0),"",1/H1466)</f>
        <v/>
      </c>
      <c r="J1466" s="11">
        <f>IF(OR(G1466="",H1466=""),"",H1466*G1466-1)</f>
        <v/>
      </c>
      <c r="K1466" s="10">
        <f>IF(OR(G1466="",H1466="",G1466&lt;=1),"",IF(J1466&lt;IF(D1466="Builder",MinEdgeBuilder,IF(D1466="Player",MinEdgePlayer,MinEdgeSingle)),0,ROUND(MIN(IF(D1466="Single",KellySingle,KellyBuilder)*(StartBank+SUM(P$1:P1465))*J1466/(G1466-1),IF(D1466="Builder",CapBuilder,CapSingle)*Unit),2)))</f>
        <v/>
      </c>
      <c r="L1466" s="10" t="n"/>
      <c r="N1466" s="10" t="n"/>
      <c r="O1466" s="10">
        <f>IF(L1466="","",IF(M1466="Won",L1466*G1466,IF(M1466="Void",L1466,IF(M1466="Cash out",N(N1466),IF(M1466="Lost",0,"")))))</f>
        <v/>
      </c>
      <c r="P1466" s="10">
        <f>IF(OR(L1466="",M1466="",M1466="Pending"),"",O1466-L1466)</f>
        <v/>
      </c>
      <c r="Q1466" s="21" t="n"/>
      <c r="R1466" s="11">
        <f>IF(OR(G1466="",Q1466=""),"",G1466/Q1466-1)</f>
        <v/>
      </c>
      <c r="S1466" s="10">
        <f>IF(OR(L1466="",J1466=""),"",L1466*J1466)</f>
        <v/>
      </c>
      <c r="T1466" s="10">
        <f>IF(P1466="","",StartBank+SUM(P$2:P1466))</f>
        <v/>
      </c>
    </row>
    <row r="1467">
      <c r="A1467" s="22" t="n"/>
      <c r="G1467" s="21" t="n"/>
      <c r="H1467" s="11" t="n"/>
      <c r="I1467" s="21">
        <f>IF(OR(H1467="",H1467=0),"",1/H1467)</f>
        <v/>
      </c>
      <c r="J1467" s="11">
        <f>IF(OR(G1467="",H1467=""),"",H1467*G1467-1)</f>
        <v/>
      </c>
      <c r="K1467" s="10">
        <f>IF(OR(G1467="",H1467="",G1467&lt;=1),"",IF(J1467&lt;IF(D1467="Builder",MinEdgeBuilder,IF(D1467="Player",MinEdgePlayer,MinEdgeSingle)),0,ROUND(MIN(IF(D1467="Single",KellySingle,KellyBuilder)*(StartBank+SUM(P$1:P1466))*J1467/(G1467-1),IF(D1467="Builder",CapBuilder,CapSingle)*Unit),2)))</f>
        <v/>
      </c>
      <c r="L1467" s="10" t="n"/>
      <c r="N1467" s="10" t="n"/>
      <c r="O1467" s="10">
        <f>IF(L1467="","",IF(M1467="Won",L1467*G1467,IF(M1467="Void",L1467,IF(M1467="Cash out",N(N1467),IF(M1467="Lost",0,"")))))</f>
        <v/>
      </c>
      <c r="P1467" s="10">
        <f>IF(OR(L1467="",M1467="",M1467="Pending"),"",O1467-L1467)</f>
        <v/>
      </c>
      <c r="Q1467" s="21" t="n"/>
      <c r="R1467" s="11">
        <f>IF(OR(G1467="",Q1467=""),"",G1467/Q1467-1)</f>
        <v/>
      </c>
      <c r="S1467" s="10">
        <f>IF(OR(L1467="",J1467=""),"",L1467*J1467)</f>
        <v/>
      </c>
      <c r="T1467" s="10">
        <f>IF(P1467="","",StartBank+SUM(P$2:P1467))</f>
        <v/>
      </c>
    </row>
    <row r="1468">
      <c r="A1468" s="22" t="n"/>
      <c r="G1468" s="21" t="n"/>
      <c r="H1468" s="11" t="n"/>
      <c r="I1468" s="21">
        <f>IF(OR(H1468="",H1468=0),"",1/H1468)</f>
        <v/>
      </c>
      <c r="J1468" s="11">
        <f>IF(OR(G1468="",H1468=""),"",H1468*G1468-1)</f>
        <v/>
      </c>
      <c r="K1468" s="10">
        <f>IF(OR(G1468="",H1468="",G1468&lt;=1),"",IF(J1468&lt;IF(D1468="Builder",MinEdgeBuilder,IF(D1468="Player",MinEdgePlayer,MinEdgeSingle)),0,ROUND(MIN(IF(D1468="Single",KellySingle,KellyBuilder)*(StartBank+SUM(P$1:P1467))*J1468/(G1468-1),IF(D1468="Builder",CapBuilder,CapSingle)*Unit),2)))</f>
        <v/>
      </c>
      <c r="L1468" s="10" t="n"/>
      <c r="N1468" s="10" t="n"/>
      <c r="O1468" s="10">
        <f>IF(L1468="","",IF(M1468="Won",L1468*G1468,IF(M1468="Void",L1468,IF(M1468="Cash out",N(N1468),IF(M1468="Lost",0,"")))))</f>
        <v/>
      </c>
      <c r="P1468" s="10">
        <f>IF(OR(L1468="",M1468="",M1468="Pending"),"",O1468-L1468)</f>
        <v/>
      </c>
      <c r="Q1468" s="21" t="n"/>
      <c r="R1468" s="11">
        <f>IF(OR(G1468="",Q1468=""),"",G1468/Q1468-1)</f>
        <v/>
      </c>
      <c r="S1468" s="10">
        <f>IF(OR(L1468="",J1468=""),"",L1468*J1468)</f>
        <v/>
      </c>
      <c r="T1468" s="10">
        <f>IF(P1468="","",StartBank+SUM(P$2:P1468))</f>
        <v/>
      </c>
    </row>
    <row r="1469">
      <c r="A1469" s="22" t="n"/>
      <c r="G1469" s="21" t="n"/>
      <c r="H1469" s="11" t="n"/>
      <c r="I1469" s="21">
        <f>IF(OR(H1469="",H1469=0),"",1/H1469)</f>
        <v/>
      </c>
      <c r="J1469" s="11">
        <f>IF(OR(G1469="",H1469=""),"",H1469*G1469-1)</f>
        <v/>
      </c>
      <c r="K1469" s="10">
        <f>IF(OR(G1469="",H1469="",G1469&lt;=1),"",IF(J1469&lt;IF(D1469="Builder",MinEdgeBuilder,IF(D1469="Player",MinEdgePlayer,MinEdgeSingle)),0,ROUND(MIN(IF(D1469="Single",KellySingle,KellyBuilder)*(StartBank+SUM(P$1:P1468))*J1469/(G1469-1),IF(D1469="Builder",CapBuilder,CapSingle)*Unit),2)))</f>
        <v/>
      </c>
      <c r="L1469" s="10" t="n"/>
      <c r="N1469" s="10" t="n"/>
      <c r="O1469" s="10">
        <f>IF(L1469="","",IF(M1469="Won",L1469*G1469,IF(M1469="Void",L1469,IF(M1469="Cash out",N(N1469),IF(M1469="Lost",0,"")))))</f>
        <v/>
      </c>
      <c r="P1469" s="10">
        <f>IF(OR(L1469="",M1469="",M1469="Pending"),"",O1469-L1469)</f>
        <v/>
      </c>
      <c r="Q1469" s="21" t="n"/>
      <c r="R1469" s="11">
        <f>IF(OR(G1469="",Q1469=""),"",G1469/Q1469-1)</f>
        <v/>
      </c>
      <c r="S1469" s="10">
        <f>IF(OR(L1469="",J1469=""),"",L1469*J1469)</f>
        <v/>
      </c>
      <c r="T1469" s="10">
        <f>IF(P1469="","",StartBank+SUM(P$2:P1469))</f>
        <v/>
      </c>
    </row>
    <row r="1470">
      <c r="A1470" s="22" t="n"/>
      <c r="G1470" s="21" t="n"/>
      <c r="H1470" s="11" t="n"/>
      <c r="I1470" s="21">
        <f>IF(OR(H1470="",H1470=0),"",1/H1470)</f>
        <v/>
      </c>
      <c r="J1470" s="11">
        <f>IF(OR(G1470="",H1470=""),"",H1470*G1470-1)</f>
        <v/>
      </c>
      <c r="K1470" s="10">
        <f>IF(OR(G1470="",H1470="",G1470&lt;=1),"",IF(J1470&lt;IF(D1470="Builder",MinEdgeBuilder,IF(D1470="Player",MinEdgePlayer,MinEdgeSingle)),0,ROUND(MIN(IF(D1470="Single",KellySingle,KellyBuilder)*(StartBank+SUM(P$1:P1469))*J1470/(G1470-1),IF(D1470="Builder",CapBuilder,CapSingle)*Unit),2)))</f>
        <v/>
      </c>
      <c r="L1470" s="10" t="n"/>
      <c r="N1470" s="10" t="n"/>
      <c r="O1470" s="10">
        <f>IF(L1470="","",IF(M1470="Won",L1470*G1470,IF(M1470="Void",L1470,IF(M1470="Cash out",N(N1470),IF(M1470="Lost",0,"")))))</f>
        <v/>
      </c>
      <c r="P1470" s="10">
        <f>IF(OR(L1470="",M1470="",M1470="Pending"),"",O1470-L1470)</f>
        <v/>
      </c>
      <c r="Q1470" s="21" t="n"/>
      <c r="R1470" s="11">
        <f>IF(OR(G1470="",Q1470=""),"",G1470/Q1470-1)</f>
        <v/>
      </c>
      <c r="S1470" s="10">
        <f>IF(OR(L1470="",J1470=""),"",L1470*J1470)</f>
        <v/>
      </c>
      <c r="T1470" s="10">
        <f>IF(P1470="","",StartBank+SUM(P$2:P1470))</f>
        <v/>
      </c>
    </row>
    <row r="1471">
      <c r="A1471" s="22" t="n"/>
      <c r="G1471" s="21" t="n"/>
      <c r="H1471" s="11" t="n"/>
      <c r="I1471" s="21">
        <f>IF(OR(H1471="",H1471=0),"",1/H1471)</f>
        <v/>
      </c>
      <c r="J1471" s="11">
        <f>IF(OR(G1471="",H1471=""),"",H1471*G1471-1)</f>
        <v/>
      </c>
      <c r="K1471" s="10">
        <f>IF(OR(G1471="",H1471="",G1471&lt;=1),"",IF(J1471&lt;IF(D1471="Builder",MinEdgeBuilder,IF(D1471="Player",MinEdgePlayer,MinEdgeSingle)),0,ROUND(MIN(IF(D1471="Single",KellySingle,KellyBuilder)*(StartBank+SUM(P$1:P1470))*J1471/(G1471-1),IF(D1471="Builder",CapBuilder,CapSingle)*Unit),2)))</f>
        <v/>
      </c>
      <c r="L1471" s="10" t="n"/>
      <c r="N1471" s="10" t="n"/>
      <c r="O1471" s="10">
        <f>IF(L1471="","",IF(M1471="Won",L1471*G1471,IF(M1471="Void",L1471,IF(M1471="Cash out",N(N1471),IF(M1471="Lost",0,"")))))</f>
        <v/>
      </c>
      <c r="P1471" s="10">
        <f>IF(OR(L1471="",M1471="",M1471="Pending"),"",O1471-L1471)</f>
        <v/>
      </c>
      <c r="Q1471" s="21" t="n"/>
      <c r="R1471" s="11">
        <f>IF(OR(G1471="",Q1471=""),"",G1471/Q1471-1)</f>
        <v/>
      </c>
      <c r="S1471" s="10">
        <f>IF(OR(L1471="",J1471=""),"",L1471*J1471)</f>
        <v/>
      </c>
      <c r="T1471" s="10">
        <f>IF(P1471="","",StartBank+SUM(P$2:P1471))</f>
        <v/>
      </c>
    </row>
    <row r="1472">
      <c r="A1472" s="22" t="n"/>
      <c r="G1472" s="21" t="n"/>
      <c r="H1472" s="11" t="n"/>
      <c r="I1472" s="21">
        <f>IF(OR(H1472="",H1472=0),"",1/H1472)</f>
        <v/>
      </c>
      <c r="J1472" s="11">
        <f>IF(OR(G1472="",H1472=""),"",H1472*G1472-1)</f>
        <v/>
      </c>
      <c r="K1472" s="10">
        <f>IF(OR(G1472="",H1472="",G1472&lt;=1),"",IF(J1472&lt;IF(D1472="Builder",MinEdgeBuilder,IF(D1472="Player",MinEdgePlayer,MinEdgeSingle)),0,ROUND(MIN(IF(D1472="Single",KellySingle,KellyBuilder)*(StartBank+SUM(P$1:P1471))*J1472/(G1472-1),IF(D1472="Builder",CapBuilder,CapSingle)*Unit),2)))</f>
        <v/>
      </c>
      <c r="L1472" s="10" t="n"/>
      <c r="N1472" s="10" t="n"/>
      <c r="O1472" s="10">
        <f>IF(L1472="","",IF(M1472="Won",L1472*G1472,IF(M1472="Void",L1472,IF(M1472="Cash out",N(N1472),IF(M1472="Lost",0,"")))))</f>
        <v/>
      </c>
      <c r="P1472" s="10">
        <f>IF(OR(L1472="",M1472="",M1472="Pending"),"",O1472-L1472)</f>
        <v/>
      </c>
      <c r="Q1472" s="21" t="n"/>
      <c r="R1472" s="11">
        <f>IF(OR(G1472="",Q1472=""),"",G1472/Q1472-1)</f>
        <v/>
      </c>
      <c r="S1472" s="10">
        <f>IF(OR(L1472="",J1472=""),"",L1472*J1472)</f>
        <v/>
      </c>
      <c r="T1472" s="10">
        <f>IF(P1472="","",StartBank+SUM(P$2:P1472))</f>
        <v/>
      </c>
    </row>
    <row r="1473">
      <c r="A1473" s="22" t="n"/>
      <c r="G1473" s="21" t="n"/>
      <c r="H1473" s="11" t="n"/>
      <c r="I1473" s="21">
        <f>IF(OR(H1473="",H1473=0),"",1/H1473)</f>
        <v/>
      </c>
      <c r="J1473" s="11">
        <f>IF(OR(G1473="",H1473=""),"",H1473*G1473-1)</f>
        <v/>
      </c>
      <c r="K1473" s="10">
        <f>IF(OR(G1473="",H1473="",G1473&lt;=1),"",IF(J1473&lt;IF(D1473="Builder",MinEdgeBuilder,IF(D1473="Player",MinEdgePlayer,MinEdgeSingle)),0,ROUND(MIN(IF(D1473="Single",KellySingle,KellyBuilder)*(StartBank+SUM(P$1:P1472))*J1473/(G1473-1),IF(D1473="Builder",CapBuilder,CapSingle)*Unit),2)))</f>
        <v/>
      </c>
      <c r="L1473" s="10" t="n"/>
      <c r="N1473" s="10" t="n"/>
      <c r="O1473" s="10">
        <f>IF(L1473="","",IF(M1473="Won",L1473*G1473,IF(M1473="Void",L1473,IF(M1473="Cash out",N(N1473),IF(M1473="Lost",0,"")))))</f>
        <v/>
      </c>
      <c r="P1473" s="10">
        <f>IF(OR(L1473="",M1473="",M1473="Pending"),"",O1473-L1473)</f>
        <v/>
      </c>
      <c r="Q1473" s="21" t="n"/>
      <c r="R1473" s="11">
        <f>IF(OR(G1473="",Q1473=""),"",G1473/Q1473-1)</f>
        <v/>
      </c>
      <c r="S1473" s="10">
        <f>IF(OR(L1473="",J1473=""),"",L1473*J1473)</f>
        <v/>
      </c>
      <c r="T1473" s="10">
        <f>IF(P1473="","",StartBank+SUM(P$2:P1473))</f>
        <v/>
      </c>
    </row>
    <row r="1474">
      <c r="A1474" s="22" t="n"/>
      <c r="G1474" s="21" t="n"/>
      <c r="H1474" s="11" t="n"/>
      <c r="I1474" s="21">
        <f>IF(OR(H1474="",H1474=0),"",1/H1474)</f>
        <v/>
      </c>
      <c r="J1474" s="11">
        <f>IF(OR(G1474="",H1474=""),"",H1474*G1474-1)</f>
        <v/>
      </c>
      <c r="K1474" s="10">
        <f>IF(OR(G1474="",H1474="",G1474&lt;=1),"",IF(J1474&lt;IF(D1474="Builder",MinEdgeBuilder,IF(D1474="Player",MinEdgePlayer,MinEdgeSingle)),0,ROUND(MIN(IF(D1474="Single",KellySingle,KellyBuilder)*(StartBank+SUM(P$1:P1473))*J1474/(G1474-1),IF(D1474="Builder",CapBuilder,CapSingle)*Unit),2)))</f>
        <v/>
      </c>
      <c r="L1474" s="10" t="n"/>
      <c r="N1474" s="10" t="n"/>
      <c r="O1474" s="10">
        <f>IF(L1474="","",IF(M1474="Won",L1474*G1474,IF(M1474="Void",L1474,IF(M1474="Cash out",N(N1474),IF(M1474="Lost",0,"")))))</f>
        <v/>
      </c>
      <c r="P1474" s="10">
        <f>IF(OR(L1474="",M1474="",M1474="Pending"),"",O1474-L1474)</f>
        <v/>
      </c>
      <c r="Q1474" s="21" t="n"/>
      <c r="R1474" s="11">
        <f>IF(OR(G1474="",Q1474=""),"",G1474/Q1474-1)</f>
        <v/>
      </c>
      <c r="S1474" s="10">
        <f>IF(OR(L1474="",J1474=""),"",L1474*J1474)</f>
        <v/>
      </c>
      <c r="T1474" s="10">
        <f>IF(P1474="","",StartBank+SUM(P$2:P1474))</f>
        <v/>
      </c>
    </row>
    <row r="1475">
      <c r="A1475" s="22" t="n"/>
      <c r="G1475" s="21" t="n"/>
      <c r="H1475" s="11" t="n"/>
      <c r="I1475" s="21">
        <f>IF(OR(H1475="",H1475=0),"",1/H1475)</f>
        <v/>
      </c>
      <c r="J1475" s="11">
        <f>IF(OR(G1475="",H1475=""),"",H1475*G1475-1)</f>
        <v/>
      </c>
      <c r="K1475" s="10">
        <f>IF(OR(G1475="",H1475="",G1475&lt;=1),"",IF(J1475&lt;IF(D1475="Builder",MinEdgeBuilder,IF(D1475="Player",MinEdgePlayer,MinEdgeSingle)),0,ROUND(MIN(IF(D1475="Single",KellySingle,KellyBuilder)*(StartBank+SUM(P$1:P1474))*J1475/(G1475-1),IF(D1475="Builder",CapBuilder,CapSingle)*Unit),2)))</f>
        <v/>
      </c>
      <c r="L1475" s="10" t="n"/>
      <c r="N1475" s="10" t="n"/>
      <c r="O1475" s="10">
        <f>IF(L1475="","",IF(M1475="Won",L1475*G1475,IF(M1475="Void",L1475,IF(M1475="Cash out",N(N1475),IF(M1475="Lost",0,"")))))</f>
        <v/>
      </c>
      <c r="P1475" s="10">
        <f>IF(OR(L1475="",M1475="",M1475="Pending"),"",O1475-L1475)</f>
        <v/>
      </c>
      <c r="Q1475" s="21" t="n"/>
      <c r="R1475" s="11">
        <f>IF(OR(G1475="",Q1475=""),"",G1475/Q1475-1)</f>
        <v/>
      </c>
      <c r="S1475" s="10">
        <f>IF(OR(L1475="",J1475=""),"",L1475*J1475)</f>
        <v/>
      </c>
      <c r="T1475" s="10">
        <f>IF(P1475="","",StartBank+SUM(P$2:P1475))</f>
        <v/>
      </c>
    </row>
    <row r="1476">
      <c r="A1476" s="22" t="n"/>
      <c r="G1476" s="21" t="n"/>
      <c r="H1476" s="11" t="n"/>
      <c r="I1476" s="21">
        <f>IF(OR(H1476="",H1476=0),"",1/H1476)</f>
        <v/>
      </c>
      <c r="J1476" s="11">
        <f>IF(OR(G1476="",H1476=""),"",H1476*G1476-1)</f>
        <v/>
      </c>
      <c r="K1476" s="10">
        <f>IF(OR(G1476="",H1476="",G1476&lt;=1),"",IF(J1476&lt;IF(D1476="Builder",MinEdgeBuilder,IF(D1476="Player",MinEdgePlayer,MinEdgeSingle)),0,ROUND(MIN(IF(D1476="Single",KellySingle,KellyBuilder)*(StartBank+SUM(P$1:P1475))*J1476/(G1476-1),IF(D1476="Builder",CapBuilder,CapSingle)*Unit),2)))</f>
        <v/>
      </c>
      <c r="L1476" s="10" t="n"/>
      <c r="N1476" s="10" t="n"/>
      <c r="O1476" s="10">
        <f>IF(L1476="","",IF(M1476="Won",L1476*G1476,IF(M1476="Void",L1476,IF(M1476="Cash out",N(N1476),IF(M1476="Lost",0,"")))))</f>
        <v/>
      </c>
      <c r="P1476" s="10">
        <f>IF(OR(L1476="",M1476="",M1476="Pending"),"",O1476-L1476)</f>
        <v/>
      </c>
      <c r="Q1476" s="21" t="n"/>
      <c r="R1476" s="11">
        <f>IF(OR(G1476="",Q1476=""),"",G1476/Q1476-1)</f>
        <v/>
      </c>
      <c r="S1476" s="10">
        <f>IF(OR(L1476="",J1476=""),"",L1476*J1476)</f>
        <v/>
      </c>
      <c r="T1476" s="10">
        <f>IF(P1476="","",StartBank+SUM(P$2:P1476))</f>
        <v/>
      </c>
    </row>
    <row r="1477">
      <c r="A1477" s="22" t="n"/>
      <c r="G1477" s="21" t="n"/>
      <c r="H1477" s="11" t="n"/>
      <c r="I1477" s="21">
        <f>IF(OR(H1477="",H1477=0),"",1/H1477)</f>
        <v/>
      </c>
      <c r="J1477" s="11">
        <f>IF(OR(G1477="",H1477=""),"",H1477*G1477-1)</f>
        <v/>
      </c>
      <c r="K1477" s="10">
        <f>IF(OR(G1477="",H1477="",G1477&lt;=1),"",IF(J1477&lt;IF(D1477="Builder",MinEdgeBuilder,IF(D1477="Player",MinEdgePlayer,MinEdgeSingle)),0,ROUND(MIN(IF(D1477="Single",KellySingle,KellyBuilder)*(StartBank+SUM(P$1:P1476))*J1477/(G1477-1),IF(D1477="Builder",CapBuilder,CapSingle)*Unit),2)))</f>
        <v/>
      </c>
      <c r="L1477" s="10" t="n"/>
      <c r="N1477" s="10" t="n"/>
      <c r="O1477" s="10">
        <f>IF(L1477="","",IF(M1477="Won",L1477*G1477,IF(M1477="Void",L1477,IF(M1477="Cash out",N(N1477),IF(M1477="Lost",0,"")))))</f>
        <v/>
      </c>
      <c r="P1477" s="10">
        <f>IF(OR(L1477="",M1477="",M1477="Pending"),"",O1477-L1477)</f>
        <v/>
      </c>
      <c r="Q1477" s="21" t="n"/>
      <c r="R1477" s="11">
        <f>IF(OR(G1477="",Q1477=""),"",G1477/Q1477-1)</f>
        <v/>
      </c>
      <c r="S1477" s="10">
        <f>IF(OR(L1477="",J1477=""),"",L1477*J1477)</f>
        <v/>
      </c>
      <c r="T1477" s="10">
        <f>IF(P1477="","",StartBank+SUM(P$2:P1477))</f>
        <v/>
      </c>
    </row>
    <row r="1478">
      <c r="A1478" s="22" t="n"/>
      <c r="G1478" s="21" t="n"/>
      <c r="H1478" s="11" t="n"/>
      <c r="I1478" s="21">
        <f>IF(OR(H1478="",H1478=0),"",1/H1478)</f>
        <v/>
      </c>
      <c r="J1478" s="11">
        <f>IF(OR(G1478="",H1478=""),"",H1478*G1478-1)</f>
        <v/>
      </c>
      <c r="K1478" s="10">
        <f>IF(OR(G1478="",H1478="",G1478&lt;=1),"",IF(J1478&lt;IF(D1478="Builder",MinEdgeBuilder,IF(D1478="Player",MinEdgePlayer,MinEdgeSingle)),0,ROUND(MIN(IF(D1478="Single",KellySingle,KellyBuilder)*(StartBank+SUM(P$1:P1477))*J1478/(G1478-1),IF(D1478="Builder",CapBuilder,CapSingle)*Unit),2)))</f>
        <v/>
      </c>
      <c r="L1478" s="10" t="n"/>
      <c r="N1478" s="10" t="n"/>
      <c r="O1478" s="10">
        <f>IF(L1478="","",IF(M1478="Won",L1478*G1478,IF(M1478="Void",L1478,IF(M1478="Cash out",N(N1478),IF(M1478="Lost",0,"")))))</f>
        <v/>
      </c>
      <c r="P1478" s="10">
        <f>IF(OR(L1478="",M1478="",M1478="Pending"),"",O1478-L1478)</f>
        <v/>
      </c>
      <c r="Q1478" s="21" t="n"/>
      <c r="R1478" s="11">
        <f>IF(OR(G1478="",Q1478=""),"",G1478/Q1478-1)</f>
        <v/>
      </c>
      <c r="S1478" s="10">
        <f>IF(OR(L1478="",J1478=""),"",L1478*J1478)</f>
        <v/>
      </c>
      <c r="T1478" s="10">
        <f>IF(P1478="","",StartBank+SUM(P$2:P1478))</f>
        <v/>
      </c>
    </row>
    <row r="1479">
      <c r="A1479" s="22" t="n"/>
      <c r="G1479" s="21" t="n"/>
      <c r="H1479" s="11" t="n"/>
      <c r="I1479" s="21">
        <f>IF(OR(H1479="",H1479=0),"",1/H1479)</f>
        <v/>
      </c>
      <c r="J1479" s="11">
        <f>IF(OR(G1479="",H1479=""),"",H1479*G1479-1)</f>
        <v/>
      </c>
      <c r="K1479" s="10">
        <f>IF(OR(G1479="",H1479="",G1479&lt;=1),"",IF(J1479&lt;IF(D1479="Builder",MinEdgeBuilder,IF(D1479="Player",MinEdgePlayer,MinEdgeSingle)),0,ROUND(MIN(IF(D1479="Single",KellySingle,KellyBuilder)*(StartBank+SUM(P$1:P1478))*J1479/(G1479-1),IF(D1479="Builder",CapBuilder,CapSingle)*Unit),2)))</f>
        <v/>
      </c>
      <c r="L1479" s="10" t="n"/>
      <c r="N1479" s="10" t="n"/>
      <c r="O1479" s="10">
        <f>IF(L1479="","",IF(M1479="Won",L1479*G1479,IF(M1479="Void",L1479,IF(M1479="Cash out",N(N1479),IF(M1479="Lost",0,"")))))</f>
        <v/>
      </c>
      <c r="P1479" s="10">
        <f>IF(OR(L1479="",M1479="",M1479="Pending"),"",O1479-L1479)</f>
        <v/>
      </c>
      <c r="Q1479" s="21" t="n"/>
      <c r="R1479" s="11">
        <f>IF(OR(G1479="",Q1479=""),"",G1479/Q1479-1)</f>
        <v/>
      </c>
      <c r="S1479" s="10">
        <f>IF(OR(L1479="",J1479=""),"",L1479*J1479)</f>
        <v/>
      </c>
      <c r="T1479" s="10">
        <f>IF(P1479="","",StartBank+SUM(P$2:P1479))</f>
        <v/>
      </c>
    </row>
    <row r="1480">
      <c r="A1480" s="22" t="n"/>
      <c r="G1480" s="21" t="n"/>
      <c r="H1480" s="11" t="n"/>
      <c r="I1480" s="21">
        <f>IF(OR(H1480="",H1480=0),"",1/H1480)</f>
        <v/>
      </c>
      <c r="J1480" s="11">
        <f>IF(OR(G1480="",H1480=""),"",H1480*G1480-1)</f>
        <v/>
      </c>
      <c r="K1480" s="10">
        <f>IF(OR(G1480="",H1480="",G1480&lt;=1),"",IF(J1480&lt;IF(D1480="Builder",MinEdgeBuilder,IF(D1480="Player",MinEdgePlayer,MinEdgeSingle)),0,ROUND(MIN(IF(D1480="Single",KellySingle,KellyBuilder)*(StartBank+SUM(P$1:P1479))*J1480/(G1480-1),IF(D1480="Builder",CapBuilder,CapSingle)*Unit),2)))</f>
        <v/>
      </c>
      <c r="L1480" s="10" t="n"/>
      <c r="N1480" s="10" t="n"/>
      <c r="O1480" s="10">
        <f>IF(L1480="","",IF(M1480="Won",L1480*G1480,IF(M1480="Void",L1480,IF(M1480="Cash out",N(N1480),IF(M1480="Lost",0,"")))))</f>
        <v/>
      </c>
      <c r="P1480" s="10">
        <f>IF(OR(L1480="",M1480="",M1480="Pending"),"",O1480-L1480)</f>
        <v/>
      </c>
      <c r="Q1480" s="21" t="n"/>
      <c r="R1480" s="11">
        <f>IF(OR(G1480="",Q1480=""),"",G1480/Q1480-1)</f>
        <v/>
      </c>
      <c r="S1480" s="10">
        <f>IF(OR(L1480="",J1480=""),"",L1480*J1480)</f>
        <v/>
      </c>
      <c r="T1480" s="10">
        <f>IF(P1480="","",StartBank+SUM(P$2:P1480))</f>
        <v/>
      </c>
    </row>
    <row r="1481">
      <c r="A1481" s="22" t="n"/>
      <c r="G1481" s="21" t="n"/>
      <c r="H1481" s="11" t="n"/>
      <c r="I1481" s="21">
        <f>IF(OR(H1481="",H1481=0),"",1/H1481)</f>
        <v/>
      </c>
      <c r="J1481" s="11">
        <f>IF(OR(G1481="",H1481=""),"",H1481*G1481-1)</f>
        <v/>
      </c>
      <c r="K1481" s="10">
        <f>IF(OR(G1481="",H1481="",G1481&lt;=1),"",IF(J1481&lt;IF(D1481="Builder",MinEdgeBuilder,IF(D1481="Player",MinEdgePlayer,MinEdgeSingle)),0,ROUND(MIN(IF(D1481="Single",KellySingle,KellyBuilder)*(StartBank+SUM(P$1:P1480))*J1481/(G1481-1),IF(D1481="Builder",CapBuilder,CapSingle)*Unit),2)))</f>
        <v/>
      </c>
      <c r="L1481" s="10" t="n"/>
      <c r="N1481" s="10" t="n"/>
      <c r="O1481" s="10">
        <f>IF(L1481="","",IF(M1481="Won",L1481*G1481,IF(M1481="Void",L1481,IF(M1481="Cash out",N(N1481),IF(M1481="Lost",0,"")))))</f>
        <v/>
      </c>
      <c r="P1481" s="10">
        <f>IF(OR(L1481="",M1481="",M1481="Pending"),"",O1481-L1481)</f>
        <v/>
      </c>
      <c r="Q1481" s="21" t="n"/>
      <c r="R1481" s="11">
        <f>IF(OR(G1481="",Q1481=""),"",G1481/Q1481-1)</f>
        <v/>
      </c>
      <c r="S1481" s="10">
        <f>IF(OR(L1481="",J1481=""),"",L1481*J1481)</f>
        <v/>
      </c>
      <c r="T1481" s="10">
        <f>IF(P1481="","",StartBank+SUM(P$2:P1481))</f>
        <v/>
      </c>
    </row>
    <row r="1482">
      <c r="A1482" s="22" t="n"/>
      <c r="G1482" s="21" t="n"/>
      <c r="H1482" s="11" t="n"/>
      <c r="I1482" s="21">
        <f>IF(OR(H1482="",H1482=0),"",1/H1482)</f>
        <v/>
      </c>
      <c r="J1482" s="11">
        <f>IF(OR(G1482="",H1482=""),"",H1482*G1482-1)</f>
        <v/>
      </c>
      <c r="K1482" s="10">
        <f>IF(OR(G1482="",H1482="",G1482&lt;=1),"",IF(J1482&lt;IF(D1482="Builder",MinEdgeBuilder,IF(D1482="Player",MinEdgePlayer,MinEdgeSingle)),0,ROUND(MIN(IF(D1482="Single",KellySingle,KellyBuilder)*(StartBank+SUM(P$1:P1481))*J1482/(G1482-1),IF(D1482="Builder",CapBuilder,CapSingle)*Unit),2)))</f>
        <v/>
      </c>
      <c r="L1482" s="10" t="n"/>
      <c r="N1482" s="10" t="n"/>
      <c r="O1482" s="10">
        <f>IF(L1482="","",IF(M1482="Won",L1482*G1482,IF(M1482="Void",L1482,IF(M1482="Cash out",N(N1482),IF(M1482="Lost",0,"")))))</f>
        <v/>
      </c>
      <c r="P1482" s="10">
        <f>IF(OR(L1482="",M1482="",M1482="Pending"),"",O1482-L1482)</f>
        <v/>
      </c>
      <c r="Q1482" s="21" t="n"/>
      <c r="R1482" s="11">
        <f>IF(OR(G1482="",Q1482=""),"",G1482/Q1482-1)</f>
        <v/>
      </c>
      <c r="S1482" s="10">
        <f>IF(OR(L1482="",J1482=""),"",L1482*J1482)</f>
        <v/>
      </c>
      <c r="T1482" s="10">
        <f>IF(P1482="","",StartBank+SUM(P$2:P1482))</f>
        <v/>
      </c>
    </row>
    <row r="1483">
      <c r="A1483" s="22" t="n"/>
      <c r="G1483" s="21" t="n"/>
      <c r="H1483" s="11" t="n"/>
      <c r="I1483" s="21">
        <f>IF(OR(H1483="",H1483=0),"",1/H1483)</f>
        <v/>
      </c>
      <c r="J1483" s="11">
        <f>IF(OR(G1483="",H1483=""),"",H1483*G1483-1)</f>
        <v/>
      </c>
      <c r="K1483" s="10">
        <f>IF(OR(G1483="",H1483="",G1483&lt;=1),"",IF(J1483&lt;IF(D1483="Builder",MinEdgeBuilder,IF(D1483="Player",MinEdgePlayer,MinEdgeSingle)),0,ROUND(MIN(IF(D1483="Single",KellySingle,KellyBuilder)*(StartBank+SUM(P$1:P1482))*J1483/(G1483-1),IF(D1483="Builder",CapBuilder,CapSingle)*Unit),2)))</f>
        <v/>
      </c>
      <c r="L1483" s="10" t="n"/>
      <c r="N1483" s="10" t="n"/>
      <c r="O1483" s="10">
        <f>IF(L1483="","",IF(M1483="Won",L1483*G1483,IF(M1483="Void",L1483,IF(M1483="Cash out",N(N1483),IF(M1483="Lost",0,"")))))</f>
        <v/>
      </c>
      <c r="P1483" s="10">
        <f>IF(OR(L1483="",M1483="",M1483="Pending"),"",O1483-L1483)</f>
        <v/>
      </c>
      <c r="Q1483" s="21" t="n"/>
      <c r="R1483" s="11">
        <f>IF(OR(G1483="",Q1483=""),"",G1483/Q1483-1)</f>
        <v/>
      </c>
      <c r="S1483" s="10">
        <f>IF(OR(L1483="",J1483=""),"",L1483*J1483)</f>
        <v/>
      </c>
      <c r="T1483" s="10">
        <f>IF(P1483="","",StartBank+SUM(P$2:P1483))</f>
        <v/>
      </c>
    </row>
    <row r="1484">
      <c r="A1484" s="22" t="n"/>
      <c r="G1484" s="21" t="n"/>
      <c r="H1484" s="11" t="n"/>
      <c r="I1484" s="21">
        <f>IF(OR(H1484="",H1484=0),"",1/H1484)</f>
        <v/>
      </c>
      <c r="J1484" s="11">
        <f>IF(OR(G1484="",H1484=""),"",H1484*G1484-1)</f>
        <v/>
      </c>
      <c r="K1484" s="10">
        <f>IF(OR(G1484="",H1484="",G1484&lt;=1),"",IF(J1484&lt;IF(D1484="Builder",MinEdgeBuilder,IF(D1484="Player",MinEdgePlayer,MinEdgeSingle)),0,ROUND(MIN(IF(D1484="Single",KellySingle,KellyBuilder)*(StartBank+SUM(P$1:P1483))*J1484/(G1484-1),IF(D1484="Builder",CapBuilder,CapSingle)*Unit),2)))</f>
        <v/>
      </c>
      <c r="L1484" s="10" t="n"/>
      <c r="N1484" s="10" t="n"/>
      <c r="O1484" s="10">
        <f>IF(L1484="","",IF(M1484="Won",L1484*G1484,IF(M1484="Void",L1484,IF(M1484="Cash out",N(N1484),IF(M1484="Lost",0,"")))))</f>
        <v/>
      </c>
      <c r="P1484" s="10">
        <f>IF(OR(L1484="",M1484="",M1484="Pending"),"",O1484-L1484)</f>
        <v/>
      </c>
      <c r="Q1484" s="21" t="n"/>
      <c r="R1484" s="11">
        <f>IF(OR(G1484="",Q1484=""),"",G1484/Q1484-1)</f>
        <v/>
      </c>
      <c r="S1484" s="10">
        <f>IF(OR(L1484="",J1484=""),"",L1484*J1484)</f>
        <v/>
      </c>
      <c r="T1484" s="10">
        <f>IF(P1484="","",StartBank+SUM(P$2:P1484))</f>
        <v/>
      </c>
    </row>
    <row r="1485">
      <c r="A1485" s="22" t="n"/>
      <c r="G1485" s="21" t="n"/>
      <c r="H1485" s="11" t="n"/>
      <c r="I1485" s="21">
        <f>IF(OR(H1485="",H1485=0),"",1/H1485)</f>
        <v/>
      </c>
      <c r="J1485" s="11">
        <f>IF(OR(G1485="",H1485=""),"",H1485*G1485-1)</f>
        <v/>
      </c>
      <c r="K1485" s="10">
        <f>IF(OR(G1485="",H1485="",G1485&lt;=1),"",IF(J1485&lt;IF(D1485="Builder",MinEdgeBuilder,IF(D1485="Player",MinEdgePlayer,MinEdgeSingle)),0,ROUND(MIN(IF(D1485="Single",KellySingle,KellyBuilder)*(StartBank+SUM(P$1:P1484))*J1485/(G1485-1),IF(D1485="Builder",CapBuilder,CapSingle)*Unit),2)))</f>
        <v/>
      </c>
      <c r="L1485" s="10" t="n"/>
      <c r="N1485" s="10" t="n"/>
      <c r="O1485" s="10">
        <f>IF(L1485="","",IF(M1485="Won",L1485*G1485,IF(M1485="Void",L1485,IF(M1485="Cash out",N(N1485),IF(M1485="Lost",0,"")))))</f>
        <v/>
      </c>
      <c r="P1485" s="10">
        <f>IF(OR(L1485="",M1485="",M1485="Pending"),"",O1485-L1485)</f>
        <v/>
      </c>
      <c r="Q1485" s="21" t="n"/>
      <c r="R1485" s="11">
        <f>IF(OR(G1485="",Q1485=""),"",G1485/Q1485-1)</f>
        <v/>
      </c>
      <c r="S1485" s="10">
        <f>IF(OR(L1485="",J1485=""),"",L1485*J1485)</f>
        <v/>
      </c>
      <c r="T1485" s="10">
        <f>IF(P1485="","",StartBank+SUM(P$2:P1485))</f>
        <v/>
      </c>
    </row>
    <row r="1486">
      <c r="A1486" s="22" t="n"/>
      <c r="G1486" s="21" t="n"/>
      <c r="H1486" s="11" t="n"/>
      <c r="I1486" s="21">
        <f>IF(OR(H1486="",H1486=0),"",1/H1486)</f>
        <v/>
      </c>
      <c r="J1486" s="11">
        <f>IF(OR(G1486="",H1486=""),"",H1486*G1486-1)</f>
        <v/>
      </c>
      <c r="K1486" s="10">
        <f>IF(OR(G1486="",H1486="",G1486&lt;=1),"",IF(J1486&lt;IF(D1486="Builder",MinEdgeBuilder,IF(D1486="Player",MinEdgePlayer,MinEdgeSingle)),0,ROUND(MIN(IF(D1486="Single",KellySingle,KellyBuilder)*(StartBank+SUM(P$1:P1485))*J1486/(G1486-1),IF(D1486="Builder",CapBuilder,CapSingle)*Unit),2)))</f>
        <v/>
      </c>
      <c r="L1486" s="10" t="n"/>
      <c r="N1486" s="10" t="n"/>
      <c r="O1486" s="10">
        <f>IF(L1486="","",IF(M1486="Won",L1486*G1486,IF(M1486="Void",L1486,IF(M1486="Cash out",N(N1486),IF(M1486="Lost",0,"")))))</f>
        <v/>
      </c>
      <c r="P1486" s="10">
        <f>IF(OR(L1486="",M1486="",M1486="Pending"),"",O1486-L1486)</f>
        <v/>
      </c>
      <c r="Q1486" s="21" t="n"/>
      <c r="R1486" s="11">
        <f>IF(OR(G1486="",Q1486=""),"",G1486/Q1486-1)</f>
        <v/>
      </c>
      <c r="S1486" s="10">
        <f>IF(OR(L1486="",J1486=""),"",L1486*J1486)</f>
        <v/>
      </c>
      <c r="T1486" s="10">
        <f>IF(P1486="","",StartBank+SUM(P$2:P1486))</f>
        <v/>
      </c>
    </row>
    <row r="1487">
      <c r="A1487" s="22" t="n"/>
      <c r="G1487" s="21" t="n"/>
      <c r="H1487" s="11" t="n"/>
      <c r="I1487" s="21">
        <f>IF(OR(H1487="",H1487=0),"",1/H1487)</f>
        <v/>
      </c>
      <c r="J1487" s="11">
        <f>IF(OR(G1487="",H1487=""),"",H1487*G1487-1)</f>
        <v/>
      </c>
      <c r="K1487" s="10">
        <f>IF(OR(G1487="",H1487="",G1487&lt;=1),"",IF(J1487&lt;IF(D1487="Builder",MinEdgeBuilder,IF(D1487="Player",MinEdgePlayer,MinEdgeSingle)),0,ROUND(MIN(IF(D1487="Single",KellySingle,KellyBuilder)*(StartBank+SUM(P$1:P1486))*J1487/(G1487-1),IF(D1487="Builder",CapBuilder,CapSingle)*Unit),2)))</f>
        <v/>
      </c>
      <c r="L1487" s="10" t="n"/>
      <c r="N1487" s="10" t="n"/>
      <c r="O1487" s="10">
        <f>IF(L1487="","",IF(M1487="Won",L1487*G1487,IF(M1487="Void",L1487,IF(M1487="Cash out",N(N1487),IF(M1487="Lost",0,"")))))</f>
        <v/>
      </c>
      <c r="P1487" s="10">
        <f>IF(OR(L1487="",M1487="",M1487="Pending"),"",O1487-L1487)</f>
        <v/>
      </c>
      <c r="Q1487" s="21" t="n"/>
      <c r="R1487" s="11">
        <f>IF(OR(G1487="",Q1487=""),"",G1487/Q1487-1)</f>
        <v/>
      </c>
      <c r="S1487" s="10">
        <f>IF(OR(L1487="",J1487=""),"",L1487*J1487)</f>
        <v/>
      </c>
      <c r="T1487" s="10">
        <f>IF(P1487="","",StartBank+SUM(P$2:P1487))</f>
        <v/>
      </c>
    </row>
    <row r="1488">
      <c r="A1488" s="22" t="n"/>
      <c r="G1488" s="21" t="n"/>
      <c r="H1488" s="11" t="n"/>
      <c r="I1488" s="21">
        <f>IF(OR(H1488="",H1488=0),"",1/H1488)</f>
        <v/>
      </c>
      <c r="J1488" s="11">
        <f>IF(OR(G1488="",H1488=""),"",H1488*G1488-1)</f>
        <v/>
      </c>
      <c r="K1488" s="10">
        <f>IF(OR(G1488="",H1488="",G1488&lt;=1),"",IF(J1488&lt;IF(D1488="Builder",MinEdgeBuilder,IF(D1488="Player",MinEdgePlayer,MinEdgeSingle)),0,ROUND(MIN(IF(D1488="Single",KellySingle,KellyBuilder)*(StartBank+SUM(P$1:P1487))*J1488/(G1488-1),IF(D1488="Builder",CapBuilder,CapSingle)*Unit),2)))</f>
        <v/>
      </c>
      <c r="L1488" s="10" t="n"/>
      <c r="N1488" s="10" t="n"/>
      <c r="O1488" s="10">
        <f>IF(L1488="","",IF(M1488="Won",L1488*G1488,IF(M1488="Void",L1488,IF(M1488="Cash out",N(N1488),IF(M1488="Lost",0,"")))))</f>
        <v/>
      </c>
      <c r="P1488" s="10">
        <f>IF(OR(L1488="",M1488="",M1488="Pending"),"",O1488-L1488)</f>
        <v/>
      </c>
      <c r="Q1488" s="21" t="n"/>
      <c r="R1488" s="11">
        <f>IF(OR(G1488="",Q1488=""),"",G1488/Q1488-1)</f>
        <v/>
      </c>
      <c r="S1488" s="10">
        <f>IF(OR(L1488="",J1488=""),"",L1488*J1488)</f>
        <v/>
      </c>
      <c r="T1488" s="10">
        <f>IF(P1488="","",StartBank+SUM(P$2:P1488))</f>
        <v/>
      </c>
    </row>
    <row r="1489">
      <c r="A1489" s="22" t="n"/>
      <c r="G1489" s="21" t="n"/>
      <c r="H1489" s="11" t="n"/>
      <c r="I1489" s="21">
        <f>IF(OR(H1489="",H1489=0),"",1/H1489)</f>
        <v/>
      </c>
      <c r="J1489" s="11">
        <f>IF(OR(G1489="",H1489=""),"",H1489*G1489-1)</f>
        <v/>
      </c>
      <c r="K1489" s="10">
        <f>IF(OR(G1489="",H1489="",G1489&lt;=1),"",IF(J1489&lt;IF(D1489="Builder",MinEdgeBuilder,IF(D1489="Player",MinEdgePlayer,MinEdgeSingle)),0,ROUND(MIN(IF(D1489="Single",KellySingle,KellyBuilder)*(StartBank+SUM(P$1:P1488))*J1489/(G1489-1),IF(D1489="Builder",CapBuilder,CapSingle)*Unit),2)))</f>
        <v/>
      </c>
      <c r="L1489" s="10" t="n"/>
      <c r="N1489" s="10" t="n"/>
      <c r="O1489" s="10">
        <f>IF(L1489="","",IF(M1489="Won",L1489*G1489,IF(M1489="Void",L1489,IF(M1489="Cash out",N(N1489),IF(M1489="Lost",0,"")))))</f>
        <v/>
      </c>
      <c r="P1489" s="10">
        <f>IF(OR(L1489="",M1489="",M1489="Pending"),"",O1489-L1489)</f>
        <v/>
      </c>
      <c r="Q1489" s="21" t="n"/>
      <c r="R1489" s="11">
        <f>IF(OR(G1489="",Q1489=""),"",G1489/Q1489-1)</f>
        <v/>
      </c>
      <c r="S1489" s="10">
        <f>IF(OR(L1489="",J1489=""),"",L1489*J1489)</f>
        <v/>
      </c>
      <c r="T1489" s="10">
        <f>IF(P1489="","",StartBank+SUM(P$2:P1489))</f>
        <v/>
      </c>
    </row>
    <row r="1490">
      <c r="A1490" s="22" t="n"/>
      <c r="G1490" s="21" t="n"/>
      <c r="H1490" s="11" t="n"/>
      <c r="I1490" s="21">
        <f>IF(OR(H1490="",H1490=0),"",1/H1490)</f>
        <v/>
      </c>
      <c r="J1490" s="11">
        <f>IF(OR(G1490="",H1490=""),"",H1490*G1490-1)</f>
        <v/>
      </c>
      <c r="K1490" s="10">
        <f>IF(OR(G1490="",H1490="",G1490&lt;=1),"",IF(J1490&lt;IF(D1490="Builder",MinEdgeBuilder,IF(D1490="Player",MinEdgePlayer,MinEdgeSingle)),0,ROUND(MIN(IF(D1490="Single",KellySingle,KellyBuilder)*(StartBank+SUM(P$1:P1489))*J1490/(G1490-1),IF(D1490="Builder",CapBuilder,CapSingle)*Unit),2)))</f>
        <v/>
      </c>
      <c r="L1490" s="10" t="n"/>
      <c r="N1490" s="10" t="n"/>
      <c r="O1490" s="10">
        <f>IF(L1490="","",IF(M1490="Won",L1490*G1490,IF(M1490="Void",L1490,IF(M1490="Cash out",N(N1490),IF(M1490="Lost",0,"")))))</f>
        <v/>
      </c>
      <c r="P1490" s="10">
        <f>IF(OR(L1490="",M1490="",M1490="Pending"),"",O1490-L1490)</f>
        <v/>
      </c>
      <c r="Q1490" s="21" t="n"/>
      <c r="R1490" s="11">
        <f>IF(OR(G1490="",Q1490=""),"",G1490/Q1490-1)</f>
        <v/>
      </c>
      <c r="S1490" s="10">
        <f>IF(OR(L1490="",J1490=""),"",L1490*J1490)</f>
        <v/>
      </c>
      <c r="T1490" s="10">
        <f>IF(P1490="","",StartBank+SUM(P$2:P1490))</f>
        <v/>
      </c>
    </row>
    <row r="1491">
      <c r="A1491" s="22" t="n"/>
      <c r="G1491" s="21" t="n"/>
      <c r="H1491" s="11" t="n"/>
      <c r="I1491" s="21">
        <f>IF(OR(H1491="",H1491=0),"",1/H1491)</f>
        <v/>
      </c>
      <c r="J1491" s="11">
        <f>IF(OR(G1491="",H1491=""),"",H1491*G1491-1)</f>
        <v/>
      </c>
      <c r="K1491" s="10">
        <f>IF(OR(G1491="",H1491="",G1491&lt;=1),"",IF(J1491&lt;IF(D1491="Builder",MinEdgeBuilder,IF(D1491="Player",MinEdgePlayer,MinEdgeSingle)),0,ROUND(MIN(IF(D1491="Single",KellySingle,KellyBuilder)*(StartBank+SUM(P$1:P1490))*J1491/(G1491-1),IF(D1491="Builder",CapBuilder,CapSingle)*Unit),2)))</f>
        <v/>
      </c>
      <c r="L1491" s="10" t="n"/>
      <c r="N1491" s="10" t="n"/>
      <c r="O1491" s="10">
        <f>IF(L1491="","",IF(M1491="Won",L1491*G1491,IF(M1491="Void",L1491,IF(M1491="Cash out",N(N1491),IF(M1491="Lost",0,"")))))</f>
        <v/>
      </c>
      <c r="P1491" s="10">
        <f>IF(OR(L1491="",M1491="",M1491="Pending"),"",O1491-L1491)</f>
        <v/>
      </c>
      <c r="Q1491" s="21" t="n"/>
      <c r="R1491" s="11">
        <f>IF(OR(G1491="",Q1491=""),"",G1491/Q1491-1)</f>
        <v/>
      </c>
      <c r="S1491" s="10">
        <f>IF(OR(L1491="",J1491=""),"",L1491*J1491)</f>
        <v/>
      </c>
      <c r="T1491" s="10">
        <f>IF(P1491="","",StartBank+SUM(P$2:P1491))</f>
        <v/>
      </c>
    </row>
    <row r="1492">
      <c r="A1492" s="22" t="n"/>
      <c r="G1492" s="21" t="n"/>
      <c r="H1492" s="11" t="n"/>
      <c r="I1492" s="21">
        <f>IF(OR(H1492="",H1492=0),"",1/H1492)</f>
        <v/>
      </c>
      <c r="J1492" s="11">
        <f>IF(OR(G1492="",H1492=""),"",H1492*G1492-1)</f>
        <v/>
      </c>
      <c r="K1492" s="10">
        <f>IF(OR(G1492="",H1492="",G1492&lt;=1),"",IF(J1492&lt;IF(D1492="Builder",MinEdgeBuilder,IF(D1492="Player",MinEdgePlayer,MinEdgeSingle)),0,ROUND(MIN(IF(D1492="Single",KellySingle,KellyBuilder)*(StartBank+SUM(P$1:P1491))*J1492/(G1492-1),IF(D1492="Builder",CapBuilder,CapSingle)*Unit),2)))</f>
        <v/>
      </c>
      <c r="L1492" s="10" t="n"/>
      <c r="N1492" s="10" t="n"/>
      <c r="O1492" s="10">
        <f>IF(L1492="","",IF(M1492="Won",L1492*G1492,IF(M1492="Void",L1492,IF(M1492="Cash out",N(N1492),IF(M1492="Lost",0,"")))))</f>
        <v/>
      </c>
      <c r="P1492" s="10">
        <f>IF(OR(L1492="",M1492="",M1492="Pending"),"",O1492-L1492)</f>
        <v/>
      </c>
      <c r="Q1492" s="21" t="n"/>
      <c r="R1492" s="11">
        <f>IF(OR(G1492="",Q1492=""),"",G1492/Q1492-1)</f>
        <v/>
      </c>
      <c r="S1492" s="10">
        <f>IF(OR(L1492="",J1492=""),"",L1492*J1492)</f>
        <v/>
      </c>
      <c r="T1492" s="10">
        <f>IF(P1492="","",StartBank+SUM(P$2:P1492))</f>
        <v/>
      </c>
    </row>
    <row r="1493">
      <c r="A1493" s="22" t="n"/>
      <c r="G1493" s="21" t="n"/>
      <c r="H1493" s="11" t="n"/>
      <c r="I1493" s="21">
        <f>IF(OR(H1493="",H1493=0),"",1/H1493)</f>
        <v/>
      </c>
      <c r="J1493" s="11">
        <f>IF(OR(G1493="",H1493=""),"",H1493*G1493-1)</f>
        <v/>
      </c>
      <c r="K1493" s="10">
        <f>IF(OR(G1493="",H1493="",G1493&lt;=1),"",IF(J1493&lt;IF(D1493="Builder",MinEdgeBuilder,IF(D1493="Player",MinEdgePlayer,MinEdgeSingle)),0,ROUND(MIN(IF(D1493="Single",KellySingle,KellyBuilder)*(StartBank+SUM(P$1:P1492))*J1493/(G1493-1),IF(D1493="Builder",CapBuilder,CapSingle)*Unit),2)))</f>
        <v/>
      </c>
      <c r="L1493" s="10" t="n"/>
      <c r="N1493" s="10" t="n"/>
      <c r="O1493" s="10">
        <f>IF(L1493="","",IF(M1493="Won",L1493*G1493,IF(M1493="Void",L1493,IF(M1493="Cash out",N(N1493),IF(M1493="Lost",0,"")))))</f>
        <v/>
      </c>
      <c r="P1493" s="10">
        <f>IF(OR(L1493="",M1493="",M1493="Pending"),"",O1493-L1493)</f>
        <v/>
      </c>
      <c r="Q1493" s="21" t="n"/>
      <c r="R1493" s="11">
        <f>IF(OR(G1493="",Q1493=""),"",G1493/Q1493-1)</f>
        <v/>
      </c>
      <c r="S1493" s="10">
        <f>IF(OR(L1493="",J1493=""),"",L1493*J1493)</f>
        <v/>
      </c>
      <c r="T1493" s="10">
        <f>IF(P1493="","",StartBank+SUM(P$2:P1493))</f>
        <v/>
      </c>
    </row>
    <row r="1494">
      <c r="A1494" s="22" t="n"/>
      <c r="G1494" s="21" t="n"/>
      <c r="H1494" s="11" t="n"/>
      <c r="I1494" s="21">
        <f>IF(OR(H1494="",H1494=0),"",1/H1494)</f>
        <v/>
      </c>
      <c r="J1494" s="11">
        <f>IF(OR(G1494="",H1494=""),"",H1494*G1494-1)</f>
        <v/>
      </c>
      <c r="K1494" s="10">
        <f>IF(OR(G1494="",H1494="",G1494&lt;=1),"",IF(J1494&lt;IF(D1494="Builder",MinEdgeBuilder,IF(D1494="Player",MinEdgePlayer,MinEdgeSingle)),0,ROUND(MIN(IF(D1494="Single",KellySingle,KellyBuilder)*(StartBank+SUM(P$1:P1493))*J1494/(G1494-1),IF(D1494="Builder",CapBuilder,CapSingle)*Unit),2)))</f>
        <v/>
      </c>
      <c r="L1494" s="10" t="n"/>
      <c r="N1494" s="10" t="n"/>
      <c r="O1494" s="10">
        <f>IF(L1494="","",IF(M1494="Won",L1494*G1494,IF(M1494="Void",L1494,IF(M1494="Cash out",N(N1494),IF(M1494="Lost",0,"")))))</f>
        <v/>
      </c>
      <c r="P1494" s="10">
        <f>IF(OR(L1494="",M1494="",M1494="Pending"),"",O1494-L1494)</f>
        <v/>
      </c>
      <c r="Q1494" s="21" t="n"/>
      <c r="R1494" s="11">
        <f>IF(OR(G1494="",Q1494=""),"",G1494/Q1494-1)</f>
        <v/>
      </c>
      <c r="S1494" s="10">
        <f>IF(OR(L1494="",J1494=""),"",L1494*J1494)</f>
        <v/>
      </c>
      <c r="T1494" s="10">
        <f>IF(P1494="","",StartBank+SUM(P$2:P1494))</f>
        <v/>
      </c>
    </row>
    <row r="1495">
      <c r="A1495" s="22" t="n"/>
      <c r="G1495" s="21" t="n"/>
      <c r="H1495" s="11" t="n"/>
      <c r="I1495" s="21">
        <f>IF(OR(H1495="",H1495=0),"",1/H1495)</f>
        <v/>
      </c>
      <c r="J1495" s="11">
        <f>IF(OR(G1495="",H1495=""),"",H1495*G1495-1)</f>
        <v/>
      </c>
      <c r="K1495" s="10">
        <f>IF(OR(G1495="",H1495="",G1495&lt;=1),"",IF(J1495&lt;IF(D1495="Builder",MinEdgeBuilder,IF(D1495="Player",MinEdgePlayer,MinEdgeSingle)),0,ROUND(MIN(IF(D1495="Single",KellySingle,KellyBuilder)*(StartBank+SUM(P$1:P1494))*J1495/(G1495-1),IF(D1495="Builder",CapBuilder,CapSingle)*Unit),2)))</f>
        <v/>
      </c>
      <c r="L1495" s="10" t="n"/>
      <c r="N1495" s="10" t="n"/>
      <c r="O1495" s="10">
        <f>IF(L1495="","",IF(M1495="Won",L1495*G1495,IF(M1495="Void",L1495,IF(M1495="Cash out",N(N1495),IF(M1495="Lost",0,"")))))</f>
        <v/>
      </c>
      <c r="P1495" s="10">
        <f>IF(OR(L1495="",M1495="",M1495="Pending"),"",O1495-L1495)</f>
        <v/>
      </c>
      <c r="Q1495" s="21" t="n"/>
      <c r="R1495" s="11">
        <f>IF(OR(G1495="",Q1495=""),"",G1495/Q1495-1)</f>
        <v/>
      </c>
      <c r="S1495" s="10">
        <f>IF(OR(L1495="",J1495=""),"",L1495*J1495)</f>
        <v/>
      </c>
      <c r="T1495" s="10">
        <f>IF(P1495="","",StartBank+SUM(P$2:P1495))</f>
        <v/>
      </c>
    </row>
    <row r="1496">
      <c r="A1496" s="22" t="n"/>
      <c r="G1496" s="21" t="n"/>
      <c r="H1496" s="11" t="n"/>
      <c r="I1496" s="21">
        <f>IF(OR(H1496="",H1496=0),"",1/H1496)</f>
        <v/>
      </c>
      <c r="J1496" s="11">
        <f>IF(OR(G1496="",H1496=""),"",H1496*G1496-1)</f>
        <v/>
      </c>
      <c r="K1496" s="10">
        <f>IF(OR(G1496="",H1496="",G1496&lt;=1),"",IF(J1496&lt;IF(D1496="Builder",MinEdgeBuilder,IF(D1496="Player",MinEdgePlayer,MinEdgeSingle)),0,ROUND(MIN(IF(D1496="Single",KellySingle,KellyBuilder)*(StartBank+SUM(P$1:P1495))*J1496/(G1496-1),IF(D1496="Builder",CapBuilder,CapSingle)*Unit),2)))</f>
        <v/>
      </c>
      <c r="L1496" s="10" t="n"/>
      <c r="N1496" s="10" t="n"/>
      <c r="O1496" s="10">
        <f>IF(L1496="","",IF(M1496="Won",L1496*G1496,IF(M1496="Void",L1496,IF(M1496="Cash out",N(N1496),IF(M1496="Lost",0,"")))))</f>
        <v/>
      </c>
      <c r="P1496" s="10">
        <f>IF(OR(L1496="",M1496="",M1496="Pending"),"",O1496-L1496)</f>
        <v/>
      </c>
      <c r="Q1496" s="21" t="n"/>
      <c r="R1496" s="11">
        <f>IF(OR(G1496="",Q1496=""),"",G1496/Q1496-1)</f>
        <v/>
      </c>
      <c r="S1496" s="10">
        <f>IF(OR(L1496="",J1496=""),"",L1496*J1496)</f>
        <v/>
      </c>
      <c r="T1496" s="10">
        <f>IF(P1496="","",StartBank+SUM(P$2:P1496))</f>
        <v/>
      </c>
    </row>
    <row r="1497">
      <c r="A1497" s="22" t="n"/>
      <c r="G1497" s="21" t="n"/>
      <c r="H1497" s="11" t="n"/>
      <c r="I1497" s="21">
        <f>IF(OR(H1497="",H1497=0),"",1/H1497)</f>
        <v/>
      </c>
      <c r="J1497" s="11">
        <f>IF(OR(G1497="",H1497=""),"",H1497*G1497-1)</f>
        <v/>
      </c>
      <c r="K1497" s="10">
        <f>IF(OR(G1497="",H1497="",G1497&lt;=1),"",IF(J1497&lt;IF(D1497="Builder",MinEdgeBuilder,IF(D1497="Player",MinEdgePlayer,MinEdgeSingle)),0,ROUND(MIN(IF(D1497="Single",KellySingle,KellyBuilder)*(StartBank+SUM(P$1:P1496))*J1497/(G1497-1),IF(D1497="Builder",CapBuilder,CapSingle)*Unit),2)))</f>
        <v/>
      </c>
      <c r="L1497" s="10" t="n"/>
      <c r="N1497" s="10" t="n"/>
      <c r="O1497" s="10">
        <f>IF(L1497="","",IF(M1497="Won",L1497*G1497,IF(M1497="Void",L1497,IF(M1497="Cash out",N(N1497),IF(M1497="Lost",0,"")))))</f>
        <v/>
      </c>
      <c r="P1497" s="10">
        <f>IF(OR(L1497="",M1497="",M1497="Pending"),"",O1497-L1497)</f>
        <v/>
      </c>
      <c r="Q1497" s="21" t="n"/>
      <c r="R1497" s="11">
        <f>IF(OR(G1497="",Q1497=""),"",G1497/Q1497-1)</f>
        <v/>
      </c>
      <c r="S1497" s="10">
        <f>IF(OR(L1497="",J1497=""),"",L1497*J1497)</f>
        <v/>
      </c>
      <c r="T1497" s="10">
        <f>IF(P1497="","",StartBank+SUM(P$2:P1497))</f>
        <v/>
      </c>
    </row>
    <row r="1498">
      <c r="A1498" s="22" t="n"/>
      <c r="G1498" s="21" t="n"/>
      <c r="H1498" s="11" t="n"/>
      <c r="I1498" s="21">
        <f>IF(OR(H1498="",H1498=0),"",1/H1498)</f>
        <v/>
      </c>
      <c r="J1498" s="11">
        <f>IF(OR(G1498="",H1498=""),"",H1498*G1498-1)</f>
        <v/>
      </c>
      <c r="K1498" s="10">
        <f>IF(OR(G1498="",H1498="",G1498&lt;=1),"",IF(J1498&lt;IF(D1498="Builder",MinEdgeBuilder,IF(D1498="Player",MinEdgePlayer,MinEdgeSingle)),0,ROUND(MIN(IF(D1498="Single",KellySingle,KellyBuilder)*(StartBank+SUM(P$1:P1497))*J1498/(G1498-1),IF(D1498="Builder",CapBuilder,CapSingle)*Unit),2)))</f>
        <v/>
      </c>
      <c r="L1498" s="10" t="n"/>
      <c r="N1498" s="10" t="n"/>
      <c r="O1498" s="10">
        <f>IF(L1498="","",IF(M1498="Won",L1498*G1498,IF(M1498="Void",L1498,IF(M1498="Cash out",N(N1498),IF(M1498="Lost",0,"")))))</f>
        <v/>
      </c>
      <c r="P1498" s="10">
        <f>IF(OR(L1498="",M1498="",M1498="Pending"),"",O1498-L1498)</f>
        <v/>
      </c>
      <c r="Q1498" s="21" t="n"/>
      <c r="R1498" s="11">
        <f>IF(OR(G1498="",Q1498=""),"",G1498/Q1498-1)</f>
        <v/>
      </c>
      <c r="S1498" s="10">
        <f>IF(OR(L1498="",J1498=""),"",L1498*J1498)</f>
        <v/>
      </c>
      <c r="T1498" s="10">
        <f>IF(P1498="","",StartBank+SUM(P$2:P1498))</f>
        <v/>
      </c>
    </row>
    <row r="1499">
      <c r="A1499" s="22" t="n"/>
      <c r="G1499" s="21" t="n"/>
      <c r="H1499" s="11" t="n"/>
      <c r="I1499" s="21">
        <f>IF(OR(H1499="",H1499=0),"",1/H1499)</f>
        <v/>
      </c>
      <c r="J1499" s="11">
        <f>IF(OR(G1499="",H1499=""),"",H1499*G1499-1)</f>
        <v/>
      </c>
      <c r="K1499" s="10">
        <f>IF(OR(G1499="",H1499="",G1499&lt;=1),"",IF(J1499&lt;IF(D1499="Builder",MinEdgeBuilder,IF(D1499="Player",MinEdgePlayer,MinEdgeSingle)),0,ROUND(MIN(IF(D1499="Single",KellySingle,KellyBuilder)*(StartBank+SUM(P$1:P1498))*J1499/(G1499-1),IF(D1499="Builder",CapBuilder,CapSingle)*Unit),2)))</f>
        <v/>
      </c>
      <c r="L1499" s="10" t="n"/>
      <c r="N1499" s="10" t="n"/>
      <c r="O1499" s="10">
        <f>IF(L1499="","",IF(M1499="Won",L1499*G1499,IF(M1499="Void",L1499,IF(M1499="Cash out",N(N1499),IF(M1499="Lost",0,"")))))</f>
        <v/>
      </c>
      <c r="P1499" s="10">
        <f>IF(OR(L1499="",M1499="",M1499="Pending"),"",O1499-L1499)</f>
        <v/>
      </c>
      <c r="Q1499" s="21" t="n"/>
      <c r="R1499" s="11">
        <f>IF(OR(G1499="",Q1499=""),"",G1499/Q1499-1)</f>
        <v/>
      </c>
      <c r="S1499" s="10">
        <f>IF(OR(L1499="",J1499=""),"",L1499*J1499)</f>
        <v/>
      </c>
      <c r="T1499" s="10">
        <f>IF(P1499="","",StartBank+SUM(P$2:P1499))</f>
        <v/>
      </c>
    </row>
    <row r="1500">
      <c r="A1500" s="22" t="n"/>
      <c r="G1500" s="21" t="n"/>
      <c r="H1500" s="11" t="n"/>
      <c r="I1500" s="21">
        <f>IF(OR(H1500="",H1500=0),"",1/H1500)</f>
        <v/>
      </c>
      <c r="J1500" s="11">
        <f>IF(OR(G1500="",H1500=""),"",H1500*G1500-1)</f>
        <v/>
      </c>
      <c r="K1500" s="10">
        <f>IF(OR(G1500="",H1500="",G1500&lt;=1),"",IF(J1500&lt;IF(D1500="Builder",MinEdgeBuilder,IF(D1500="Player",MinEdgePlayer,MinEdgeSingle)),0,ROUND(MIN(IF(D1500="Single",KellySingle,KellyBuilder)*(StartBank+SUM(P$1:P1499))*J1500/(G1500-1),IF(D1500="Builder",CapBuilder,CapSingle)*Unit),2)))</f>
        <v/>
      </c>
      <c r="L1500" s="10" t="n"/>
      <c r="N1500" s="10" t="n"/>
      <c r="O1500" s="10">
        <f>IF(L1500="","",IF(M1500="Won",L1500*G1500,IF(M1500="Void",L1500,IF(M1500="Cash out",N(N1500),IF(M1500="Lost",0,"")))))</f>
        <v/>
      </c>
      <c r="P1500" s="10">
        <f>IF(OR(L1500="",M1500="",M1500="Pending"),"",O1500-L1500)</f>
        <v/>
      </c>
      <c r="Q1500" s="21" t="n"/>
      <c r="R1500" s="11">
        <f>IF(OR(G1500="",Q1500=""),"",G1500/Q1500-1)</f>
        <v/>
      </c>
      <c r="S1500" s="10">
        <f>IF(OR(L1500="",J1500=""),"",L1500*J1500)</f>
        <v/>
      </c>
      <c r="T1500" s="10">
        <f>IF(P1500="","",StartBank+SUM(P$2:P1500))</f>
        <v/>
      </c>
    </row>
    <row r="1501">
      <c r="A1501" s="22" t="n"/>
      <c r="G1501" s="21" t="n"/>
      <c r="H1501" s="11" t="n"/>
      <c r="I1501" s="21">
        <f>IF(OR(H1501="",H1501=0),"",1/H1501)</f>
        <v/>
      </c>
      <c r="J1501" s="11">
        <f>IF(OR(G1501="",H1501=""),"",H1501*G1501-1)</f>
        <v/>
      </c>
      <c r="K1501" s="10">
        <f>IF(OR(G1501="",H1501="",G1501&lt;=1),"",IF(J1501&lt;IF(D1501="Builder",MinEdgeBuilder,IF(D1501="Player",MinEdgePlayer,MinEdgeSingle)),0,ROUND(MIN(IF(D1501="Single",KellySingle,KellyBuilder)*(StartBank+SUM(P$1:P1500))*J1501/(G1501-1),IF(D1501="Builder",CapBuilder,CapSingle)*Unit),2)))</f>
        <v/>
      </c>
      <c r="L1501" s="10" t="n"/>
      <c r="N1501" s="10" t="n"/>
      <c r="O1501" s="10">
        <f>IF(L1501="","",IF(M1501="Won",L1501*G1501,IF(M1501="Void",L1501,IF(M1501="Cash out",N(N1501),IF(M1501="Lost",0,"")))))</f>
        <v/>
      </c>
      <c r="P1501" s="10">
        <f>IF(OR(L1501="",M1501="",M1501="Pending"),"",O1501-L1501)</f>
        <v/>
      </c>
      <c r="Q1501" s="21" t="n"/>
      <c r="R1501" s="11">
        <f>IF(OR(G1501="",Q1501=""),"",G1501/Q1501-1)</f>
        <v/>
      </c>
      <c r="S1501" s="10">
        <f>IF(OR(L1501="",J1501=""),"",L1501*J1501)</f>
        <v/>
      </c>
      <c r="T1501" s="10">
        <f>IF(P1501="","",StartBank+SUM(P$2:P1501))</f>
        <v/>
      </c>
    </row>
    <row r="1502">
      <c r="A1502" s="22" t="n"/>
      <c r="G1502" s="21" t="n"/>
      <c r="H1502" s="11" t="n"/>
      <c r="I1502" s="21">
        <f>IF(OR(H1502="",H1502=0),"",1/H1502)</f>
        <v/>
      </c>
      <c r="J1502" s="11">
        <f>IF(OR(G1502="",H1502=""),"",H1502*G1502-1)</f>
        <v/>
      </c>
      <c r="K1502" s="10">
        <f>IF(OR(G1502="",H1502="",G1502&lt;=1),"",IF(J1502&lt;IF(D1502="Builder",MinEdgeBuilder,IF(D1502="Player",MinEdgePlayer,MinEdgeSingle)),0,ROUND(MIN(IF(D1502="Single",KellySingle,KellyBuilder)*(StartBank+SUM(P$1:P1501))*J1502/(G1502-1),IF(D1502="Builder",CapBuilder,CapSingle)*Unit),2)))</f>
        <v/>
      </c>
      <c r="L1502" s="10" t="n"/>
      <c r="N1502" s="10" t="n"/>
      <c r="O1502" s="10">
        <f>IF(L1502="","",IF(M1502="Won",L1502*G1502,IF(M1502="Void",L1502,IF(M1502="Cash out",N(N1502),IF(M1502="Lost",0,"")))))</f>
        <v/>
      </c>
      <c r="P1502" s="10">
        <f>IF(OR(L1502="",M1502="",M1502="Pending"),"",O1502-L1502)</f>
        <v/>
      </c>
      <c r="Q1502" s="21" t="n"/>
      <c r="R1502" s="11">
        <f>IF(OR(G1502="",Q1502=""),"",G1502/Q1502-1)</f>
        <v/>
      </c>
      <c r="S1502" s="10">
        <f>IF(OR(L1502="",J1502=""),"",L1502*J1502)</f>
        <v/>
      </c>
      <c r="T1502" s="10">
        <f>IF(P1502="","",StartBank+SUM(P$2:P1502))</f>
        <v/>
      </c>
    </row>
    <row r="1503">
      <c r="A1503" s="22" t="n"/>
      <c r="G1503" s="21" t="n"/>
      <c r="H1503" s="11" t="n"/>
      <c r="I1503" s="21">
        <f>IF(OR(H1503="",H1503=0),"",1/H1503)</f>
        <v/>
      </c>
      <c r="J1503" s="11">
        <f>IF(OR(G1503="",H1503=""),"",H1503*G1503-1)</f>
        <v/>
      </c>
      <c r="K1503" s="10">
        <f>IF(OR(G1503="",H1503="",G1503&lt;=1),"",IF(J1503&lt;IF(D1503="Builder",MinEdgeBuilder,IF(D1503="Player",MinEdgePlayer,MinEdgeSingle)),0,ROUND(MIN(IF(D1503="Single",KellySingle,KellyBuilder)*(StartBank+SUM(P$1:P1502))*J1503/(G1503-1),IF(D1503="Builder",CapBuilder,CapSingle)*Unit),2)))</f>
        <v/>
      </c>
      <c r="L1503" s="10" t="n"/>
      <c r="N1503" s="10" t="n"/>
      <c r="O1503" s="10">
        <f>IF(L1503="","",IF(M1503="Won",L1503*G1503,IF(M1503="Void",L1503,IF(M1503="Cash out",N(N1503),IF(M1503="Lost",0,"")))))</f>
        <v/>
      </c>
      <c r="P1503" s="10">
        <f>IF(OR(L1503="",M1503="",M1503="Pending"),"",O1503-L1503)</f>
        <v/>
      </c>
      <c r="Q1503" s="21" t="n"/>
      <c r="R1503" s="11">
        <f>IF(OR(G1503="",Q1503=""),"",G1503/Q1503-1)</f>
        <v/>
      </c>
      <c r="S1503" s="10">
        <f>IF(OR(L1503="",J1503=""),"",L1503*J1503)</f>
        <v/>
      </c>
      <c r="T1503" s="10">
        <f>IF(P1503="","",StartBank+SUM(P$2:P1503))</f>
        <v/>
      </c>
    </row>
    <row r="1504">
      <c r="A1504" s="22" t="n"/>
      <c r="G1504" s="21" t="n"/>
      <c r="H1504" s="11" t="n"/>
      <c r="I1504" s="21">
        <f>IF(OR(H1504="",H1504=0),"",1/H1504)</f>
        <v/>
      </c>
      <c r="J1504" s="11">
        <f>IF(OR(G1504="",H1504=""),"",H1504*G1504-1)</f>
        <v/>
      </c>
      <c r="K1504" s="10">
        <f>IF(OR(G1504="",H1504="",G1504&lt;=1),"",IF(J1504&lt;IF(D1504="Builder",MinEdgeBuilder,IF(D1504="Player",MinEdgePlayer,MinEdgeSingle)),0,ROUND(MIN(IF(D1504="Single",KellySingle,KellyBuilder)*(StartBank+SUM(P$1:P1503))*J1504/(G1504-1),IF(D1504="Builder",CapBuilder,CapSingle)*Unit),2)))</f>
        <v/>
      </c>
      <c r="L1504" s="10" t="n"/>
      <c r="N1504" s="10" t="n"/>
      <c r="O1504" s="10">
        <f>IF(L1504="","",IF(M1504="Won",L1504*G1504,IF(M1504="Void",L1504,IF(M1504="Cash out",N(N1504),IF(M1504="Lost",0,"")))))</f>
        <v/>
      </c>
      <c r="P1504" s="10">
        <f>IF(OR(L1504="",M1504="",M1504="Pending"),"",O1504-L1504)</f>
        <v/>
      </c>
      <c r="Q1504" s="21" t="n"/>
      <c r="R1504" s="11">
        <f>IF(OR(G1504="",Q1504=""),"",G1504/Q1504-1)</f>
        <v/>
      </c>
      <c r="S1504" s="10">
        <f>IF(OR(L1504="",J1504=""),"",L1504*J1504)</f>
        <v/>
      </c>
      <c r="T1504" s="10">
        <f>IF(P1504="","",StartBank+SUM(P$2:P1504))</f>
        <v/>
      </c>
    </row>
    <row r="1505">
      <c r="A1505" s="22" t="n"/>
      <c r="G1505" s="21" t="n"/>
      <c r="H1505" s="11" t="n"/>
      <c r="I1505" s="21">
        <f>IF(OR(H1505="",H1505=0),"",1/H1505)</f>
        <v/>
      </c>
      <c r="J1505" s="11">
        <f>IF(OR(G1505="",H1505=""),"",H1505*G1505-1)</f>
        <v/>
      </c>
      <c r="K1505" s="10">
        <f>IF(OR(G1505="",H1505="",G1505&lt;=1),"",IF(J1505&lt;IF(D1505="Builder",MinEdgeBuilder,IF(D1505="Player",MinEdgePlayer,MinEdgeSingle)),0,ROUND(MIN(IF(D1505="Single",KellySingle,KellyBuilder)*(StartBank+SUM(P$1:P1504))*J1505/(G1505-1),IF(D1505="Builder",CapBuilder,CapSingle)*Unit),2)))</f>
        <v/>
      </c>
      <c r="L1505" s="10" t="n"/>
      <c r="N1505" s="10" t="n"/>
      <c r="O1505" s="10">
        <f>IF(L1505="","",IF(M1505="Won",L1505*G1505,IF(M1505="Void",L1505,IF(M1505="Cash out",N(N1505),IF(M1505="Lost",0,"")))))</f>
        <v/>
      </c>
      <c r="P1505" s="10">
        <f>IF(OR(L1505="",M1505="",M1505="Pending"),"",O1505-L1505)</f>
        <v/>
      </c>
      <c r="Q1505" s="21" t="n"/>
      <c r="R1505" s="11">
        <f>IF(OR(G1505="",Q1505=""),"",G1505/Q1505-1)</f>
        <v/>
      </c>
      <c r="S1505" s="10">
        <f>IF(OR(L1505="",J1505=""),"",L1505*J1505)</f>
        <v/>
      </c>
      <c r="T1505" s="10">
        <f>IF(P1505="","",StartBank+SUM(P$2:P1505))</f>
        <v/>
      </c>
    </row>
    <row r="1506">
      <c r="A1506" s="22" t="n"/>
      <c r="G1506" s="21" t="n"/>
      <c r="H1506" s="11" t="n"/>
      <c r="I1506" s="21">
        <f>IF(OR(H1506="",H1506=0),"",1/H1506)</f>
        <v/>
      </c>
      <c r="J1506" s="11">
        <f>IF(OR(G1506="",H1506=""),"",H1506*G1506-1)</f>
        <v/>
      </c>
      <c r="K1506" s="10">
        <f>IF(OR(G1506="",H1506="",G1506&lt;=1),"",IF(J1506&lt;IF(D1506="Builder",MinEdgeBuilder,IF(D1506="Player",MinEdgePlayer,MinEdgeSingle)),0,ROUND(MIN(IF(D1506="Single",KellySingle,KellyBuilder)*(StartBank+SUM(P$1:P1505))*J1506/(G1506-1),IF(D1506="Builder",CapBuilder,CapSingle)*Unit),2)))</f>
        <v/>
      </c>
      <c r="L1506" s="10" t="n"/>
      <c r="N1506" s="10" t="n"/>
      <c r="O1506" s="10">
        <f>IF(L1506="","",IF(M1506="Won",L1506*G1506,IF(M1506="Void",L1506,IF(M1506="Cash out",N(N1506),IF(M1506="Lost",0,"")))))</f>
        <v/>
      </c>
      <c r="P1506" s="10">
        <f>IF(OR(L1506="",M1506="",M1506="Pending"),"",O1506-L1506)</f>
        <v/>
      </c>
      <c r="Q1506" s="21" t="n"/>
      <c r="R1506" s="11">
        <f>IF(OR(G1506="",Q1506=""),"",G1506/Q1506-1)</f>
        <v/>
      </c>
      <c r="S1506" s="10">
        <f>IF(OR(L1506="",J1506=""),"",L1506*J1506)</f>
        <v/>
      </c>
      <c r="T1506" s="10">
        <f>IF(P1506="","",StartBank+SUM(P$2:P1506))</f>
        <v/>
      </c>
    </row>
    <row r="1507">
      <c r="A1507" s="22" t="n"/>
      <c r="G1507" s="21" t="n"/>
      <c r="H1507" s="11" t="n"/>
      <c r="I1507" s="21">
        <f>IF(OR(H1507="",H1507=0),"",1/H1507)</f>
        <v/>
      </c>
      <c r="J1507" s="11">
        <f>IF(OR(G1507="",H1507=""),"",H1507*G1507-1)</f>
        <v/>
      </c>
      <c r="K1507" s="10">
        <f>IF(OR(G1507="",H1507="",G1507&lt;=1),"",IF(J1507&lt;IF(D1507="Builder",MinEdgeBuilder,IF(D1507="Player",MinEdgePlayer,MinEdgeSingle)),0,ROUND(MIN(IF(D1507="Single",KellySingle,KellyBuilder)*(StartBank+SUM(P$1:P1506))*J1507/(G1507-1),IF(D1507="Builder",CapBuilder,CapSingle)*Unit),2)))</f>
        <v/>
      </c>
      <c r="L1507" s="10" t="n"/>
      <c r="N1507" s="10" t="n"/>
      <c r="O1507" s="10">
        <f>IF(L1507="","",IF(M1507="Won",L1507*G1507,IF(M1507="Void",L1507,IF(M1507="Cash out",N(N1507),IF(M1507="Lost",0,"")))))</f>
        <v/>
      </c>
      <c r="P1507" s="10">
        <f>IF(OR(L1507="",M1507="",M1507="Pending"),"",O1507-L1507)</f>
        <v/>
      </c>
      <c r="Q1507" s="21" t="n"/>
      <c r="R1507" s="11">
        <f>IF(OR(G1507="",Q1507=""),"",G1507/Q1507-1)</f>
        <v/>
      </c>
      <c r="S1507" s="10">
        <f>IF(OR(L1507="",J1507=""),"",L1507*J1507)</f>
        <v/>
      </c>
      <c r="T1507" s="10">
        <f>IF(P1507="","",StartBank+SUM(P$2:P1507))</f>
        <v/>
      </c>
    </row>
    <row r="1508">
      <c r="A1508" s="22" t="n"/>
      <c r="G1508" s="21" t="n"/>
      <c r="H1508" s="11" t="n"/>
      <c r="I1508" s="21">
        <f>IF(OR(H1508="",H1508=0),"",1/H1508)</f>
        <v/>
      </c>
      <c r="J1508" s="11">
        <f>IF(OR(G1508="",H1508=""),"",H1508*G1508-1)</f>
        <v/>
      </c>
      <c r="K1508" s="10">
        <f>IF(OR(G1508="",H1508="",G1508&lt;=1),"",IF(J1508&lt;IF(D1508="Builder",MinEdgeBuilder,IF(D1508="Player",MinEdgePlayer,MinEdgeSingle)),0,ROUND(MIN(IF(D1508="Single",KellySingle,KellyBuilder)*(StartBank+SUM(P$1:P1507))*J1508/(G1508-1),IF(D1508="Builder",CapBuilder,CapSingle)*Unit),2)))</f>
        <v/>
      </c>
      <c r="L1508" s="10" t="n"/>
      <c r="N1508" s="10" t="n"/>
      <c r="O1508" s="10">
        <f>IF(L1508="","",IF(M1508="Won",L1508*G1508,IF(M1508="Void",L1508,IF(M1508="Cash out",N(N1508),IF(M1508="Lost",0,"")))))</f>
        <v/>
      </c>
      <c r="P1508" s="10">
        <f>IF(OR(L1508="",M1508="",M1508="Pending"),"",O1508-L1508)</f>
        <v/>
      </c>
      <c r="Q1508" s="21" t="n"/>
      <c r="R1508" s="11">
        <f>IF(OR(G1508="",Q1508=""),"",G1508/Q1508-1)</f>
        <v/>
      </c>
      <c r="S1508" s="10">
        <f>IF(OR(L1508="",J1508=""),"",L1508*J1508)</f>
        <v/>
      </c>
      <c r="T1508" s="10">
        <f>IF(P1508="","",StartBank+SUM(P$2:P1508))</f>
        <v/>
      </c>
    </row>
    <row r="1509">
      <c r="A1509" s="22" t="n"/>
      <c r="G1509" s="21" t="n"/>
      <c r="H1509" s="11" t="n"/>
      <c r="I1509" s="21">
        <f>IF(OR(H1509="",H1509=0),"",1/H1509)</f>
        <v/>
      </c>
      <c r="J1509" s="11">
        <f>IF(OR(G1509="",H1509=""),"",H1509*G1509-1)</f>
        <v/>
      </c>
      <c r="K1509" s="10">
        <f>IF(OR(G1509="",H1509="",G1509&lt;=1),"",IF(J1509&lt;IF(D1509="Builder",MinEdgeBuilder,IF(D1509="Player",MinEdgePlayer,MinEdgeSingle)),0,ROUND(MIN(IF(D1509="Single",KellySingle,KellyBuilder)*(StartBank+SUM(P$1:P1508))*J1509/(G1509-1),IF(D1509="Builder",CapBuilder,CapSingle)*Unit),2)))</f>
        <v/>
      </c>
      <c r="L1509" s="10" t="n"/>
      <c r="N1509" s="10" t="n"/>
      <c r="O1509" s="10">
        <f>IF(L1509="","",IF(M1509="Won",L1509*G1509,IF(M1509="Void",L1509,IF(M1509="Cash out",N(N1509),IF(M1509="Lost",0,"")))))</f>
        <v/>
      </c>
      <c r="P1509" s="10">
        <f>IF(OR(L1509="",M1509="",M1509="Pending"),"",O1509-L1509)</f>
        <v/>
      </c>
      <c r="Q1509" s="21" t="n"/>
      <c r="R1509" s="11">
        <f>IF(OR(G1509="",Q1509=""),"",G1509/Q1509-1)</f>
        <v/>
      </c>
      <c r="S1509" s="10">
        <f>IF(OR(L1509="",J1509=""),"",L1509*J1509)</f>
        <v/>
      </c>
      <c r="T1509" s="10">
        <f>IF(P1509="","",StartBank+SUM(P$2:P1509))</f>
        <v/>
      </c>
    </row>
    <row r="1510">
      <c r="A1510" s="22" t="n"/>
      <c r="G1510" s="21" t="n"/>
      <c r="H1510" s="11" t="n"/>
      <c r="I1510" s="21">
        <f>IF(OR(H1510="",H1510=0),"",1/H1510)</f>
        <v/>
      </c>
      <c r="J1510" s="11">
        <f>IF(OR(G1510="",H1510=""),"",H1510*G1510-1)</f>
        <v/>
      </c>
      <c r="K1510" s="10">
        <f>IF(OR(G1510="",H1510="",G1510&lt;=1),"",IF(J1510&lt;IF(D1510="Builder",MinEdgeBuilder,IF(D1510="Player",MinEdgePlayer,MinEdgeSingle)),0,ROUND(MIN(IF(D1510="Single",KellySingle,KellyBuilder)*(StartBank+SUM(P$1:P1509))*J1510/(G1510-1),IF(D1510="Builder",CapBuilder,CapSingle)*Unit),2)))</f>
        <v/>
      </c>
      <c r="L1510" s="10" t="n"/>
      <c r="N1510" s="10" t="n"/>
      <c r="O1510" s="10">
        <f>IF(L1510="","",IF(M1510="Won",L1510*G1510,IF(M1510="Void",L1510,IF(M1510="Cash out",N(N1510),IF(M1510="Lost",0,"")))))</f>
        <v/>
      </c>
      <c r="P1510" s="10">
        <f>IF(OR(L1510="",M1510="",M1510="Pending"),"",O1510-L1510)</f>
        <v/>
      </c>
      <c r="Q1510" s="21" t="n"/>
      <c r="R1510" s="11">
        <f>IF(OR(G1510="",Q1510=""),"",G1510/Q1510-1)</f>
        <v/>
      </c>
      <c r="S1510" s="10">
        <f>IF(OR(L1510="",J1510=""),"",L1510*J1510)</f>
        <v/>
      </c>
      <c r="T1510" s="10">
        <f>IF(P1510="","",StartBank+SUM(P$2:P1510))</f>
        <v/>
      </c>
    </row>
    <row r="1511">
      <c r="A1511" s="22" t="n"/>
      <c r="G1511" s="21" t="n"/>
      <c r="H1511" s="11" t="n"/>
      <c r="I1511" s="21">
        <f>IF(OR(H1511="",H1511=0),"",1/H1511)</f>
        <v/>
      </c>
      <c r="J1511" s="11">
        <f>IF(OR(G1511="",H1511=""),"",H1511*G1511-1)</f>
        <v/>
      </c>
      <c r="K1511" s="10">
        <f>IF(OR(G1511="",H1511="",G1511&lt;=1),"",IF(J1511&lt;IF(D1511="Builder",MinEdgeBuilder,IF(D1511="Player",MinEdgePlayer,MinEdgeSingle)),0,ROUND(MIN(IF(D1511="Single",KellySingle,KellyBuilder)*(StartBank+SUM(P$1:P1510))*J1511/(G1511-1),IF(D1511="Builder",CapBuilder,CapSingle)*Unit),2)))</f>
        <v/>
      </c>
      <c r="L1511" s="10" t="n"/>
      <c r="N1511" s="10" t="n"/>
      <c r="O1511" s="10">
        <f>IF(L1511="","",IF(M1511="Won",L1511*G1511,IF(M1511="Void",L1511,IF(M1511="Cash out",N(N1511),IF(M1511="Lost",0,"")))))</f>
        <v/>
      </c>
      <c r="P1511" s="10">
        <f>IF(OR(L1511="",M1511="",M1511="Pending"),"",O1511-L1511)</f>
        <v/>
      </c>
      <c r="Q1511" s="21" t="n"/>
      <c r="R1511" s="11">
        <f>IF(OR(G1511="",Q1511=""),"",G1511/Q1511-1)</f>
        <v/>
      </c>
      <c r="S1511" s="10">
        <f>IF(OR(L1511="",J1511=""),"",L1511*J1511)</f>
        <v/>
      </c>
      <c r="T1511" s="10">
        <f>IF(P1511="","",StartBank+SUM(P$2:P1511))</f>
        <v/>
      </c>
    </row>
    <row r="1512">
      <c r="A1512" s="22" t="n"/>
      <c r="G1512" s="21" t="n"/>
      <c r="H1512" s="11" t="n"/>
      <c r="I1512" s="21">
        <f>IF(OR(H1512="",H1512=0),"",1/H1512)</f>
        <v/>
      </c>
      <c r="J1512" s="11">
        <f>IF(OR(G1512="",H1512=""),"",H1512*G1512-1)</f>
        <v/>
      </c>
      <c r="K1512" s="10">
        <f>IF(OR(G1512="",H1512="",G1512&lt;=1),"",IF(J1512&lt;IF(D1512="Builder",MinEdgeBuilder,IF(D1512="Player",MinEdgePlayer,MinEdgeSingle)),0,ROUND(MIN(IF(D1512="Single",KellySingle,KellyBuilder)*(StartBank+SUM(P$1:P1511))*J1512/(G1512-1),IF(D1512="Builder",CapBuilder,CapSingle)*Unit),2)))</f>
        <v/>
      </c>
      <c r="L1512" s="10" t="n"/>
      <c r="N1512" s="10" t="n"/>
      <c r="O1512" s="10">
        <f>IF(L1512="","",IF(M1512="Won",L1512*G1512,IF(M1512="Void",L1512,IF(M1512="Cash out",N(N1512),IF(M1512="Lost",0,"")))))</f>
        <v/>
      </c>
      <c r="P1512" s="10">
        <f>IF(OR(L1512="",M1512="",M1512="Pending"),"",O1512-L1512)</f>
        <v/>
      </c>
      <c r="Q1512" s="21" t="n"/>
      <c r="R1512" s="11">
        <f>IF(OR(G1512="",Q1512=""),"",G1512/Q1512-1)</f>
        <v/>
      </c>
      <c r="S1512" s="10">
        <f>IF(OR(L1512="",J1512=""),"",L1512*J1512)</f>
        <v/>
      </c>
      <c r="T1512" s="10">
        <f>IF(P1512="","",StartBank+SUM(P$2:P1512))</f>
        <v/>
      </c>
    </row>
    <row r="1513">
      <c r="A1513" s="22" t="n"/>
      <c r="G1513" s="21" t="n"/>
      <c r="H1513" s="11" t="n"/>
      <c r="I1513" s="21">
        <f>IF(OR(H1513="",H1513=0),"",1/H1513)</f>
        <v/>
      </c>
      <c r="J1513" s="11">
        <f>IF(OR(G1513="",H1513=""),"",H1513*G1513-1)</f>
        <v/>
      </c>
      <c r="K1513" s="10">
        <f>IF(OR(G1513="",H1513="",G1513&lt;=1),"",IF(J1513&lt;IF(D1513="Builder",MinEdgeBuilder,IF(D1513="Player",MinEdgePlayer,MinEdgeSingle)),0,ROUND(MIN(IF(D1513="Single",KellySingle,KellyBuilder)*(StartBank+SUM(P$1:P1512))*J1513/(G1513-1),IF(D1513="Builder",CapBuilder,CapSingle)*Unit),2)))</f>
        <v/>
      </c>
      <c r="L1513" s="10" t="n"/>
      <c r="N1513" s="10" t="n"/>
      <c r="O1513" s="10">
        <f>IF(L1513="","",IF(M1513="Won",L1513*G1513,IF(M1513="Void",L1513,IF(M1513="Cash out",N(N1513),IF(M1513="Lost",0,"")))))</f>
        <v/>
      </c>
      <c r="P1513" s="10">
        <f>IF(OR(L1513="",M1513="",M1513="Pending"),"",O1513-L1513)</f>
        <v/>
      </c>
      <c r="Q1513" s="21" t="n"/>
      <c r="R1513" s="11">
        <f>IF(OR(G1513="",Q1513=""),"",G1513/Q1513-1)</f>
        <v/>
      </c>
      <c r="S1513" s="10">
        <f>IF(OR(L1513="",J1513=""),"",L1513*J1513)</f>
        <v/>
      </c>
      <c r="T1513" s="10">
        <f>IF(P1513="","",StartBank+SUM(P$2:P1513))</f>
        <v/>
      </c>
    </row>
    <row r="1514">
      <c r="A1514" s="22" t="n"/>
      <c r="G1514" s="21" t="n"/>
      <c r="H1514" s="11" t="n"/>
      <c r="I1514" s="21">
        <f>IF(OR(H1514="",H1514=0),"",1/H1514)</f>
        <v/>
      </c>
      <c r="J1514" s="11">
        <f>IF(OR(G1514="",H1514=""),"",H1514*G1514-1)</f>
        <v/>
      </c>
      <c r="K1514" s="10">
        <f>IF(OR(G1514="",H1514="",G1514&lt;=1),"",IF(J1514&lt;IF(D1514="Builder",MinEdgeBuilder,IF(D1514="Player",MinEdgePlayer,MinEdgeSingle)),0,ROUND(MIN(IF(D1514="Single",KellySingle,KellyBuilder)*(StartBank+SUM(P$1:P1513))*J1514/(G1514-1),IF(D1514="Builder",CapBuilder,CapSingle)*Unit),2)))</f>
        <v/>
      </c>
      <c r="L1514" s="10" t="n"/>
      <c r="N1514" s="10" t="n"/>
      <c r="O1514" s="10">
        <f>IF(L1514="","",IF(M1514="Won",L1514*G1514,IF(M1514="Void",L1514,IF(M1514="Cash out",N(N1514),IF(M1514="Lost",0,"")))))</f>
        <v/>
      </c>
      <c r="P1514" s="10">
        <f>IF(OR(L1514="",M1514="",M1514="Pending"),"",O1514-L1514)</f>
        <v/>
      </c>
      <c r="Q1514" s="21" t="n"/>
      <c r="R1514" s="11">
        <f>IF(OR(G1514="",Q1514=""),"",G1514/Q1514-1)</f>
        <v/>
      </c>
      <c r="S1514" s="10">
        <f>IF(OR(L1514="",J1514=""),"",L1514*J1514)</f>
        <v/>
      </c>
      <c r="T1514" s="10">
        <f>IF(P1514="","",StartBank+SUM(P$2:P1514))</f>
        <v/>
      </c>
    </row>
    <row r="1515">
      <c r="A1515" s="22" t="n"/>
      <c r="G1515" s="21" t="n"/>
      <c r="H1515" s="11" t="n"/>
      <c r="I1515" s="21">
        <f>IF(OR(H1515="",H1515=0),"",1/H1515)</f>
        <v/>
      </c>
      <c r="J1515" s="11">
        <f>IF(OR(G1515="",H1515=""),"",H1515*G1515-1)</f>
        <v/>
      </c>
      <c r="K1515" s="10">
        <f>IF(OR(G1515="",H1515="",G1515&lt;=1),"",IF(J1515&lt;IF(D1515="Builder",MinEdgeBuilder,IF(D1515="Player",MinEdgePlayer,MinEdgeSingle)),0,ROUND(MIN(IF(D1515="Single",KellySingle,KellyBuilder)*(StartBank+SUM(P$1:P1514))*J1515/(G1515-1),IF(D1515="Builder",CapBuilder,CapSingle)*Unit),2)))</f>
        <v/>
      </c>
      <c r="L1515" s="10" t="n"/>
      <c r="N1515" s="10" t="n"/>
      <c r="O1515" s="10">
        <f>IF(L1515="","",IF(M1515="Won",L1515*G1515,IF(M1515="Void",L1515,IF(M1515="Cash out",N(N1515),IF(M1515="Lost",0,"")))))</f>
        <v/>
      </c>
      <c r="P1515" s="10">
        <f>IF(OR(L1515="",M1515="",M1515="Pending"),"",O1515-L1515)</f>
        <v/>
      </c>
      <c r="Q1515" s="21" t="n"/>
      <c r="R1515" s="11">
        <f>IF(OR(G1515="",Q1515=""),"",G1515/Q1515-1)</f>
        <v/>
      </c>
      <c r="S1515" s="10">
        <f>IF(OR(L1515="",J1515=""),"",L1515*J1515)</f>
        <v/>
      </c>
      <c r="T1515" s="10">
        <f>IF(P1515="","",StartBank+SUM(P$2:P1515))</f>
        <v/>
      </c>
    </row>
    <row r="1516">
      <c r="A1516" s="22" t="n"/>
      <c r="G1516" s="21" t="n"/>
      <c r="H1516" s="11" t="n"/>
      <c r="I1516" s="21">
        <f>IF(OR(H1516="",H1516=0),"",1/H1516)</f>
        <v/>
      </c>
      <c r="J1516" s="11">
        <f>IF(OR(G1516="",H1516=""),"",H1516*G1516-1)</f>
        <v/>
      </c>
      <c r="K1516" s="10">
        <f>IF(OR(G1516="",H1516="",G1516&lt;=1),"",IF(J1516&lt;IF(D1516="Builder",MinEdgeBuilder,IF(D1516="Player",MinEdgePlayer,MinEdgeSingle)),0,ROUND(MIN(IF(D1516="Single",KellySingle,KellyBuilder)*(StartBank+SUM(P$1:P1515))*J1516/(G1516-1),IF(D1516="Builder",CapBuilder,CapSingle)*Unit),2)))</f>
        <v/>
      </c>
      <c r="L1516" s="10" t="n"/>
      <c r="N1516" s="10" t="n"/>
      <c r="O1516" s="10">
        <f>IF(L1516="","",IF(M1516="Won",L1516*G1516,IF(M1516="Void",L1516,IF(M1516="Cash out",N(N1516),IF(M1516="Lost",0,"")))))</f>
        <v/>
      </c>
      <c r="P1516" s="10">
        <f>IF(OR(L1516="",M1516="",M1516="Pending"),"",O1516-L1516)</f>
        <v/>
      </c>
      <c r="Q1516" s="21" t="n"/>
      <c r="R1516" s="11">
        <f>IF(OR(G1516="",Q1516=""),"",G1516/Q1516-1)</f>
        <v/>
      </c>
      <c r="S1516" s="10">
        <f>IF(OR(L1516="",J1516=""),"",L1516*J1516)</f>
        <v/>
      </c>
      <c r="T1516" s="10">
        <f>IF(P1516="","",StartBank+SUM(P$2:P1516))</f>
        <v/>
      </c>
    </row>
    <row r="1517">
      <c r="A1517" s="22" t="n"/>
      <c r="G1517" s="21" t="n"/>
      <c r="H1517" s="11" t="n"/>
      <c r="I1517" s="21">
        <f>IF(OR(H1517="",H1517=0),"",1/H1517)</f>
        <v/>
      </c>
      <c r="J1517" s="11">
        <f>IF(OR(G1517="",H1517=""),"",H1517*G1517-1)</f>
        <v/>
      </c>
      <c r="K1517" s="10">
        <f>IF(OR(G1517="",H1517="",G1517&lt;=1),"",IF(J1517&lt;IF(D1517="Builder",MinEdgeBuilder,IF(D1517="Player",MinEdgePlayer,MinEdgeSingle)),0,ROUND(MIN(IF(D1517="Single",KellySingle,KellyBuilder)*(StartBank+SUM(P$1:P1516))*J1517/(G1517-1),IF(D1517="Builder",CapBuilder,CapSingle)*Unit),2)))</f>
        <v/>
      </c>
      <c r="L1517" s="10" t="n"/>
      <c r="N1517" s="10" t="n"/>
      <c r="O1517" s="10">
        <f>IF(L1517="","",IF(M1517="Won",L1517*G1517,IF(M1517="Void",L1517,IF(M1517="Cash out",N(N1517),IF(M1517="Lost",0,"")))))</f>
        <v/>
      </c>
      <c r="P1517" s="10">
        <f>IF(OR(L1517="",M1517="",M1517="Pending"),"",O1517-L1517)</f>
        <v/>
      </c>
      <c r="Q1517" s="21" t="n"/>
      <c r="R1517" s="11">
        <f>IF(OR(G1517="",Q1517=""),"",G1517/Q1517-1)</f>
        <v/>
      </c>
      <c r="S1517" s="10">
        <f>IF(OR(L1517="",J1517=""),"",L1517*J1517)</f>
        <v/>
      </c>
      <c r="T1517" s="10">
        <f>IF(P1517="","",StartBank+SUM(P$2:P1517))</f>
        <v/>
      </c>
    </row>
    <row r="1518">
      <c r="A1518" s="22" t="n"/>
      <c r="G1518" s="21" t="n"/>
      <c r="H1518" s="11" t="n"/>
      <c r="I1518" s="21">
        <f>IF(OR(H1518="",H1518=0),"",1/H1518)</f>
        <v/>
      </c>
      <c r="J1518" s="11">
        <f>IF(OR(G1518="",H1518=""),"",H1518*G1518-1)</f>
        <v/>
      </c>
      <c r="K1518" s="10">
        <f>IF(OR(G1518="",H1518="",G1518&lt;=1),"",IF(J1518&lt;IF(D1518="Builder",MinEdgeBuilder,IF(D1518="Player",MinEdgePlayer,MinEdgeSingle)),0,ROUND(MIN(IF(D1518="Single",KellySingle,KellyBuilder)*(StartBank+SUM(P$1:P1517))*J1518/(G1518-1),IF(D1518="Builder",CapBuilder,CapSingle)*Unit),2)))</f>
        <v/>
      </c>
      <c r="L1518" s="10" t="n"/>
      <c r="N1518" s="10" t="n"/>
      <c r="O1518" s="10">
        <f>IF(L1518="","",IF(M1518="Won",L1518*G1518,IF(M1518="Void",L1518,IF(M1518="Cash out",N(N1518),IF(M1518="Lost",0,"")))))</f>
        <v/>
      </c>
      <c r="P1518" s="10">
        <f>IF(OR(L1518="",M1518="",M1518="Pending"),"",O1518-L1518)</f>
        <v/>
      </c>
      <c r="Q1518" s="21" t="n"/>
      <c r="R1518" s="11">
        <f>IF(OR(G1518="",Q1518=""),"",G1518/Q1518-1)</f>
        <v/>
      </c>
      <c r="S1518" s="10">
        <f>IF(OR(L1518="",J1518=""),"",L1518*J1518)</f>
        <v/>
      </c>
      <c r="T1518" s="10">
        <f>IF(P1518="","",StartBank+SUM(P$2:P1518))</f>
        <v/>
      </c>
    </row>
    <row r="1519">
      <c r="A1519" s="22" t="n"/>
      <c r="G1519" s="21" t="n"/>
      <c r="H1519" s="11" t="n"/>
      <c r="I1519" s="21">
        <f>IF(OR(H1519="",H1519=0),"",1/H1519)</f>
        <v/>
      </c>
      <c r="J1519" s="11">
        <f>IF(OR(G1519="",H1519=""),"",H1519*G1519-1)</f>
        <v/>
      </c>
      <c r="K1519" s="10">
        <f>IF(OR(G1519="",H1519="",G1519&lt;=1),"",IF(J1519&lt;IF(D1519="Builder",MinEdgeBuilder,IF(D1519="Player",MinEdgePlayer,MinEdgeSingle)),0,ROUND(MIN(IF(D1519="Single",KellySingle,KellyBuilder)*(StartBank+SUM(P$1:P1518))*J1519/(G1519-1),IF(D1519="Builder",CapBuilder,CapSingle)*Unit),2)))</f>
        <v/>
      </c>
      <c r="L1519" s="10" t="n"/>
      <c r="N1519" s="10" t="n"/>
      <c r="O1519" s="10">
        <f>IF(L1519="","",IF(M1519="Won",L1519*G1519,IF(M1519="Void",L1519,IF(M1519="Cash out",N(N1519),IF(M1519="Lost",0,"")))))</f>
        <v/>
      </c>
      <c r="P1519" s="10">
        <f>IF(OR(L1519="",M1519="",M1519="Pending"),"",O1519-L1519)</f>
        <v/>
      </c>
      <c r="Q1519" s="21" t="n"/>
      <c r="R1519" s="11">
        <f>IF(OR(G1519="",Q1519=""),"",G1519/Q1519-1)</f>
        <v/>
      </c>
      <c r="S1519" s="10">
        <f>IF(OR(L1519="",J1519=""),"",L1519*J1519)</f>
        <v/>
      </c>
      <c r="T1519" s="10">
        <f>IF(P1519="","",StartBank+SUM(P$2:P1519))</f>
        <v/>
      </c>
    </row>
    <row r="1520">
      <c r="A1520" s="22" t="n"/>
      <c r="G1520" s="21" t="n"/>
      <c r="H1520" s="11" t="n"/>
      <c r="I1520" s="21">
        <f>IF(OR(H1520="",H1520=0),"",1/H1520)</f>
        <v/>
      </c>
      <c r="J1520" s="11">
        <f>IF(OR(G1520="",H1520=""),"",H1520*G1520-1)</f>
        <v/>
      </c>
      <c r="K1520" s="10">
        <f>IF(OR(G1520="",H1520="",G1520&lt;=1),"",IF(J1520&lt;IF(D1520="Builder",MinEdgeBuilder,IF(D1520="Player",MinEdgePlayer,MinEdgeSingle)),0,ROUND(MIN(IF(D1520="Single",KellySingle,KellyBuilder)*(StartBank+SUM(P$1:P1519))*J1520/(G1520-1),IF(D1520="Builder",CapBuilder,CapSingle)*Unit),2)))</f>
        <v/>
      </c>
      <c r="L1520" s="10" t="n"/>
      <c r="N1520" s="10" t="n"/>
      <c r="O1520" s="10">
        <f>IF(L1520="","",IF(M1520="Won",L1520*G1520,IF(M1520="Void",L1520,IF(M1520="Cash out",N(N1520),IF(M1520="Lost",0,"")))))</f>
        <v/>
      </c>
      <c r="P1520" s="10">
        <f>IF(OR(L1520="",M1520="",M1520="Pending"),"",O1520-L1520)</f>
        <v/>
      </c>
      <c r="Q1520" s="21" t="n"/>
      <c r="R1520" s="11">
        <f>IF(OR(G1520="",Q1520=""),"",G1520/Q1520-1)</f>
        <v/>
      </c>
      <c r="S1520" s="10">
        <f>IF(OR(L1520="",J1520=""),"",L1520*J1520)</f>
        <v/>
      </c>
      <c r="T1520" s="10">
        <f>IF(P1520="","",StartBank+SUM(P$2:P1520))</f>
        <v/>
      </c>
    </row>
    <row r="1521">
      <c r="A1521" s="22" t="n"/>
      <c r="G1521" s="21" t="n"/>
      <c r="H1521" s="11" t="n"/>
      <c r="I1521" s="21">
        <f>IF(OR(H1521="",H1521=0),"",1/H1521)</f>
        <v/>
      </c>
      <c r="J1521" s="11">
        <f>IF(OR(G1521="",H1521=""),"",H1521*G1521-1)</f>
        <v/>
      </c>
      <c r="K1521" s="10">
        <f>IF(OR(G1521="",H1521="",G1521&lt;=1),"",IF(J1521&lt;IF(D1521="Builder",MinEdgeBuilder,IF(D1521="Player",MinEdgePlayer,MinEdgeSingle)),0,ROUND(MIN(IF(D1521="Single",KellySingle,KellyBuilder)*(StartBank+SUM(P$1:P1520))*J1521/(G1521-1),IF(D1521="Builder",CapBuilder,CapSingle)*Unit),2)))</f>
        <v/>
      </c>
      <c r="L1521" s="10" t="n"/>
      <c r="N1521" s="10" t="n"/>
      <c r="O1521" s="10">
        <f>IF(L1521="","",IF(M1521="Won",L1521*G1521,IF(M1521="Void",L1521,IF(M1521="Cash out",N(N1521),IF(M1521="Lost",0,"")))))</f>
        <v/>
      </c>
      <c r="P1521" s="10">
        <f>IF(OR(L1521="",M1521="",M1521="Pending"),"",O1521-L1521)</f>
        <v/>
      </c>
      <c r="Q1521" s="21" t="n"/>
      <c r="R1521" s="11">
        <f>IF(OR(G1521="",Q1521=""),"",G1521/Q1521-1)</f>
        <v/>
      </c>
      <c r="S1521" s="10">
        <f>IF(OR(L1521="",J1521=""),"",L1521*J1521)</f>
        <v/>
      </c>
      <c r="T1521" s="10">
        <f>IF(P1521="","",StartBank+SUM(P$2:P1521))</f>
        <v/>
      </c>
    </row>
    <row r="1522">
      <c r="A1522" s="22" t="n"/>
      <c r="G1522" s="21" t="n"/>
      <c r="H1522" s="11" t="n"/>
      <c r="I1522" s="21">
        <f>IF(OR(H1522="",H1522=0),"",1/H1522)</f>
        <v/>
      </c>
      <c r="J1522" s="11">
        <f>IF(OR(G1522="",H1522=""),"",H1522*G1522-1)</f>
        <v/>
      </c>
      <c r="K1522" s="10">
        <f>IF(OR(G1522="",H1522="",G1522&lt;=1),"",IF(J1522&lt;IF(D1522="Builder",MinEdgeBuilder,IF(D1522="Player",MinEdgePlayer,MinEdgeSingle)),0,ROUND(MIN(IF(D1522="Single",KellySingle,KellyBuilder)*(StartBank+SUM(P$1:P1521))*J1522/(G1522-1),IF(D1522="Builder",CapBuilder,CapSingle)*Unit),2)))</f>
        <v/>
      </c>
      <c r="L1522" s="10" t="n"/>
      <c r="N1522" s="10" t="n"/>
      <c r="O1522" s="10">
        <f>IF(L1522="","",IF(M1522="Won",L1522*G1522,IF(M1522="Void",L1522,IF(M1522="Cash out",N(N1522),IF(M1522="Lost",0,"")))))</f>
        <v/>
      </c>
      <c r="P1522" s="10">
        <f>IF(OR(L1522="",M1522="",M1522="Pending"),"",O1522-L1522)</f>
        <v/>
      </c>
      <c r="Q1522" s="21" t="n"/>
      <c r="R1522" s="11">
        <f>IF(OR(G1522="",Q1522=""),"",G1522/Q1522-1)</f>
        <v/>
      </c>
      <c r="S1522" s="10">
        <f>IF(OR(L1522="",J1522=""),"",L1522*J1522)</f>
        <v/>
      </c>
      <c r="T1522" s="10">
        <f>IF(P1522="","",StartBank+SUM(P$2:P1522))</f>
        <v/>
      </c>
    </row>
    <row r="1523">
      <c r="A1523" s="22" t="n"/>
      <c r="G1523" s="21" t="n"/>
      <c r="H1523" s="11" t="n"/>
      <c r="I1523" s="21">
        <f>IF(OR(H1523="",H1523=0),"",1/H1523)</f>
        <v/>
      </c>
      <c r="J1523" s="11">
        <f>IF(OR(G1523="",H1523=""),"",H1523*G1523-1)</f>
        <v/>
      </c>
      <c r="K1523" s="10">
        <f>IF(OR(G1523="",H1523="",G1523&lt;=1),"",IF(J1523&lt;IF(D1523="Builder",MinEdgeBuilder,IF(D1523="Player",MinEdgePlayer,MinEdgeSingle)),0,ROUND(MIN(IF(D1523="Single",KellySingle,KellyBuilder)*(StartBank+SUM(P$1:P1522))*J1523/(G1523-1),IF(D1523="Builder",CapBuilder,CapSingle)*Unit),2)))</f>
        <v/>
      </c>
      <c r="L1523" s="10" t="n"/>
      <c r="N1523" s="10" t="n"/>
      <c r="O1523" s="10">
        <f>IF(L1523="","",IF(M1523="Won",L1523*G1523,IF(M1523="Void",L1523,IF(M1523="Cash out",N(N1523),IF(M1523="Lost",0,"")))))</f>
        <v/>
      </c>
      <c r="P1523" s="10">
        <f>IF(OR(L1523="",M1523="",M1523="Pending"),"",O1523-L1523)</f>
        <v/>
      </c>
      <c r="Q1523" s="21" t="n"/>
      <c r="R1523" s="11">
        <f>IF(OR(G1523="",Q1523=""),"",G1523/Q1523-1)</f>
        <v/>
      </c>
      <c r="S1523" s="10">
        <f>IF(OR(L1523="",J1523=""),"",L1523*J1523)</f>
        <v/>
      </c>
      <c r="T1523" s="10">
        <f>IF(P1523="","",StartBank+SUM(P$2:P1523))</f>
        <v/>
      </c>
    </row>
    <row r="1524">
      <c r="A1524" s="22" t="n"/>
      <c r="G1524" s="21" t="n"/>
      <c r="H1524" s="11" t="n"/>
      <c r="I1524" s="21">
        <f>IF(OR(H1524="",H1524=0),"",1/H1524)</f>
        <v/>
      </c>
      <c r="J1524" s="11">
        <f>IF(OR(G1524="",H1524=""),"",H1524*G1524-1)</f>
        <v/>
      </c>
      <c r="K1524" s="10">
        <f>IF(OR(G1524="",H1524="",G1524&lt;=1),"",IF(J1524&lt;IF(D1524="Builder",MinEdgeBuilder,IF(D1524="Player",MinEdgePlayer,MinEdgeSingle)),0,ROUND(MIN(IF(D1524="Single",KellySingle,KellyBuilder)*(StartBank+SUM(P$1:P1523))*J1524/(G1524-1),IF(D1524="Builder",CapBuilder,CapSingle)*Unit),2)))</f>
        <v/>
      </c>
      <c r="L1524" s="10" t="n"/>
      <c r="N1524" s="10" t="n"/>
      <c r="O1524" s="10">
        <f>IF(L1524="","",IF(M1524="Won",L1524*G1524,IF(M1524="Void",L1524,IF(M1524="Cash out",N(N1524),IF(M1524="Lost",0,"")))))</f>
        <v/>
      </c>
      <c r="P1524" s="10">
        <f>IF(OR(L1524="",M1524="",M1524="Pending"),"",O1524-L1524)</f>
        <v/>
      </c>
      <c r="Q1524" s="21" t="n"/>
      <c r="R1524" s="11">
        <f>IF(OR(G1524="",Q1524=""),"",G1524/Q1524-1)</f>
        <v/>
      </c>
      <c r="S1524" s="10">
        <f>IF(OR(L1524="",J1524=""),"",L1524*J1524)</f>
        <v/>
      </c>
      <c r="T1524" s="10">
        <f>IF(P1524="","",StartBank+SUM(P$2:P1524))</f>
        <v/>
      </c>
    </row>
    <row r="1525">
      <c r="A1525" s="22" t="n"/>
      <c r="G1525" s="21" t="n"/>
      <c r="H1525" s="11" t="n"/>
      <c r="I1525" s="21">
        <f>IF(OR(H1525="",H1525=0),"",1/H1525)</f>
        <v/>
      </c>
      <c r="J1525" s="11">
        <f>IF(OR(G1525="",H1525=""),"",H1525*G1525-1)</f>
        <v/>
      </c>
      <c r="K1525" s="10">
        <f>IF(OR(G1525="",H1525="",G1525&lt;=1),"",IF(J1525&lt;IF(D1525="Builder",MinEdgeBuilder,IF(D1525="Player",MinEdgePlayer,MinEdgeSingle)),0,ROUND(MIN(IF(D1525="Single",KellySingle,KellyBuilder)*(StartBank+SUM(P$1:P1524))*J1525/(G1525-1),IF(D1525="Builder",CapBuilder,CapSingle)*Unit),2)))</f>
        <v/>
      </c>
      <c r="L1525" s="10" t="n"/>
      <c r="N1525" s="10" t="n"/>
      <c r="O1525" s="10">
        <f>IF(L1525="","",IF(M1525="Won",L1525*G1525,IF(M1525="Void",L1525,IF(M1525="Cash out",N(N1525),IF(M1525="Lost",0,"")))))</f>
        <v/>
      </c>
      <c r="P1525" s="10">
        <f>IF(OR(L1525="",M1525="",M1525="Pending"),"",O1525-L1525)</f>
        <v/>
      </c>
      <c r="Q1525" s="21" t="n"/>
      <c r="R1525" s="11">
        <f>IF(OR(G1525="",Q1525=""),"",G1525/Q1525-1)</f>
        <v/>
      </c>
      <c r="S1525" s="10">
        <f>IF(OR(L1525="",J1525=""),"",L1525*J1525)</f>
        <v/>
      </c>
      <c r="T1525" s="10">
        <f>IF(P1525="","",StartBank+SUM(P$2:P1525))</f>
        <v/>
      </c>
    </row>
    <row r="1526">
      <c r="A1526" s="22" t="n"/>
      <c r="G1526" s="21" t="n"/>
      <c r="H1526" s="11" t="n"/>
      <c r="I1526" s="21">
        <f>IF(OR(H1526="",H1526=0),"",1/H1526)</f>
        <v/>
      </c>
      <c r="J1526" s="11">
        <f>IF(OR(G1526="",H1526=""),"",H1526*G1526-1)</f>
        <v/>
      </c>
      <c r="K1526" s="10">
        <f>IF(OR(G1526="",H1526="",G1526&lt;=1),"",IF(J1526&lt;IF(D1526="Builder",MinEdgeBuilder,IF(D1526="Player",MinEdgePlayer,MinEdgeSingle)),0,ROUND(MIN(IF(D1526="Single",KellySingle,KellyBuilder)*(StartBank+SUM(P$1:P1525))*J1526/(G1526-1),IF(D1526="Builder",CapBuilder,CapSingle)*Unit),2)))</f>
        <v/>
      </c>
      <c r="L1526" s="10" t="n"/>
      <c r="N1526" s="10" t="n"/>
      <c r="O1526" s="10">
        <f>IF(L1526="","",IF(M1526="Won",L1526*G1526,IF(M1526="Void",L1526,IF(M1526="Cash out",N(N1526),IF(M1526="Lost",0,"")))))</f>
        <v/>
      </c>
      <c r="P1526" s="10">
        <f>IF(OR(L1526="",M1526="",M1526="Pending"),"",O1526-L1526)</f>
        <v/>
      </c>
      <c r="Q1526" s="21" t="n"/>
      <c r="R1526" s="11">
        <f>IF(OR(G1526="",Q1526=""),"",G1526/Q1526-1)</f>
        <v/>
      </c>
      <c r="S1526" s="10">
        <f>IF(OR(L1526="",J1526=""),"",L1526*J1526)</f>
        <v/>
      </c>
      <c r="T1526" s="10">
        <f>IF(P1526="","",StartBank+SUM(P$2:P1526))</f>
        <v/>
      </c>
    </row>
    <row r="1527">
      <c r="A1527" s="22" t="n"/>
      <c r="G1527" s="21" t="n"/>
      <c r="H1527" s="11" t="n"/>
      <c r="I1527" s="21">
        <f>IF(OR(H1527="",H1527=0),"",1/H1527)</f>
        <v/>
      </c>
      <c r="J1527" s="11">
        <f>IF(OR(G1527="",H1527=""),"",H1527*G1527-1)</f>
        <v/>
      </c>
      <c r="K1527" s="10">
        <f>IF(OR(G1527="",H1527="",G1527&lt;=1),"",IF(J1527&lt;IF(D1527="Builder",MinEdgeBuilder,IF(D1527="Player",MinEdgePlayer,MinEdgeSingle)),0,ROUND(MIN(IF(D1527="Single",KellySingle,KellyBuilder)*(StartBank+SUM(P$1:P1526))*J1527/(G1527-1),IF(D1527="Builder",CapBuilder,CapSingle)*Unit),2)))</f>
        <v/>
      </c>
      <c r="L1527" s="10" t="n"/>
      <c r="N1527" s="10" t="n"/>
      <c r="O1527" s="10">
        <f>IF(L1527="","",IF(M1527="Won",L1527*G1527,IF(M1527="Void",L1527,IF(M1527="Cash out",N(N1527),IF(M1527="Lost",0,"")))))</f>
        <v/>
      </c>
      <c r="P1527" s="10">
        <f>IF(OR(L1527="",M1527="",M1527="Pending"),"",O1527-L1527)</f>
        <v/>
      </c>
      <c r="Q1527" s="21" t="n"/>
      <c r="R1527" s="11">
        <f>IF(OR(G1527="",Q1527=""),"",G1527/Q1527-1)</f>
        <v/>
      </c>
      <c r="S1527" s="10">
        <f>IF(OR(L1527="",J1527=""),"",L1527*J1527)</f>
        <v/>
      </c>
      <c r="T1527" s="10">
        <f>IF(P1527="","",StartBank+SUM(P$2:P1527))</f>
        <v/>
      </c>
    </row>
    <row r="1528">
      <c r="A1528" s="22" t="n"/>
      <c r="G1528" s="21" t="n"/>
      <c r="H1528" s="11" t="n"/>
      <c r="I1528" s="21">
        <f>IF(OR(H1528="",H1528=0),"",1/H1528)</f>
        <v/>
      </c>
      <c r="J1528" s="11">
        <f>IF(OR(G1528="",H1528=""),"",H1528*G1528-1)</f>
        <v/>
      </c>
      <c r="K1528" s="10">
        <f>IF(OR(G1528="",H1528="",G1528&lt;=1),"",IF(J1528&lt;IF(D1528="Builder",MinEdgeBuilder,IF(D1528="Player",MinEdgePlayer,MinEdgeSingle)),0,ROUND(MIN(IF(D1528="Single",KellySingle,KellyBuilder)*(StartBank+SUM(P$1:P1527))*J1528/(G1528-1),IF(D1528="Builder",CapBuilder,CapSingle)*Unit),2)))</f>
        <v/>
      </c>
      <c r="L1528" s="10" t="n"/>
      <c r="N1528" s="10" t="n"/>
      <c r="O1528" s="10">
        <f>IF(L1528="","",IF(M1528="Won",L1528*G1528,IF(M1528="Void",L1528,IF(M1528="Cash out",N(N1528),IF(M1528="Lost",0,"")))))</f>
        <v/>
      </c>
      <c r="P1528" s="10">
        <f>IF(OR(L1528="",M1528="",M1528="Pending"),"",O1528-L1528)</f>
        <v/>
      </c>
      <c r="Q1528" s="21" t="n"/>
      <c r="R1528" s="11">
        <f>IF(OR(G1528="",Q1528=""),"",G1528/Q1528-1)</f>
        <v/>
      </c>
      <c r="S1528" s="10">
        <f>IF(OR(L1528="",J1528=""),"",L1528*J1528)</f>
        <v/>
      </c>
      <c r="T1528" s="10">
        <f>IF(P1528="","",StartBank+SUM(P$2:P1528))</f>
        <v/>
      </c>
    </row>
    <row r="1529">
      <c r="A1529" s="22" t="n"/>
      <c r="G1529" s="21" t="n"/>
      <c r="H1529" s="11" t="n"/>
      <c r="I1529" s="21">
        <f>IF(OR(H1529="",H1529=0),"",1/H1529)</f>
        <v/>
      </c>
      <c r="J1529" s="11">
        <f>IF(OR(G1529="",H1529=""),"",H1529*G1529-1)</f>
        <v/>
      </c>
      <c r="K1529" s="10">
        <f>IF(OR(G1529="",H1529="",G1529&lt;=1),"",IF(J1529&lt;IF(D1529="Builder",MinEdgeBuilder,IF(D1529="Player",MinEdgePlayer,MinEdgeSingle)),0,ROUND(MIN(IF(D1529="Single",KellySingle,KellyBuilder)*(StartBank+SUM(P$1:P1528))*J1529/(G1529-1),IF(D1529="Builder",CapBuilder,CapSingle)*Unit),2)))</f>
        <v/>
      </c>
      <c r="L1529" s="10" t="n"/>
      <c r="N1529" s="10" t="n"/>
      <c r="O1529" s="10">
        <f>IF(L1529="","",IF(M1529="Won",L1529*G1529,IF(M1529="Void",L1529,IF(M1529="Cash out",N(N1529),IF(M1529="Lost",0,"")))))</f>
        <v/>
      </c>
      <c r="P1529" s="10">
        <f>IF(OR(L1529="",M1529="",M1529="Pending"),"",O1529-L1529)</f>
        <v/>
      </c>
      <c r="Q1529" s="21" t="n"/>
      <c r="R1529" s="11">
        <f>IF(OR(G1529="",Q1529=""),"",G1529/Q1529-1)</f>
        <v/>
      </c>
      <c r="S1529" s="10">
        <f>IF(OR(L1529="",J1529=""),"",L1529*J1529)</f>
        <v/>
      </c>
      <c r="T1529" s="10">
        <f>IF(P1529="","",StartBank+SUM(P$2:P1529))</f>
        <v/>
      </c>
    </row>
    <row r="1530">
      <c r="A1530" s="22" t="n"/>
      <c r="G1530" s="21" t="n"/>
      <c r="H1530" s="11" t="n"/>
      <c r="I1530" s="21">
        <f>IF(OR(H1530="",H1530=0),"",1/H1530)</f>
        <v/>
      </c>
      <c r="J1530" s="11">
        <f>IF(OR(G1530="",H1530=""),"",H1530*G1530-1)</f>
        <v/>
      </c>
      <c r="K1530" s="10">
        <f>IF(OR(G1530="",H1530="",G1530&lt;=1),"",IF(J1530&lt;IF(D1530="Builder",MinEdgeBuilder,IF(D1530="Player",MinEdgePlayer,MinEdgeSingle)),0,ROUND(MIN(IF(D1530="Single",KellySingle,KellyBuilder)*(StartBank+SUM(P$1:P1529))*J1530/(G1530-1),IF(D1530="Builder",CapBuilder,CapSingle)*Unit),2)))</f>
        <v/>
      </c>
      <c r="L1530" s="10" t="n"/>
      <c r="N1530" s="10" t="n"/>
      <c r="O1530" s="10">
        <f>IF(L1530="","",IF(M1530="Won",L1530*G1530,IF(M1530="Void",L1530,IF(M1530="Cash out",N(N1530),IF(M1530="Lost",0,"")))))</f>
        <v/>
      </c>
      <c r="P1530" s="10">
        <f>IF(OR(L1530="",M1530="",M1530="Pending"),"",O1530-L1530)</f>
        <v/>
      </c>
      <c r="Q1530" s="21" t="n"/>
      <c r="R1530" s="11">
        <f>IF(OR(G1530="",Q1530=""),"",G1530/Q1530-1)</f>
        <v/>
      </c>
      <c r="S1530" s="10">
        <f>IF(OR(L1530="",J1530=""),"",L1530*J1530)</f>
        <v/>
      </c>
      <c r="T1530" s="10">
        <f>IF(P1530="","",StartBank+SUM(P$2:P1530))</f>
        <v/>
      </c>
    </row>
    <row r="1531">
      <c r="A1531" s="22" t="n"/>
      <c r="G1531" s="21" t="n"/>
      <c r="H1531" s="11" t="n"/>
      <c r="I1531" s="21">
        <f>IF(OR(H1531="",H1531=0),"",1/H1531)</f>
        <v/>
      </c>
      <c r="J1531" s="11">
        <f>IF(OR(G1531="",H1531=""),"",H1531*G1531-1)</f>
        <v/>
      </c>
      <c r="K1531" s="10">
        <f>IF(OR(G1531="",H1531="",G1531&lt;=1),"",IF(J1531&lt;IF(D1531="Builder",MinEdgeBuilder,IF(D1531="Player",MinEdgePlayer,MinEdgeSingle)),0,ROUND(MIN(IF(D1531="Single",KellySingle,KellyBuilder)*(StartBank+SUM(P$1:P1530))*J1531/(G1531-1),IF(D1531="Builder",CapBuilder,CapSingle)*Unit),2)))</f>
        <v/>
      </c>
      <c r="L1531" s="10" t="n"/>
      <c r="N1531" s="10" t="n"/>
      <c r="O1531" s="10">
        <f>IF(L1531="","",IF(M1531="Won",L1531*G1531,IF(M1531="Void",L1531,IF(M1531="Cash out",N(N1531),IF(M1531="Lost",0,"")))))</f>
        <v/>
      </c>
      <c r="P1531" s="10">
        <f>IF(OR(L1531="",M1531="",M1531="Pending"),"",O1531-L1531)</f>
        <v/>
      </c>
      <c r="Q1531" s="21" t="n"/>
      <c r="R1531" s="11">
        <f>IF(OR(G1531="",Q1531=""),"",G1531/Q1531-1)</f>
        <v/>
      </c>
      <c r="S1531" s="10">
        <f>IF(OR(L1531="",J1531=""),"",L1531*J1531)</f>
        <v/>
      </c>
      <c r="T1531" s="10">
        <f>IF(P1531="","",StartBank+SUM(P$2:P1531))</f>
        <v/>
      </c>
    </row>
    <row r="1532">
      <c r="A1532" s="22" t="n"/>
      <c r="G1532" s="21" t="n"/>
      <c r="H1532" s="11" t="n"/>
      <c r="I1532" s="21">
        <f>IF(OR(H1532="",H1532=0),"",1/H1532)</f>
        <v/>
      </c>
      <c r="J1532" s="11">
        <f>IF(OR(G1532="",H1532=""),"",H1532*G1532-1)</f>
        <v/>
      </c>
      <c r="K1532" s="10">
        <f>IF(OR(G1532="",H1532="",G1532&lt;=1),"",IF(J1532&lt;IF(D1532="Builder",MinEdgeBuilder,IF(D1532="Player",MinEdgePlayer,MinEdgeSingle)),0,ROUND(MIN(IF(D1532="Single",KellySingle,KellyBuilder)*(StartBank+SUM(P$1:P1531))*J1532/(G1532-1),IF(D1532="Builder",CapBuilder,CapSingle)*Unit),2)))</f>
        <v/>
      </c>
      <c r="L1532" s="10" t="n"/>
      <c r="N1532" s="10" t="n"/>
      <c r="O1532" s="10">
        <f>IF(L1532="","",IF(M1532="Won",L1532*G1532,IF(M1532="Void",L1532,IF(M1532="Cash out",N(N1532),IF(M1532="Lost",0,"")))))</f>
        <v/>
      </c>
      <c r="P1532" s="10">
        <f>IF(OR(L1532="",M1532="",M1532="Pending"),"",O1532-L1532)</f>
        <v/>
      </c>
      <c r="Q1532" s="21" t="n"/>
      <c r="R1532" s="11">
        <f>IF(OR(G1532="",Q1532=""),"",G1532/Q1532-1)</f>
        <v/>
      </c>
      <c r="S1532" s="10">
        <f>IF(OR(L1532="",J1532=""),"",L1532*J1532)</f>
        <v/>
      </c>
      <c r="T1532" s="10">
        <f>IF(P1532="","",StartBank+SUM(P$2:P1532))</f>
        <v/>
      </c>
    </row>
    <row r="1533">
      <c r="A1533" s="22" t="n"/>
      <c r="G1533" s="21" t="n"/>
      <c r="H1533" s="11" t="n"/>
      <c r="I1533" s="21">
        <f>IF(OR(H1533="",H1533=0),"",1/H1533)</f>
        <v/>
      </c>
      <c r="J1533" s="11">
        <f>IF(OR(G1533="",H1533=""),"",H1533*G1533-1)</f>
        <v/>
      </c>
      <c r="K1533" s="10">
        <f>IF(OR(G1533="",H1533="",G1533&lt;=1),"",IF(J1533&lt;IF(D1533="Builder",MinEdgeBuilder,IF(D1533="Player",MinEdgePlayer,MinEdgeSingle)),0,ROUND(MIN(IF(D1533="Single",KellySingle,KellyBuilder)*(StartBank+SUM(P$1:P1532))*J1533/(G1533-1),IF(D1533="Builder",CapBuilder,CapSingle)*Unit),2)))</f>
        <v/>
      </c>
      <c r="L1533" s="10" t="n"/>
      <c r="N1533" s="10" t="n"/>
      <c r="O1533" s="10">
        <f>IF(L1533="","",IF(M1533="Won",L1533*G1533,IF(M1533="Void",L1533,IF(M1533="Cash out",N(N1533),IF(M1533="Lost",0,"")))))</f>
        <v/>
      </c>
      <c r="P1533" s="10">
        <f>IF(OR(L1533="",M1533="",M1533="Pending"),"",O1533-L1533)</f>
        <v/>
      </c>
      <c r="Q1533" s="21" t="n"/>
      <c r="R1533" s="11">
        <f>IF(OR(G1533="",Q1533=""),"",G1533/Q1533-1)</f>
        <v/>
      </c>
      <c r="S1533" s="10">
        <f>IF(OR(L1533="",J1533=""),"",L1533*J1533)</f>
        <v/>
      </c>
      <c r="T1533" s="10">
        <f>IF(P1533="","",StartBank+SUM(P$2:P1533))</f>
        <v/>
      </c>
    </row>
    <row r="1534">
      <c r="A1534" s="22" t="n"/>
      <c r="G1534" s="21" t="n"/>
      <c r="H1534" s="11" t="n"/>
      <c r="I1534" s="21">
        <f>IF(OR(H1534="",H1534=0),"",1/H1534)</f>
        <v/>
      </c>
      <c r="J1534" s="11">
        <f>IF(OR(G1534="",H1534=""),"",H1534*G1534-1)</f>
        <v/>
      </c>
      <c r="K1534" s="10">
        <f>IF(OR(G1534="",H1534="",G1534&lt;=1),"",IF(J1534&lt;IF(D1534="Builder",MinEdgeBuilder,IF(D1534="Player",MinEdgePlayer,MinEdgeSingle)),0,ROUND(MIN(IF(D1534="Single",KellySingle,KellyBuilder)*(StartBank+SUM(P$1:P1533))*J1534/(G1534-1),IF(D1534="Builder",CapBuilder,CapSingle)*Unit),2)))</f>
        <v/>
      </c>
      <c r="L1534" s="10" t="n"/>
      <c r="N1534" s="10" t="n"/>
      <c r="O1534" s="10">
        <f>IF(L1534="","",IF(M1534="Won",L1534*G1534,IF(M1534="Void",L1534,IF(M1534="Cash out",N(N1534),IF(M1534="Lost",0,"")))))</f>
        <v/>
      </c>
      <c r="P1534" s="10">
        <f>IF(OR(L1534="",M1534="",M1534="Pending"),"",O1534-L1534)</f>
        <v/>
      </c>
      <c r="Q1534" s="21" t="n"/>
      <c r="R1534" s="11">
        <f>IF(OR(G1534="",Q1534=""),"",G1534/Q1534-1)</f>
        <v/>
      </c>
      <c r="S1534" s="10">
        <f>IF(OR(L1534="",J1534=""),"",L1534*J1534)</f>
        <v/>
      </c>
      <c r="T1534" s="10">
        <f>IF(P1534="","",StartBank+SUM(P$2:P1534))</f>
        <v/>
      </c>
    </row>
    <row r="1535">
      <c r="A1535" s="22" t="n"/>
      <c r="G1535" s="21" t="n"/>
      <c r="H1535" s="11" t="n"/>
      <c r="I1535" s="21">
        <f>IF(OR(H1535="",H1535=0),"",1/H1535)</f>
        <v/>
      </c>
      <c r="J1535" s="11">
        <f>IF(OR(G1535="",H1535=""),"",H1535*G1535-1)</f>
        <v/>
      </c>
      <c r="K1535" s="10">
        <f>IF(OR(G1535="",H1535="",G1535&lt;=1),"",IF(J1535&lt;IF(D1535="Builder",MinEdgeBuilder,IF(D1535="Player",MinEdgePlayer,MinEdgeSingle)),0,ROUND(MIN(IF(D1535="Single",KellySingle,KellyBuilder)*(StartBank+SUM(P$1:P1534))*J1535/(G1535-1),IF(D1535="Builder",CapBuilder,CapSingle)*Unit),2)))</f>
        <v/>
      </c>
      <c r="L1535" s="10" t="n"/>
      <c r="N1535" s="10" t="n"/>
      <c r="O1535" s="10">
        <f>IF(L1535="","",IF(M1535="Won",L1535*G1535,IF(M1535="Void",L1535,IF(M1535="Cash out",N(N1535),IF(M1535="Lost",0,"")))))</f>
        <v/>
      </c>
      <c r="P1535" s="10">
        <f>IF(OR(L1535="",M1535="",M1535="Pending"),"",O1535-L1535)</f>
        <v/>
      </c>
      <c r="Q1535" s="21" t="n"/>
      <c r="R1535" s="11">
        <f>IF(OR(G1535="",Q1535=""),"",G1535/Q1535-1)</f>
        <v/>
      </c>
      <c r="S1535" s="10">
        <f>IF(OR(L1535="",J1535=""),"",L1535*J1535)</f>
        <v/>
      </c>
      <c r="T1535" s="10">
        <f>IF(P1535="","",StartBank+SUM(P$2:P1535))</f>
        <v/>
      </c>
    </row>
    <row r="1536">
      <c r="A1536" s="22" t="n"/>
      <c r="G1536" s="21" t="n"/>
      <c r="H1536" s="11" t="n"/>
      <c r="I1536" s="21">
        <f>IF(OR(H1536="",H1536=0),"",1/H1536)</f>
        <v/>
      </c>
      <c r="J1536" s="11">
        <f>IF(OR(G1536="",H1536=""),"",H1536*G1536-1)</f>
        <v/>
      </c>
      <c r="K1536" s="10">
        <f>IF(OR(G1536="",H1536="",G1536&lt;=1),"",IF(J1536&lt;IF(D1536="Builder",MinEdgeBuilder,IF(D1536="Player",MinEdgePlayer,MinEdgeSingle)),0,ROUND(MIN(IF(D1536="Single",KellySingle,KellyBuilder)*(StartBank+SUM(P$1:P1535))*J1536/(G1536-1),IF(D1536="Builder",CapBuilder,CapSingle)*Unit),2)))</f>
        <v/>
      </c>
      <c r="L1536" s="10" t="n"/>
      <c r="N1536" s="10" t="n"/>
      <c r="O1536" s="10">
        <f>IF(L1536="","",IF(M1536="Won",L1536*G1536,IF(M1536="Void",L1536,IF(M1536="Cash out",N(N1536),IF(M1536="Lost",0,"")))))</f>
        <v/>
      </c>
      <c r="P1536" s="10">
        <f>IF(OR(L1536="",M1536="",M1536="Pending"),"",O1536-L1536)</f>
        <v/>
      </c>
      <c r="Q1536" s="21" t="n"/>
      <c r="R1536" s="11">
        <f>IF(OR(G1536="",Q1536=""),"",G1536/Q1536-1)</f>
        <v/>
      </c>
      <c r="S1536" s="10">
        <f>IF(OR(L1536="",J1536=""),"",L1536*J1536)</f>
        <v/>
      </c>
      <c r="T1536" s="10">
        <f>IF(P1536="","",StartBank+SUM(P$2:P1536))</f>
        <v/>
      </c>
    </row>
    <row r="1537">
      <c r="A1537" s="22" t="n"/>
      <c r="G1537" s="21" t="n"/>
      <c r="H1537" s="11" t="n"/>
      <c r="I1537" s="21">
        <f>IF(OR(H1537="",H1537=0),"",1/H1537)</f>
        <v/>
      </c>
      <c r="J1537" s="11">
        <f>IF(OR(G1537="",H1537=""),"",H1537*G1537-1)</f>
        <v/>
      </c>
      <c r="K1537" s="10">
        <f>IF(OR(G1537="",H1537="",G1537&lt;=1),"",IF(J1537&lt;IF(D1537="Builder",MinEdgeBuilder,IF(D1537="Player",MinEdgePlayer,MinEdgeSingle)),0,ROUND(MIN(IF(D1537="Single",KellySingle,KellyBuilder)*(StartBank+SUM(P$1:P1536))*J1537/(G1537-1),IF(D1537="Builder",CapBuilder,CapSingle)*Unit),2)))</f>
        <v/>
      </c>
      <c r="L1537" s="10" t="n"/>
      <c r="N1537" s="10" t="n"/>
      <c r="O1537" s="10">
        <f>IF(L1537="","",IF(M1537="Won",L1537*G1537,IF(M1537="Void",L1537,IF(M1537="Cash out",N(N1537),IF(M1537="Lost",0,"")))))</f>
        <v/>
      </c>
      <c r="P1537" s="10">
        <f>IF(OR(L1537="",M1537="",M1537="Pending"),"",O1537-L1537)</f>
        <v/>
      </c>
      <c r="Q1537" s="21" t="n"/>
      <c r="R1537" s="11">
        <f>IF(OR(G1537="",Q1537=""),"",G1537/Q1537-1)</f>
        <v/>
      </c>
      <c r="S1537" s="10">
        <f>IF(OR(L1537="",J1537=""),"",L1537*J1537)</f>
        <v/>
      </c>
      <c r="T1537" s="10">
        <f>IF(P1537="","",StartBank+SUM(P$2:P1537))</f>
        <v/>
      </c>
    </row>
    <row r="1538">
      <c r="A1538" s="22" t="n"/>
      <c r="G1538" s="21" t="n"/>
      <c r="H1538" s="11" t="n"/>
      <c r="I1538" s="21">
        <f>IF(OR(H1538="",H1538=0),"",1/H1538)</f>
        <v/>
      </c>
      <c r="J1538" s="11">
        <f>IF(OR(G1538="",H1538=""),"",H1538*G1538-1)</f>
        <v/>
      </c>
      <c r="K1538" s="10">
        <f>IF(OR(G1538="",H1538="",G1538&lt;=1),"",IF(J1538&lt;IF(D1538="Builder",MinEdgeBuilder,IF(D1538="Player",MinEdgePlayer,MinEdgeSingle)),0,ROUND(MIN(IF(D1538="Single",KellySingle,KellyBuilder)*(StartBank+SUM(P$1:P1537))*J1538/(G1538-1),IF(D1538="Builder",CapBuilder,CapSingle)*Unit),2)))</f>
        <v/>
      </c>
      <c r="L1538" s="10" t="n"/>
      <c r="N1538" s="10" t="n"/>
      <c r="O1538" s="10">
        <f>IF(L1538="","",IF(M1538="Won",L1538*G1538,IF(M1538="Void",L1538,IF(M1538="Cash out",N(N1538),IF(M1538="Lost",0,"")))))</f>
        <v/>
      </c>
      <c r="P1538" s="10">
        <f>IF(OR(L1538="",M1538="",M1538="Pending"),"",O1538-L1538)</f>
        <v/>
      </c>
      <c r="Q1538" s="21" t="n"/>
      <c r="R1538" s="11">
        <f>IF(OR(G1538="",Q1538=""),"",G1538/Q1538-1)</f>
        <v/>
      </c>
      <c r="S1538" s="10">
        <f>IF(OR(L1538="",J1538=""),"",L1538*J1538)</f>
        <v/>
      </c>
      <c r="T1538" s="10">
        <f>IF(P1538="","",StartBank+SUM(P$2:P1538))</f>
        <v/>
      </c>
    </row>
    <row r="1539">
      <c r="A1539" s="22" t="n"/>
      <c r="G1539" s="21" t="n"/>
      <c r="H1539" s="11" t="n"/>
      <c r="I1539" s="21">
        <f>IF(OR(H1539="",H1539=0),"",1/H1539)</f>
        <v/>
      </c>
      <c r="J1539" s="11">
        <f>IF(OR(G1539="",H1539=""),"",H1539*G1539-1)</f>
        <v/>
      </c>
      <c r="K1539" s="10">
        <f>IF(OR(G1539="",H1539="",G1539&lt;=1),"",IF(J1539&lt;IF(D1539="Builder",MinEdgeBuilder,IF(D1539="Player",MinEdgePlayer,MinEdgeSingle)),0,ROUND(MIN(IF(D1539="Single",KellySingle,KellyBuilder)*(StartBank+SUM(P$1:P1538))*J1539/(G1539-1),IF(D1539="Builder",CapBuilder,CapSingle)*Unit),2)))</f>
        <v/>
      </c>
      <c r="L1539" s="10" t="n"/>
      <c r="N1539" s="10" t="n"/>
      <c r="O1539" s="10">
        <f>IF(L1539="","",IF(M1539="Won",L1539*G1539,IF(M1539="Void",L1539,IF(M1539="Cash out",N(N1539),IF(M1539="Lost",0,"")))))</f>
        <v/>
      </c>
      <c r="P1539" s="10">
        <f>IF(OR(L1539="",M1539="",M1539="Pending"),"",O1539-L1539)</f>
        <v/>
      </c>
      <c r="Q1539" s="21" t="n"/>
      <c r="R1539" s="11">
        <f>IF(OR(G1539="",Q1539=""),"",G1539/Q1539-1)</f>
        <v/>
      </c>
      <c r="S1539" s="10">
        <f>IF(OR(L1539="",J1539=""),"",L1539*J1539)</f>
        <v/>
      </c>
      <c r="T1539" s="10">
        <f>IF(P1539="","",StartBank+SUM(P$2:P1539))</f>
        <v/>
      </c>
    </row>
    <row r="1540">
      <c r="A1540" s="22" t="n"/>
      <c r="G1540" s="21" t="n"/>
      <c r="H1540" s="11" t="n"/>
      <c r="I1540" s="21">
        <f>IF(OR(H1540="",H1540=0),"",1/H1540)</f>
        <v/>
      </c>
      <c r="J1540" s="11">
        <f>IF(OR(G1540="",H1540=""),"",H1540*G1540-1)</f>
        <v/>
      </c>
      <c r="K1540" s="10">
        <f>IF(OR(G1540="",H1540="",G1540&lt;=1),"",IF(J1540&lt;IF(D1540="Builder",MinEdgeBuilder,IF(D1540="Player",MinEdgePlayer,MinEdgeSingle)),0,ROUND(MIN(IF(D1540="Single",KellySingle,KellyBuilder)*(StartBank+SUM(P$1:P1539))*J1540/(G1540-1),IF(D1540="Builder",CapBuilder,CapSingle)*Unit),2)))</f>
        <v/>
      </c>
      <c r="L1540" s="10" t="n"/>
      <c r="N1540" s="10" t="n"/>
      <c r="O1540" s="10">
        <f>IF(L1540="","",IF(M1540="Won",L1540*G1540,IF(M1540="Void",L1540,IF(M1540="Cash out",N(N1540),IF(M1540="Lost",0,"")))))</f>
        <v/>
      </c>
      <c r="P1540" s="10">
        <f>IF(OR(L1540="",M1540="",M1540="Pending"),"",O1540-L1540)</f>
        <v/>
      </c>
      <c r="Q1540" s="21" t="n"/>
      <c r="R1540" s="11">
        <f>IF(OR(G1540="",Q1540=""),"",G1540/Q1540-1)</f>
        <v/>
      </c>
      <c r="S1540" s="10">
        <f>IF(OR(L1540="",J1540=""),"",L1540*J1540)</f>
        <v/>
      </c>
      <c r="T1540" s="10">
        <f>IF(P1540="","",StartBank+SUM(P$2:P1540))</f>
        <v/>
      </c>
    </row>
    <row r="1541">
      <c r="A1541" s="22" t="n"/>
      <c r="G1541" s="21" t="n"/>
      <c r="H1541" s="11" t="n"/>
      <c r="I1541" s="21">
        <f>IF(OR(H1541="",H1541=0),"",1/H1541)</f>
        <v/>
      </c>
      <c r="J1541" s="11">
        <f>IF(OR(G1541="",H1541=""),"",H1541*G1541-1)</f>
        <v/>
      </c>
      <c r="K1541" s="10">
        <f>IF(OR(G1541="",H1541="",G1541&lt;=1),"",IF(J1541&lt;IF(D1541="Builder",MinEdgeBuilder,IF(D1541="Player",MinEdgePlayer,MinEdgeSingle)),0,ROUND(MIN(IF(D1541="Single",KellySingle,KellyBuilder)*(StartBank+SUM(P$1:P1540))*J1541/(G1541-1),IF(D1541="Builder",CapBuilder,CapSingle)*Unit),2)))</f>
        <v/>
      </c>
      <c r="L1541" s="10" t="n"/>
      <c r="N1541" s="10" t="n"/>
      <c r="O1541" s="10">
        <f>IF(L1541="","",IF(M1541="Won",L1541*G1541,IF(M1541="Void",L1541,IF(M1541="Cash out",N(N1541),IF(M1541="Lost",0,"")))))</f>
        <v/>
      </c>
      <c r="P1541" s="10">
        <f>IF(OR(L1541="",M1541="",M1541="Pending"),"",O1541-L1541)</f>
        <v/>
      </c>
      <c r="Q1541" s="21" t="n"/>
      <c r="R1541" s="11">
        <f>IF(OR(G1541="",Q1541=""),"",G1541/Q1541-1)</f>
        <v/>
      </c>
      <c r="S1541" s="10">
        <f>IF(OR(L1541="",J1541=""),"",L1541*J1541)</f>
        <v/>
      </c>
      <c r="T1541" s="10">
        <f>IF(P1541="","",StartBank+SUM(P$2:P1541))</f>
        <v/>
      </c>
    </row>
    <row r="1542">
      <c r="A1542" s="22" t="n"/>
      <c r="G1542" s="21" t="n"/>
      <c r="H1542" s="11" t="n"/>
      <c r="I1542" s="21">
        <f>IF(OR(H1542="",H1542=0),"",1/H1542)</f>
        <v/>
      </c>
      <c r="J1542" s="11">
        <f>IF(OR(G1542="",H1542=""),"",H1542*G1542-1)</f>
        <v/>
      </c>
      <c r="K1542" s="10">
        <f>IF(OR(G1542="",H1542="",G1542&lt;=1),"",IF(J1542&lt;IF(D1542="Builder",MinEdgeBuilder,IF(D1542="Player",MinEdgePlayer,MinEdgeSingle)),0,ROUND(MIN(IF(D1542="Single",KellySingle,KellyBuilder)*(StartBank+SUM(P$1:P1541))*J1542/(G1542-1),IF(D1542="Builder",CapBuilder,CapSingle)*Unit),2)))</f>
        <v/>
      </c>
      <c r="L1542" s="10" t="n"/>
      <c r="N1542" s="10" t="n"/>
      <c r="O1542" s="10">
        <f>IF(L1542="","",IF(M1542="Won",L1542*G1542,IF(M1542="Void",L1542,IF(M1542="Cash out",N(N1542),IF(M1542="Lost",0,"")))))</f>
        <v/>
      </c>
      <c r="P1542" s="10">
        <f>IF(OR(L1542="",M1542="",M1542="Pending"),"",O1542-L1542)</f>
        <v/>
      </c>
      <c r="Q1542" s="21" t="n"/>
      <c r="R1542" s="11">
        <f>IF(OR(G1542="",Q1542=""),"",G1542/Q1542-1)</f>
        <v/>
      </c>
      <c r="S1542" s="10">
        <f>IF(OR(L1542="",J1542=""),"",L1542*J1542)</f>
        <v/>
      </c>
      <c r="T1542" s="10">
        <f>IF(P1542="","",StartBank+SUM(P$2:P1542))</f>
        <v/>
      </c>
    </row>
    <row r="1543">
      <c r="A1543" s="22" t="n"/>
      <c r="G1543" s="21" t="n"/>
      <c r="H1543" s="11" t="n"/>
      <c r="I1543" s="21">
        <f>IF(OR(H1543="",H1543=0),"",1/H1543)</f>
        <v/>
      </c>
      <c r="J1543" s="11">
        <f>IF(OR(G1543="",H1543=""),"",H1543*G1543-1)</f>
        <v/>
      </c>
      <c r="K1543" s="10">
        <f>IF(OR(G1543="",H1543="",G1543&lt;=1),"",IF(J1543&lt;IF(D1543="Builder",MinEdgeBuilder,IF(D1543="Player",MinEdgePlayer,MinEdgeSingle)),0,ROUND(MIN(IF(D1543="Single",KellySingle,KellyBuilder)*(StartBank+SUM(P$1:P1542))*J1543/(G1543-1),IF(D1543="Builder",CapBuilder,CapSingle)*Unit),2)))</f>
        <v/>
      </c>
      <c r="L1543" s="10" t="n"/>
      <c r="N1543" s="10" t="n"/>
      <c r="O1543" s="10">
        <f>IF(L1543="","",IF(M1543="Won",L1543*G1543,IF(M1543="Void",L1543,IF(M1543="Cash out",N(N1543),IF(M1543="Lost",0,"")))))</f>
        <v/>
      </c>
      <c r="P1543" s="10">
        <f>IF(OR(L1543="",M1543="",M1543="Pending"),"",O1543-L1543)</f>
        <v/>
      </c>
      <c r="Q1543" s="21" t="n"/>
      <c r="R1543" s="11">
        <f>IF(OR(G1543="",Q1543=""),"",G1543/Q1543-1)</f>
        <v/>
      </c>
      <c r="S1543" s="10">
        <f>IF(OR(L1543="",J1543=""),"",L1543*J1543)</f>
        <v/>
      </c>
      <c r="T1543" s="10">
        <f>IF(P1543="","",StartBank+SUM(P$2:P1543))</f>
        <v/>
      </c>
    </row>
    <row r="1544">
      <c r="A1544" s="22" t="n"/>
      <c r="G1544" s="21" t="n"/>
      <c r="H1544" s="11" t="n"/>
      <c r="I1544" s="21">
        <f>IF(OR(H1544="",H1544=0),"",1/H1544)</f>
        <v/>
      </c>
      <c r="J1544" s="11">
        <f>IF(OR(G1544="",H1544=""),"",H1544*G1544-1)</f>
        <v/>
      </c>
      <c r="K1544" s="10">
        <f>IF(OR(G1544="",H1544="",G1544&lt;=1),"",IF(J1544&lt;IF(D1544="Builder",MinEdgeBuilder,IF(D1544="Player",MinEdgePlayer,MinEdgeSingle)),0,ROUND(MIN(IF(D1544="Single",KellySingle,KellyBuilder)*(StartBank+SUM(P$1:P1543))*J1544/(G1544-1),IF(D1544="Builder",CapBuilder,CapSingle)*Unit),2)))</f>
        <v/>
      </c>
      <c r="L1544" s="10" t="n"/>
      <c r="N1544" s="10" t="n"/>
      <c r="O1544" s="10">
        <f>IF(L1544="","",IF(M1544="Won",L1544*G1544,IF(M1544="Void",L1544,IF(M1544="Cash out",N(N1544),IF(M1544="Lost",0,"")))))</f>
        <v/>
      </c>
      <c r="P1544" s="10">
        <f>IF(OR(L1544="",M1544="",M1544="Pending"),"",O1544-L1544)</f>
        <v/>
      </c>
      <c r="Q1544" s="21" t="n"/>
      <c r="R1544" s="11">
        <f>IF(OR(G1544="",Q1544=""),"",G1544/Q1544-1)</f>
        <v/>
      </c>
      <c r="S1544" s="10">
        <f>IF(OR(L1544="",J1544=""),"",L1544*J1544)</f>
        <v/>
      </c>
      <c r="T1544" s="10">
        <f>IF(P1544="","",StartBank+SUM(P$2:P1544))</f>
        <v/>
      </c>
    </row>
    <row r="1545">
      <c r="A1545" s="22" t="n"/>
      <c r="G1545" s="21" t="n"/>
      <c r="H1545" s="11" t="n"/>
      <c r="I1545" s="21">
        <f>IF(OR(H1545="",H1545=0),"",1/H1545)</f>
        <v/>
      </c>
      <c r="J1545" s="11">
        <f>IF(OR(G1545="",H1545=""),"",H1545*G1545-1)</f>
        <v/>
      </c>
      <c r="K1545" s="10">
        <f>IF(OR(G1545="",H1545="",G1545&lt;=1),"",IF(J1545&lt;IF(D1545="Builder",MinEdgeBuilder,IF(D1545="Player",MinEdgePlayer,MinEdgeSingle)),0,ROUND(MIN(IF(D1545="Single",KellySingle,KellyBuilder)*(StartBank+SUM(P$1:P1544))*J1545/(G1545-1),IF(D1545="Builder",CapBuilder,CapSingle)*Unit),2)))</f>
        <v/>
      </c>
      <c r="L1545" s="10" t="n"/>
      <c r="N1545" s="10" t="n"/>
      <c r="O1545" s="10">
        <f>IF(L1545="","",IF(M1545="Won",L1545*G1545,IF(M1545="Void",L1545,IF(M1545="Cash out",N(N1545),IF(M1545="Lost",0,"")))))</f>
        <v/>
      </c>
      <c r="P1545" s="10">
        <f>IF(OR(L1545="",M1545="",M1545="Pending"),"",O1545-L1545)</f>
        <v/>
      </c>
      <c r="Q1545" s="21" t="n"/>
      <c r="R1545" s="11">
        <f>IF(OR(G1545="",Q1545=""),"",G1545/Q1545-1)</f>
        <v/>
      </c>
      <c r="S1545" s="10">
        <f>IF(OR(L1545="",J1545=""),"",L1545*J1545)</f>
        <v/>
      </c>
      <c r="T1545" s="10">
        <f>IF(P1545="","",StartBank+SUM(P$2:P1545))</f>
        <v/>
      </c>
    </row>
    <row r="1546">
      <c r="A1546" s="22" t="n"/>
      <c r="G1546" s="21" t="n"/>
      <c r="H1546" s="11" t="n"/>
      <c r="I1546" s="21">
        <f>IF(OR(H1546="",H1546=0),"",1/H1546)</f>
        <v/>
      </c>
      <c r="J1546" s="11">
        <f>IF(OR(G1546="",H1546=""),"",H1546*G1546-1)</f>
        <v/>
      </c>
      <c r="K1546" s="10">
        <f>IF(OR(G1546="",H1546="",G1546&lt;=1),"",IF(J1546&lt;IF(D1546="Builder",MinEdgeBuilder,IF(D1546="Player",MinEdgePlayer,MinEdgeSingle)),0,ROUND(MIN(IF(D1546="Single",KellySingle,KellyBuilder)*(StartBank+SUM(P$1:P1545))*J1546/(G1546-1),IF(D1546="Builder",CapBuilder,CapSingle)*Unit),2)))</f>
        <v/>
      </c>
      <c r="L1546" s="10" t="n"/>
      <c r="N1546" s="10" t="n"/>
      <c r="O1546" s="10">
        <f>IF(L1546="","",IF(M1546="Won",L1546*G1546,IF(M1546="Void",L1546,IF(M1546="Cash out",N(N1546),IF(M1546="Lost",0,"")))))</f>
        <v/>
      </c>
      <c r="P1546" s="10">
        <f>IF(OR(L1546="",M1546="",M1546="Pending"),"",O1546-L1546)</f>
        <v/>
      </c>
      <c r="Q1546" s="21" t="n"/>
      <c r="R1546" s="11">
        <f>IF(OR(G1546="",Q1546=""),"",G1546/Q1546-1)</f>
        <v/>
      </c>
      <c r="S1546" s="10">
        <f>IF(OR(L1546="",J1546=""),"",L1546*J1546)</f>
        <v/>
      </c>
      <c r="T1546" s="10">
        <f>IF(P1546="","",StartBank+SUM(P$2:P1546))</f>
        <v/>
      </c>
    </row>
    <row r="1547">
      <c r="A1547" s="22" t="n"/>
      <c r="G1547" s="21" t="n"/>
      <c r="H1547" s="11" t="n"/>
      <c r="I1547" s="21">
        <f>IF(OR(H1547="",H1547=0),"",1/H1547)</f>
        <v/>
      </c>
      <c r="J1547" s="11">
        <f>IF(OR(G1547="",H1547=""),"",H1547*G1547-1)</f>
        <v/>
      </c>
      <c r="K1547" s="10">
        <f>IF(OR(G1547="",H1547="",G1547&lt;=1),"",IF(J1547&lt;IF(D1547="Builder",MinEdgeBuilder,IF(D1547="Player",MinEdgePlayer,MinEdgeSingle)),0,ROUND(MIN(IF(D1547="Single",KellySingle,KellyBuilder)*(StartBank+SUM(P$1:P1546))*J1547/(G1547-1),IF(D1547="Builder",CapBuilder,CapSingle)*Unit),2)))</f>
        <v/>
      </c>
      <c r="L1547" s="10" t="n"/>
      <c r="N1547" s="10" t="n"/>
      <c r="O1547" s="10">
        <f>IF(L1547="","",IF(M1547="Won",L1547*G1547,IF(M1547="Void",L1547,IF(M1547="Cash out",N(N1547),IF(M1547="Lost",0,"")))))</f>
        <v/>
      </c>
      <c r="P1547" s="10">
        <f>IF(OR(L1547="",M1547="",M1547="Pending"),"",O1547-L1547)</f>
        <v/>
      </c>
      <c r="Q1547" s="21" t="n"/>
      <c r="R1547" s="11">
        <f>IF(OR(G1547="",Q1547=""),"",G1547/Q1547-1)</f>
        <v/>
      </c>
      <c r="S1547" s="10">
        <f>IF(OR(L1547="",J1547=""),"",L1547*J1547)</f>
        <v/>
      </c>
      <c r="T1547" s="10">
        <f>IF(P1547="","",StartBank+SUM(P$2:P1547))</f>
        <v/>
      </c>
    </row>
    <row r="1548">
      <c r="A1548" s="22" t="n"/>
      <c r="G1548" s="21" t="n"/>
      <c r="H1548" s="11" t="n"/>
      <c r="I1548" s="21">
        <f>IF(OR(H1548="",H1548=0),"",1/H1548)</f>
        <v/>
      </c>
      <c r="J1548" s="11">
        <f>IF(OR(G1548="",H1548=""),"",H1548*G1548-1)</f>
        <v/>
      </c>
      <c r="K1548" s="10">
        <f>IF(OR(G1548="",H1548="",G1548&lt;=1),"",IF(J1548&lt;IF(D1548="Builder",MinEdgeBuilder,IF(D1548="Player",MinEdgePlayer,MinEdgeSingle)),0,ROUND(MIN(IF(D1548="Single",KellySingle,KellyBuilder)*(StartBank+SUM(P$1:P1547))*J1548/(G1548-1),IF(D1548="Builder",CapBuilder,CapSingle)*Unit),2)))</f>
        <v/>
      </c>
      <c r="L1548" s="10" t="n"/>
      <c r="N1548" s="10" t="n"/>
      <c r="O1548" s="10">
        <f>IF(L1548="","",IF(M1548="Won",L1548*G1548,IF(M1548="Void",L1548,IF(M1548="Cash out",N(N1548),IF(M1548="Lost",0,"")))))</f>
        <v/>
      </c>
      <c r="P1548" s="10">
        <f>IF(OR(L1548="",M1548="",M1548="Pending"),"",O1548-L1548)</f>
        <v/>
      </c>
      <c r="Q1548" s="21" t="n"/>
      <c r="R1548" s="11">
        <f>IF(OR(G1548="",Q1548=""),"",G1548/Q1548-1)</f>
        <v/>
      </c>
      <c r="S1548" s="10">
        <f>IF(OR(L1548="",J1548=""),"",L1548*J1548)</f>
        <v/>
      </c>
      <c r="T1548" s="10">
        <f>IF(P1548="","",StartBank+SUM(P$2:P1548))</f>
        <v/>
      </c>
    </row>
    <row r="1549">
      <c r="A1549" s="22" t="n"/>
      <c r="G1549" s="21" t="n"/>
      <c r="H1549" s="11" t="n"/>
      <c r="I1549" s="21">
        <f>IF(OR(H1549="",H1549=0),"",1/H1549)</f>
        <v/>
      </c>
      <c r="J1549" s="11">
        <f>IF(OR(G1549="",H1549=""),"",H1549*G1549-1)</f>
        <v/>
      </c>
      <c r="K1549" s="10">
        <f>IF(OR(G1549="",H1549="",G1549&lt;=1),"",IF(J1549&lt;IF(D1549="Builder",MinEdgeBuilder,IF(D1549="Player",MinEdgePlayer,MinEdgeSingle)),0,ROUND(MIN(IF(D1549="Single",KellySingle,KellyBuilder)*(StartBank+SUM(P$1:P1548))*J1549/(G1549-1),IF(D1549="Builder",CapBuilder,CapSingle)*Unit),2)))</f>
        <v/>
      </c>
      <c r="L1549" s="10" t="n"/>
      <c r="N1549" s="10" t="n"/>
      <c r="O1549" s="10">
        <f>IF(L1549="","",IF(M1549="Won",L1549*G1549,IF(M1549="Void",L1549,IF(M1549="Cash out",N(N1549),IF(M1549="Lost",0,"")))))</f>
        <v/>
      </c>
      <c r="P1549" s="10">
        <f>IF(OR(L1549="",M1549="",M1549="Pending"),"",O1549-L1549)</f>
        <v/>
      </c>
      <c r="Q1549" s="21" t="n"/>
      <c r="R1549" s="11">
        <f>IF(OR(G1549="",Q1549=""),"",G1549/Q1549-1)</f>
        <v/>
      </c>
      <c r="S1549" s="10">
        <f>IF(OR(L1549="",J1549=""),"",L1549*J1549)</f>
        <v/>
      </c>
      <c r="T1549" s="10">
        <f>IF(P1549="","",StartBank+SUM(P$2:P1549))</f>
        <v/>
      </c>
    </row>
    <row r="1550">
      <c r="A1550" s="22" t="n"/>
      <c r="G1550" s="21" t="n"/>
      <c r="H1550" s="11" t="n"/>
      <c r="I1550" s="21">
        <f>IF(OR(H1550="",H1550=0),"",1/H1550)</f>
        <v/>
      </c>
      <c r="J1550" s="11">
        <f>IF(OR(G1550="",H1550=""),"",H1550*G1550-1)</f>
        <v/>
      </c>
      <c r="K1550" s="10">
        <f>IF(OR(G1550="",H1550="",G1550&lt;=1),"",IF(J1550&lt;IF(D1550="Builder",MinEdgeBuilder,IF(D1550="Player",MinEdgePlayer,MinEdgeSingle)),0,ROUND(MIN(IF(D1550="Single",KellySingle,KellyBuilder)*(StartBank+SUM(P$1:P1549))*J1550/(G1550-1),IF(D1550="Builder",CapBuilder,CapSingle)*Unit),2)))</f>
        <v/>
      </c>
      <c r="L1550" s="10" t="n"/>
      <c r="N1550" s="10" t="n"/>
      <c r="O1550" s="10">
        <f>IF(L1550="","",IF(M1550="Won",L1550*G1550,IF(M1550="Void",L1550,IF(M1550="Cash out",N(N1550),IF(M1550="Lost",0,"")))))</f>
        <v/>
      </c>
      <c r="P1550" s="10">
        <f>IF(OR(L1550="",M1550="",M1550="Pending"),"",O1550-L1550)</f>
        <v/>
      </c>
      <c r="Q1550" s="21" t="n"/>
      <c r="R1550" s="11">
        <f>IF(OR(G1550="",Q1550=""),"",G1550/Q1550-1)</f>
        <v/>
      </c>
      <c r="S1550" s="10">
        <f>IF(OR(L1550="",J1550=""),"",L1550*J1550)</f>
        <v/>
      </c>
      <c r="T1550" s="10">
        <f>IF(P1550="","",StartBank+SUM(P$2:P1550))</f>
        <v/>
      </c>
    </row>
    <row r="1551">
      <c r="A1551" s="22" t="n"/>
      <c r="G1551" s="21" t="n"/>
      <c r="H1551" s="11" t="n"/>
      <c r="I1551" s="21">
        <f>IF(OR(H1551="",H1551=0),"",1/H1551)</f>
        <v/>
      </c>
      <c r="J1551" s="11">
        <f>IF(OR(G1551="",H1551=""),"",H1551*G1551-1)</f>
        <v/>
      </c>
      <c r="K1551" s="10">
        <f>IF(OR(G1551="",H1551="",G1551&lt;=1),"",IF(J1551&lt;IF(D1551="Builder",MinEdgeBuilder,IF(D1551="Player",MinEdgePlayer,MinEdgeSingle)),0,ROUND(MIN(IF(D1551="Single",KellySingle,KellyBuilder)*(StartBank+SUM(P$1:P1550))*J1551/(G1551-1),IF(D1551="Builder",CapBuilder,CapSingle)*Unit),2)))</f>
        <v/>
      </c>
      <c r="L1551" s="10" t="n"/>
      <c r="N1551" s="10" t="n"/>
      <c r="O1551" s="10">
        <f>IF(L1551="","",IF(M1551="Won",L1551*G1551,IF(M1551="Void",L1551,IF(M1551="Cash out",N(N1551),IF(M1551="Lost",0,"")))))</f>
        <v/>
      </c>
      <c r="P1551" s="10">
        <f>IF(OR(L1551="",M1551="",M1551="Pending"),"",O1551-L1551)</f>
        <v/>
      </c>
      <c r="Q1551" s="21" t="n"/>
      <c r="R1551" s="11">
        <f>IF(OR(G1551="",Q1551=""),"",G1551/Q1551-1)</f>
        <v/>
      </c>
      <c r="S1551" s="10">
        <f>IF(OR(L1551="",J1551=""),"",L1551*J1551)</f>
        <v/>
      </c>
      <c r="T1551" s="10">
        <f>IF(P1551="","",StartBank+SUM(P$2:P1551))</f>
        <v/>
      </c>
    </row>
    <row r="1552">
      <c r="A1552" s="22" t="n"/>
      <c r="G1552" s="21" t="n"/>
      <c r="H1552" s="11" t="n"/>
      <c r="I1552" s="21">
        <f>IF(OR(H1552="",H1552=0),"",1/H1552)</f>
        <v/>
      </c>
      <c r="J1552" s="11">
        <f>IF(OR(G1552="",H1552=""),"",H1552*G1552-1)</f>
        <v/>
      </c>
      <c r="K1552" s="10">
        <f>IF(OR(G1552="",H1552="",G1552&lt;=1),"",IF(J1552&lt;IF(D1552="Builder",MinEdgeBuilder,IF(D1552="Player",MinEdgePlayer,MinEdgeSingle)),0,ROUND(MIN(IF(D1552="Single",KellySingle,KellyBuilder)*(StartBank+SUM(P$1:P1551))*J1552/(G1552-1),IF(D1552="Builder",CapBuilder,CapSingle)*Unit),2)))</f>
        <v/>
      </c>
      <c r="L1552" s="10" t="n"/>
      <c r="N1552" s="10" t="n"/>
      <c r="O1552" s="10">
        <f>IF(L1552="","",IF(M1552="Won",L1552*G1552,IF(M1552="Void",L1552,IF(M1552="Cash out",N(N1552),IF(M1552="Lost",0,"")))))</f>
        <v/>
      </c>
      <c r="P1552" s="10">
        <f>IF(OR(L1552="",M1552="",M1552="Pending"),"",O1552-L1552)</f>
        <v/>
      </c>
      <c r="Q1552" s="21" t="n"/>
      <c r="R1552" s="11">
        <f>IF(OR(G1552="",Q1552=""),"",G1552/Q1552-1)</f>
        <v/>
      </c>
      <c r="S1552" s="10">
        <f>IF(OR(L1552="",J1552=""),"",L1552*J1552)</f>
        <v/>
      </c>
      <c r="T1552" s="10">
        <f>IF(P1552="","",StartBank+SUM(P$2:P1552))</f>
        <v/>
      </c>
    </row>
    <row r="1553">
      <c r="A1553" s="22" t="n"/>
      <c r="G1553" s="21" t="n"/>
      <c r="H1553" s="11" t="n"/>
      <c r="I1553" s="21">
        <f>IF(OR(H1553="",H1553=0),"",1/H1553)</f>
        <v/>
      </c>
      <c r="J1553" s="11">
        <f>IF(OR(G1553="",H1553=""),"",H1553*G1553-1)</f>
        <v/>
      </c>
      <c r="K1553" s="10">
        <f>IF(OR(G1553="",H1553="",G1553&lt;=1),"",IF(J1553&lt;IF(D1553="Builder",MinEdgeBuilder,IF(D1553="Player",MinEdgePlayer,MinEdgeSingle)),0,ROUND(MIN(IF(D1553="Single",KellySingle,KellyBuilder)*(StartBank+SUM(P$1:P1552))*J1553/(G1553-1),IF(D1553="Builder",CapBuilder,CapSingle)*Unit),2)))</f>
        <v/>
      </c>
      <c r="L1553" s="10" t="n"/>
      <c r="N1553" s="10" t="n"/>
      <c r="O1553" s="10">
        <f>IF(L1553="","",IF(M1553="Won",L1553*G1553,IF(M1553="Void",L1553,IF(M1553="Cash out",N(N1553),IF(M1553="Lost",0,"")))))</f>
        <v/>
      </c>
      <c r="P1553" s="10">
        <f>IF(OR(L1553="",M1553="",M1553="Pending"),"",O1553-L1553)</f>
        <v/>
      </c>
      <c r="Q1553" s="21" t="n"/>
      <c r="R1553" s="11">
        <f>IF(OR(G1553="",Q1553=""),"",G1553/Q1553-1)</f>
        <v/>
      </c>
      <c r="S1553" s="10">
        <f>IF(OR(L1553="",J1553=""),"",L1553*J1553)</f>
        <v/>
      </c>
      <c r="T1553" s="10">
        <f>IF(P1553="","",StartBank+SUM(P$2:P1553))</f>
        <v/>
      </c>
    </row>
    <row r="1554">
      <c r="A1554" s="22" t="n"/>
      <c r="G1554" s="21" t="n"/>
      <c r="H1554" s="11" t="n"/>
      <c r="I1554" s="21">
        <f>IF(OR(H1554="",H1554=0),"",1/H1554)</f>
        <v/>
      </c>
      <c r="J1554" s="11">
        <f>IF(OR(G1554="",H1554=""),"",H1554*G1554-1)</f>
        <v/>
      </c>
      <c r="K1554" s="10">
        <f>IF(OR(G1554="",H1554="",G1554&lt;=1),"",IF(J1554&lt;IF(D1554="Builder",MinEdgeBuilder,IF(D1554="Player",MinEdgePlayer,MinEdgeSingle)),0,ROUND(MIN(IF(D1554="Single",KellySingle,KellyBuilder)*(StartBank+SUM(P$1:P1553))*J1554/(G1554-1),IF(D1554="Builder",CapBuilder,CapSingle)*Unit),2)))</f>
        <v/>
      </c>
      <c r="L1554" s="10" t="n"/>
      <c r="N1554" s="10" t="n"/>
      <c r="O1554" s="10">
        <f>IF(L1554="","",IF(M1554="Won",L1554*G1554,IF(M1554="Void",L1554,IF(M1554="Cash out",N(N1554),IF(M1554="Lost",0,"")))))</f>
        <v/>
      </c>
      <c r="P1554" s="10">
        <f>IF(OR(L1554="",M1554="",M1554="Pending"),"",O1554-L1554)</f>
        <v/>
      </c>
      <c r="Q1554" s="21" t="n"/>
      <c r="R1554" s="11">
        <f>IF(OR(G1554="",Q1554=""),"",G1554/Q1554-1)</f>
        <v/>
      </c>
      <c r="S1554" s="10">
        <f>IF(OR(L1554="",J1554=""),"",L1554*J1554)</f>
        <v/>
      </c>
      <c r="T1554" s="10">
        <f>IF(P1554="","",StartBank+SUM(P$2:P1554))</f>
        <v/>
      </c>
    </row>
    <row r="1555">
      <c r="A1555" s="22" t="n"/>
      <c r="G1555" s="21" t="n"/>
      <c r="H1555" s="11" t="n"/>
      <c r="I1555" s="21">
        <f>IF(OR(H1555="",H1555=0),"",1/H1555)</f>
        <v/>
      </c>
      <c r="J1555" s="11">
        <f>IF(OR(G1555="",H1555=""),"",H1555*G1555-1)</f>
        <v/>
      </c>
      <c r="K1555" s="10">
        <f>IF(OR(G1555="",H1555="",G1555&lt;=1),"",IF(J1555&lt;IF(D1555="Builder",MinEdgeBuilder,IF(D1555="Player",MinEdgePlayer,MinEdgeSingle)),0,ROUND(MIN(IF(D1555="Single",KellySingle,KellyBuilder)*(StartBank+SUM(P$1:P1554))*J1555/(G1555-1),IF(D1555="Builder",CapBuilder,CapSingle)*Unit),2)))</f>
        <v/>
      </c>
      <c r="L1555" s="10" t="n"/>
      <c r="N1555" s="10" t="n"/>
      <c r="O1555" s="10">
        <f>IF(L1555="","",IF(M1555="Won",L1555*G1555,IF(M1555="Void",L1555,IF(M1555="Cash out",N(N1555),IF(M1555="Lost",0,"")))))</f>
        <v/>
      </c>
      <c r="P1555" s="10">
        <f>IF(OR(L1555="",M1555="",M1555="Pending"),"",O1555-L1555)</f>
        <v/>
      </c>
      <c r="Q1555" s="21" t="n"/>
      <c r="R1555" s="11">
        <f>IF(OR(G1555="",Q1555=""),"",G1555/Q1555-1)</f>
        <v/>
      </c>
      <c r="S1555" s="10">
        <f>IF(OR(L1555="",J1555=""),"",L1555*J1555)</f>
        <v/>
      </c>
      <c r="T1555" s="10">
        <f>IF(P1555="","",StartBank+SUM(P$2:P1555))</f>
        <v/>
      </c>
    </row>
    <row r="1556">
      <c r="A1556" s="22" t="n"/>
      <c r="G1556" s="21" t="n"/>
      <c r="H1556" s="11" t="n"/>
      <c r="I1556" s="21">
        <f>IF(OR(H1556="",H1556=0),"",1/H1556)</f>
        <v/>
      </c>
      <c r="J1556" s="11">
        <f>IF(OR(G1556="",H1556=""),"",H1556*G1556-1)</f>
        <v/>
      </c>
      <c r="K1556" s="10">
        <f>IF(OR(G1556="",H1556="",G1556&lt;=1),"",IF(J1556&lt;IF(D1556="Builder",MinEdgeBuilder,IF(D1556="Player",MinEdgePlayer,MinEdgeSingle)),0,ROUND(MIN(IF(D1556="Single",KellySingle,KellyBuilder)*(StartBank+SUM(P$1:P1555))*J1556/(G1556-1),IF(D1556="Builder",CapBuilder,CapSingle)*Unit),2)))</f>
        <v/>
      </c>
      <c r="L1556" s="10" t="n"/>
      <c r="N1556" s="10" t="n"/>
      <c r="O1556" s="10">
        <f>IF(L1556="","",IF(M1556="Won",L1556*G1556,IF(M1556="Void",L1556,IF(M1556="Cash out",N(N1556),IF(M1556="Lost",0,"")))))</f>
        <v/>
      </c>
      <c r="P1556" s="10">
        <f>IF(OR(L1556="",M1556="",M1556="Pending"),"",O1556-L1556)</f>
        <v/>
      </c>
      <c r="Q1556" s="21" t="n"/>
      <c r="R1556" s="11">
        <f>IF(OR(G1556="",Q1556=""),"",G1556/Q1556-1)</f>
        <v/>
      </c>
      <c r="S1556" s="10">
        <f>IF(OR(L1556="",J1556=""),"",L1556*J1556)</f>
        <v/>
      </c>
      <c r="T1556" s="10">
        <f>IF(P1556="","",StartBank+SUM(P$2:P1556))</f>
        <v/>
      </c>
    </row>
    <row r="1557">
      <c r="A1557" s="22" t="n"/>
      <c r="G1557" s="21" t="n"/>
      <c r="H1557" s="11" t="n"/>
      <c r="I1557" s="21">
        <f>IF(OR(H1557="",H1557=0),"",1/H1557)</f>
        <v/>
      </c>
      <c r="J1557" s="11">
        <f>IF(OR(G1557="",H1557=""),"",H1557*G1557-1)</f>
        <v/>
      </c>
      <c r="K1557" s="10">
        <f>IF(OR(G1557="",H1557="",G1557&lt;=1),"",IF(J1557&lt;IF(D1557="Builder",MinEdgeBuilder,IF(D1557="Player",MinEdgePlayer,MinEdgeSingle)),0,ROUND(MIN(IF(D1557="Single",KellySingle,KellyBuilder)*(StartBank+SUM(P$1:P1556))*J1557/(G1557-1),IF(D1557="Builder",CapBuilder,CapSingle)*Unit),2)))</f>
        <v/>
      </c>
      <c r="L1557" s="10" t="n"/>
      <c r="N1557" s="10" t="n"/>
      <c r="O1557" s="10">
        <f>IF(L1557="","",IF(M1557="Won",L1557*G1557,IF(M1557="Void",L1557,IF(M1557="Cash out",N(N1557),IF(M1557="Lost",0,"")))))</f>
        <v/>
      </c>
      <c r="P1557" s="10">
        <f>IF(OR(L1557="",M1557="",M1557="Pending"),"",O1557-L1557)</f>
        <v/>
      </c>
      <c r="Q1557" s="21" t="n"/>
      <c r="R1557" s="11">
        <f>IF(OR(G1557="",Q1557=""),"",G1557/Q1557-1)</f>
        <v/>
      </c>
      <c r="S1557" s="10">
        <f>IF(OR(L1557="",J1557=""),"",L1557*J1557)</f>
        <v/>
      </c>
      <c r="T1557" s="10">
        <f>IF(P1557="","",StartBank+SUM(P$2:P1557))</f>
        <v/>
      </c>
    </row>
    <row r="1558">
      <c r="A1558" s="22" t="n"/>
      <c r="G1558" s="21" t="n"/>
      <c r="H1558" s="11" t="n"/>
      <c r="I1558" s="21">
        <f>IF(OR(H1558="",H1558=0),"",1/H1558)</f>
        <v/>
      </c>
      <c r="J1558" s="11">
        <f>IF(OR(G1558="",H1558=""),"",H1558*G1558-1)</f>
        <v/>
      </c>
      <c r="K1558" s="10">
        <f>IF(OR(G1558="",H1558="",G1558&lt;=1),"",IF(J1558&lt;IF(D1558="Builder",MinEdgeBuilder,IF(D1558="Player",MinEdgePlayer,MinEdgeSingle)),0,ROUND(MIN(IF(D1558="Single",KellySingle,KellyBuilder)*(StartBank+SUM(P$1:P1557))*J1558/(G1558-1),IF(D1558="Builder",CapBuilder,CapSingle)*Unit),2)))</f>
        <v/>
      </c>
      <c r="L1558" s="10" t="n"/>
      <c r="N1558" s="10" t="n"/>
      <c r="O1558" s="10">
        <f>IF(L1558="","",IF(M1558="Won",L1558*G1558,IF(M1558="Void",L1558,IF(M1558="Cash out",N(N1558),IF(M1558="Lost",0,"")))))</f>
        <v/>
      </c>
      <c r="P1558" s="10">
        <f>IF(OR(L1558="",M1558="",M1558="Pending"),"",O1558-L1558)</f>
        <v/>
      </c>
      <c r="Q1558" s="21" t="n"/>
      <c r="R1558" s="11">
        <f>IF(OR(G1558="",Q1558=""),"",G1558/Q1558-1)</f>
        <v/>
      </c>
      <c r="S1558" s="10">
        <f>IF(OR(L1558="",J1558=""),"",L1558*J1558)</f>
        <v/>
      </c>
      <c r="T1558" s="10">
        <f>IF(P1558="","",StartBank+SUM(P$2:P1558))</f>
        <v/>
      </c>
    </row>
    <row r="1559">
      <c r="A1559" s="22" t="n"/>
      <c r="G1559" s="21" t="n"/>
      <c r="H1559" s="11" t="n"/>
      <c r="I1559" s="21">
        <f>IF(OR(H1559="",H1559=0),"",1/H1559)</f>
        <v/>
      </c>
      <c r="J1559" s="11">
        <f>IF(OR(G1559="",H1559=""),"",H1559*G1559-1)</f>
        <v/>
      </c>
      <c r="K1559" s="10">
        <f>IF(OR(G1559="",H1559="",G1559&lt;=1),"",IF(J1559&lt;IF(D1559="Builder",MinEdgeBuilder,IF(D1559="Player",MinEdgePlayer,MinEdgeSingle)),0,ROUND(MIN(IF(D1559="Single",KellySingle,KellyBuilder)*(StartBank+SUM(P$1:P1558))*J1559/(G1559-1),IF(D1559="Builder",CapBuilder,CapSingle)*Unit),2)))</f>
        <v/>
      </c>
      <c r="L1559" s="10" t="n"/>
      <c r="N1559" s="10" t="n"/>
      <c r="O1559" s="10">
        <f>IF(L1559="","",IF(M1559="Won",L1559*G1559,IF(M1559="Void",L1559,IF(M1559="Cash out",N(N1559),IF(M1559="Lost",0,"")))))</f>
        <v/>
      </c>
      <c r="P1559" s="10">
        <f>IF(OR(L1559="",M1559="",M1559="Pending"),"",O1559-L1559)</f>
        <v/>
      </c>
      <c r="Q1559" s="21" t="n"/>
      <c r="R1559" s="11">
        <f>IF(OR(G1559="",Q1559=""),"",G1559/Q1559-1)</f>
        <v/>
      </c>
      <c r="S1559" s="10">
        <f>IF(OR(L1559="",J1559=""),"",L1559*J1559)</f>
        <v/>
      </c>
      <c r="T1559" s="10">
        <f>IF(P1559="","",StartBank+SUM(P$2:P1559))</f>
        <v/>
      </c>
    </row>
    <row r="1560">
      <c r="A1560" s="22" t="n"/>
      <c r="G1560" s="21" t="n"/>
      <c r="H1560" s="11" t="n"/>
      <c r="I1560" s="21">
        <f>IF(OR(H1560="",H1560=0),"",1/H1560)</f>
        <v/>
      </c>
      <c r="J1560" s="11">
        <f>IF(OR(G1560="",H1560=""),"",H1560*G1560-1)</f>
        <v/>
      </c>
      <c r="K1560" s="10">
        <f>IF(OR(G1560="",H1560="",G1560&lt;=1),"",IF(J1560&lt;IF(D1560="Builder",MinEdgeBuilder,IF(D1560="Player",MinEdgePlayer,MinEdgeSingle)),0,ROUND(MIN(IF(D1560="Single",KellySingle,KellyBuilder)*(StartBank+SUM(P$1:P1559))*J1560/(G1560-1),IF(D1560="Builder",CapBuilder,CapSingle)*Unit),2)))</f>
        <v/>
      </c>
      <c r="L1560" s="10" t="n"/>
      <c r="N1560" s="10" t="n"/>
      <c r="O1560" s="10">
        <f>IF(L1560="","",IF(M1560="Won",L1560*G1560,IF(M1560="Void",L1560,IF(M1560="Cash out",N(N1560),IF(M1560="Lost",0,"")))))</f>
        <v/>
      </c>
      <c r="P1560" s="10">
        <f>IF(OR(L1560="",M1560="",M1560="Pending"),"",O1560-L1560)</f>
        <v/>
      </c>
      <c r="Q1560" s="21" t="n"/>
      <c r="R1560" s="11">
        <f>IF(OR(G1560="",Q1560=""),"",G1560/Q1560-1)</f>
        <v/>
      </c>
      <c r="S1560" s="10">
        <f>IF(OR(L1560="",J1560=""),"",L1560*J1560)</f>
        <v/>
      </c>
      <c r="T1560" s="10">
        <f>IF(P1560="","",StartBank+SUM(P$2:P1560))</f>
        <v/>
      </c>
    </row>
    <row r="1561">
      <c r="A1561" s="22" t="n"/>
      <c r="G1561" s="21" t="n"/>
      <c r="H1561" s="11" t="n"/>
      <c r="I1561" s="21">
        <f>IF(OR(H1561="",H1561=0),"",1/H1561)</f>
        <v/>
      </c>
      <c r="J1561" s="11">
        <f>IF(OR(G1561="",H1561=""),"",H1561*G1561-1)</f>
        <v/>
      </c>
      <c r="K1561" s="10">
        <f>IF(OR(G1561="",H1561="",G1561&lt;=1),"",IF(J1561&lt;IF(D1561="Builder",MinEdgeBuilder,IF(D1561="Player",MinEdgePlayer,MinEdgeSingle)),0,ROUND(MIN(IF(D1561="Single",KellySingle,KellyBuilder)*(StartBank+SUM(P$1:P1560))*J1561/(G1561-1),IF(D1561="Builder",CapBuilder,CapSingle)*Unit),2)))</f>
        <v/>
      </c>
      <c r="L1561" s="10" t="n"/>
      <c r="N1561" s="10" t="n"/>
      <c r="O1561" s="10">
        <f>IF(L1561="","",IF(M1561="Won",L1561*G1561,IF(M1561="Void",L1561,IF(M1561="Cash out",N(N1561),IF(M1561="Lost",0,"")))))</f>
        <v/>
      </c>
      <c r="P1561" s="10">
        <f>IF(OR(L1561="",M1561="",M1561="Pending"),"",O1561-L1561)</f>
        <v/>
      </c>
      <c r="Q1561" s="21" t="n"/>
      <c r="R1561" s="11">
        <f>IF(OR(G1561="",Q1561=""),"",G1561/Q1561-1)</f>
        <v/>
      </c>
      <c r="S1561" s="10">
        <f>IF(OR(L1561="",J1561=""),"",L1561*J1561)</f>
        <v/>
      </c>
      <c r="T1561" s="10">
        <f>IF(P1561="","",StartBank+SUM(P$2:P1561))</f>
        <v/>
      </c>
    </row>
    <row r="1562">
      <c r="A1562" s="22" t="n"/>
      <c r="G1562" s="21" t="n"/>
      <c r="H1562" s="11" t="n"/>
      <c r="I1562" s="21">
        <f>IF(OR(H1562="",H1562=0),"",1/H1562)</f>
        <v/>
      </c>
      <c r="J1562" s="11">
        <f>IF(OR(G1562="",H1562=""),"",H1562*G1562-1)</f>
        <v/>
      </c>
      <c r="K1562" s="10">
        <f>IF(OR(G1562="",H1562="",G1562&lt;=1),"",IF(J1562&lt;IF(D1562="Builder",MinEdgeBuilder,IF(D1562="Player",MinEdgePlayer,MinEdgeSingle)),0,ROUND(MIN(IF(D1562="Single",KellySingle,KellyBuilder)*(StartBank+SUM(P$1:P1561))*J1562/(G1562-1),IF(D1562="Builder",CapBuilder,CapSingle)*Unit),2)))</f>
        <v/>
      </c>
      <c r="L1562" s="10" t="n"/>
      <c r="N1562" s="10" t="n"/>
      <c r="O1562" s="10">
        <f>IF(L1562="","",IF(M1562="Won",L1562*G1562,IF(M1562="Void",L1562,IF(M1562="Cash out",N(N1562),IF(M1562="Lost",0,"")))))</f>
        <v/>
      </c>
      <c r="P1562" s="10">
        <f>IF(OR(L1562="",M1562="",M1562="Pending"),"",O1562-L1562)</f>
        <v/>
      </c>
      <c r="Q1562" s="21" t="n"/>
      <c r="R1562" s="11">
        <f>IF(OR(G1562="",Q1562=""),"",G1562/Q1562-1)</f>
        <v/>
      </c>
      <c r="S1562" s="10">
        <f>IF(OR(L1562="",J1562=""),"",L1562*J1562)</f>
        <v/>
      </c>
      <c r="T1562" s="10">
        <f>IF(P1562="","",StartBank+SUM(P$2:P1562))</f>
        <v/>
      </c>
    </row>
    <row r="1563">
      <c r="A1563" s="22" t="n"/>
      <c r="G1563" s="21" t="n"/>
      <c r="H1563" s="11" t="n"/>
      <c r="I1563" s="21">
        <f>IF(OR(H1563="",H1563=0),"",1/H1563)</f>
        <v/>
      </c>
      <c r="J1563" s="11">
        <f>IF(OR(G1563="",H1563=""),"",H1563*G1563-1)</f>
        <v/>
      </c>
      <c r="K1563" s="10">
        <f>IF(OR(G1563="",H1563="",G1563&lt;=1),"",IF(J1563&lt;IF(D1563="Builder",MinEdgeBuilder,IF(D1563="Player",MinEdgePlayer,MinEdgeSingle)),0,ROUND(MIN(IF(D1563="Single",KellySingle,KellyBuilder)*(StartBank+SUM(P$1:P1562))*J1563/(G1563-1),IF(D1563="Builder",CapBuilder,CapSingle)*Unit),2)))</f>
        <v/>
      </c>
      <c r="L1563" s="10" t="n"/>
      <c r="N1563" s="10" t="n"/>
      <c r="O1563" s="10">
        <f>IF(L1563="","",IF(M1563="Won",L1563*G1563,IF(M1563="Void",L1563,IF(M1563="Cash out",N(N1563),IF(M1563="Lost",0,"")))))</f>
        <v/>
      </c>
      <c r="P1563" s="10">
        <f>IF(OR(L1563="",M1563="",M1563="Pending"),"",O1563-L1563)</f>
        <v/>
      </c>
      <c r="Q1563" s="21" t="n"/>
      <c r="R1563" s="11">
        <f>IF(OR(G1563="",Q1563=""),"",G1563/Q1563-1)</f>
        <v/>
      </c>
      <c r="S1563" s="10">
        <f>IF(OR(L1563="",J1563=""),"",L1563*J1563)</f>
        <v/>
      </c>
      <c r="T1563" s="10">
        <f>IF(P1563="","",StartBank+SUM(P$2:P1563))</f>
        <v/>
      </c>
    </row>
    <row r="1564">
      <c r="A1564" s="22" t="n"/>
      <c r="G1564" s="21" t="n"/>
      <c r="H1564" s="11" t="n"/>
      <c r="I1564" s="21">
        <f>IF(OR(H1564="",H1564=0),"",1/H1564)</f>
        <v/>
      </c>
      <c r="J1564" s="11">
        <f>IF(OR(G1564="",H1564=""),"",H1564*G1564-1)</f>
        <v/>
      </c>
      <c r="K1564" s="10">
        <f>IF(OR(G1564="",H1564="",G1564&lt;=1),"",IF(J1564&lt;IF(D1564="Builder",MinEdgeBuilder,IF(D1564="Player",MinEdgePlayer,MinEdgeSingle)),0,ROUND(MIN(IF(D1564="Single",KellySingle,KellyBuilder)*(StartBank+SUM(P$1:P1563))*J1564/(G1564-1),IF(D1564="Builder",CapBuilder,CapSingle)*Unit),2)))</f>
        <v/>
      </c>
      <c r="L1564" s="10" t="n"/>
      <c r="N1564" s="10" t="n"/>
      <c r="O1564" s="10">
        <f>IF(L1564="","",IF(M1564="Won",L1564*G1564,IF(M1564="Void",L1564,IF(M1564="Cash out",N(N1564),IF(M1564="Lost",0,"")))))</f>
        <v/>
      </c>
      <c r="P1564" s="10">
        <f>IF(OR(L1564="",M1564="",M1564="Pending"),"",O1564-L1564)</f>
        <v/>
      </c>
      <c r="Q1564" s="21" t="n"/>
      <c r="R1564" s="11">
        <f>IF(OR(G1564="",Q1564=""),"",G1564/Q1564-1)</f>
        <v/>
      </c>
      <c r="S1564" s="10">
        <f>IF(OR(L1564="",J1564=""),"",L1564*J1564)</f>
        <v/>
      </c>
      <c r="T1564" s="10">
        <f>IF(P1564="","",StartBank+SUM(P$2:P1564))</f>
        <v/>
      </c>
    </row>
    <row r="1565">
      <c r="A1565" s="22" t="n"/>
      <c r="G1565" s="21" t="n"/>
      <c r="H1565" s="11" t="n"/>
      <c r="I1565" s="21">
        <f>IF(OR(H1565="",H1565=0),"",1/H1565)</f>
        <v/>
      </c>
      <c r="J1565" s="11">
        <f>IF(OR(G1565="",H1565=""),"",H1565*G1565-1)</f>
        <v/>
      </c>
      <c r="K1565" s="10">
        <f>IF(OR(G1565="",H1565="",G1565&lt;=1),"",IF(J1565&lt;IF(D1565="Builder",MinEdgeBuilder,IF(D1565="Player",MinEdgePlayer,MinEdgeSingle)),0,ROUND(MIN(IF(D1565="Single",KellySingle,KellyBuilder)*(StartBank+SUM(P$1:P1564))*J1565/(G1565-1),IF(D1565="Builder",CapBuilder,CapSingle)*Unit),2)))</f>
        <v/>
      </c>
      <c r="L1565" s="10" t="n"/>
      <c r="N1565" s="10" t="n"/>
      <c r="O1565" s="10">
        <f>IF(L1565="","",IF(M1565="Won",L1565*G1565,IF(M1565="Void",L1565,IF(M1565="Cash out",N(N1565),IF(M1565="Lost",0,"")))))</f>
        <v/>
      </c>
      <c r="P1565" s="10">
        <f>IF(OR(L1565="",M1565="",M1565="Pending"),"",O1565-L1565)</f>
        <v/>
      </c>
      <c r="Q1565" s="21" t="n"/>
      <c r="R1565" s="11">
        <f>IF(OR(G1565="",Q1565=""),"",G1565/Q1565-1)</f>
        <v/>
      </c>
      <c r="S1565" s="10">
        <f>IF(OR(L1565="",J1565=""),"",L1565*J1565)</f>
        <v/>
      </c>
      <c r="T1565" s="10">
        <f>IF(P1565="","",StartBank+SUM(P$2:P1565))</f>
        <v/>
      </c>
    </row>
    <row r="1566">
      <c r="A1566" s="22" t="n"/>
      <c r="G1566" s="21" t="n"/>
      <c r="H1566" s="11" t="n"/>
      <c r="I1566" s="21">
        <f>IF(OR(H1566="",H1566=0),"",1/H1566)</f>
        <v/>
      </c>
      <c r="J1566" s="11">
        <f>IF(OR(G1566="",H1566=""),"",H1566*G1566-1)</f>
        <v/>
      </c>
      <c r="K1566" s="10">
        <f>IF(OR(G1566="",H1566="",G1566&lt;=1),"",IF(J1566&lt;IF(D1566="Builder",MinEdgeBuilder,IF(D1566="Player",MinEdgePlayer,MinEdgeSingle)),0,ROUND(MIN(IF(D1566="Single",KellySingle,KellyBuilder)*(StartBank+SUM(P$1:P1565))*J1566/(G1566-1),IF(D1566="Builder",CapBuilder,CapSingle)*Unit),2)))</f>
        <v/>
      </c>
      <c r="L1566" s="10" t="n"/>
      <c r="N1566" s="10" t="n"/>
      <c r="O1566" s="10">
        <f>IF(L1566="","",IF(M1566="Won",L1566*G1566,IF(M1566="Void",L1566,IF(M1566="Cash out",N(N1566),IF(M1566="Lost",0,"")))))</f>
        <v/>
      </c>
      <c r="P1566" s="10">
        <f>IF(OR(L1566="",M1566="",M1566="Pending"),"",O1566-L1566)</f>
        <v/>
      </c>
      <c r="Q1566" s="21" t="n"/>
      <c r="R1566" s="11">
        <f>IF(OR(G1566="",Q1566=""),"",G1566/Q1566-1)</f>
        <v/>
      </c>
      <c r="S1566" s="10">
        <f>IF(OR(L1566="",J1566=""),"",L1566*J1566)</f>
        <v/>
      </c>
      <c r="T1566" s="10">
        <f>IF(P1566="","",StartBank+SUM(P$2:P1566))</f>
        <v/>
      </c>
    </row>
    <row r="1567">
      <c r="A1567" s="22" t="n"/>
      <c r="G1567" s="21" t="n"/>
      <c r="H1567" s="11" t="n"/>
      <c r="I1567" s="21">
        <f>IF(OR(H1567="",H1567=0),"",1/H1567)</f>
        <v/>
      </c>
      <c r="J1567" s="11">
        <f>IF(OR(G1567="",H1567=""),"",H1567*G1567-1)</f>
        <v/>
      </c>
      <c r="K1567" s="10">
        <f>IF(OR(G1567="",H1567="",G1567&lt;=1),"",IF(J1567&lt;IF(D1567="Builder",MinEdgeBuilder,IF(D1567="Player",MinEdgePlayer,MinEdgeSingle)),0,ROUND(MIN(IF(D1567="Single",KellySingle,KellyBuilder)*(StartBank+SUM(P$1:P1566))*J1567/(G1567-1),IF(D1567="Builder",CapBuilder,CapSingle)*Unit),2)))</f>
        <v/>
      </c>
      <c r="L1567" s="10" t="n"/>
      <c r="N1567" s="10" t="n"/>
      <c r="O1567" s="10">
        <f>IF(L1567="","",IF(M1567="Won",L1567*G1567,IF(M1567="Void",L1567,IF(M1567="Cash out",N(N1567),IF(M1567="Lost",0,"")))))</f>
        <v/>
      </c>
      <c r="P1567" s="10">
        <f>IF(OR(L1567="",M1567="",M1567="Pending"),"",O1567-L1567)</f>
        <v/>
      </c>
      <c r="Q1567" s="21" t="n"/>
      <c r="R1567" s="11">
        <f>IF(OR(G1567="",Q1567=""),"",G1567/Q1567-1)</f>
        <v/>
      </c>
      <c r="S1567" s="10">
        <f>IF(OR(L1567="",J1567=""),"",L1567*J1567)</f>
        <v/>
      </c>
      <c r="T1567" s="10">
        <f>IF(P1567="","",StartBank+SUM(P$2:P1567))</f>
        <v/>
      </c>
    </row>
    <row r="1568">
      <c r="A1568" s="22" t="n"/>
      <c r="G1568" s="21" t="n"/>
      <c r="H1568" s="11" t="n"/>
      <c r="I1568" s="21">
        <f>IF(OR(H1568="",H1568=0),"",1/H1568)</f>
        <v/>
      </c>
      <c r="J1568" s="11">
        <f>IF(OR(G1568="",H1568=""),"",H1568*G1568-1)</f>
        <v/>
      </c>
      <c r="K1568" s="10">
        <f>IF(OR(G1568="",H1568="",G1568&lt;=1),"",IF(J1568&lt;IF(D1568="Builder",MinEdgeBuilder,IF(D1568="Player",MinEdgePlayer,MinEdgeSingle)),0,ROUND(MIN(IF(D1568="Single",KellySingle,KellyBuilder)*(StartBank+SUM(P$1:P1567))*J1568/(G1568-1),IF(D1568="Builder",CapBuilder,CapSingle)*Unit),2)))</f>
        <v/>
      </c>
      <c r="L1568" s="10" t="n"/>
      <c r="N1568" s="10" t="n"/>
      <c r="O1568" s="10">
        <f>IF(L1568="","",IF(M1568="Won",L1568*G1568,IF(M1568="Void",L1568,IF(M1568="Cash out",N(N1568),IF(M1568="Lost",0,"")))))</f>
        <v/>
      </c>
      <c r="P1568" s="10">
        <f>IF(OR(L1568="",M1568="",M1568="Pending"),"",O1568-L1568)</f>
        <v/>
      </c>
      <c r="Q1568" s="21" t="n"/>
      <c r="R1568" s="11">
        <f>IF(OR(G1568="",Q1568=""),"",G1568/Q1568-1)</f>
        <v/>
      </c>
      <c r="S1568" s="10">
        <f>IF(OR(L1568="",J1568=""),"",L1568*J1568)</f>
        <v/>
      </c>
      <c r="T1568" s="10">
        <f>IF(P1568="","",StartBank+SUM(P$2:P1568))</f>
        <v/>
      </c>
    </row>
    <row r="1569">
      <c r="A1569" s="22" t="n"/>
      <c r="G1569" s="21" t="n"/>
      <c r="H1569" s="11" t="n"/>
      <c r="I1569" s="21">
        <f>IF(OR(H1569="",H1569=0),"",1/H1569)</f>
        <v/>
      </c>
      <c r="J1569" s="11">
        <f>IF(OR(G1569="",H1569=""),"",H1569*G1569-1)</f>
        <v/>
      </c>
      <c r="K1569" s="10">
        <f>IF(OR(G1569="",H1569="",G1569&lt;=1),"",IF(J1569&lt;IF(D1569="Builder",MinEdgeBuilder,IF(D1569="Player",MinEdgePlayer,MinEdgeSingle)),0,ROUND(MIN(IF(D1569="Single",KellySingle,KellyBuilder)*(StartBank+SUM(P$1:P1568))*J1569/(G1569-1),IF(D1569="Builder",CapBuilder,CapSingle)*Unit),2)))</f>
        <v/>
      </c>
      <c r="L1569" s="10" t="n"/>
      <c r="N1569" s="10" t="n"/>
      <c r="O1569" s="10">
        <f>IF(L1569="","",IF(M1569="Won",L1569*G1569,IF(M1569="Void",L1569,IF(M1569="Cash out",N(N1569),IF(M1569="Lost",0,"")))))</f>
        <v/>
      </c>
      <c r="P1569" s="10">
        <f>IF(OR(L1569="",M1569="",M1569="Pending"),"",O1569-L1569)</f>
        <v/>
      </c>
      <c r="Q1569" s="21" t="n"/>
      <c r="R1569" s="11">
        <f>IF(OR(G1569="",Q1569=""),"",G1569/Q1569-1)</f>
        <v/>
      </c>
      <c r="S1569" s="10">
        <f>IF(OR(L1569="",J1569=""),"",L1569*J1569)</f>
        <v/>
      </c>
      <c r="T1569" s="10">
        <f>IF(P1569="","",StartBank+SUM(P$2:P1569))</f>
        <v/>
      </c>
    </row>
    <row r="1570">
      <c r="A1570" s="22" t="n"/>
      <c r="G1570" s="21" t="n"/>
      <c r="H1570" s="11" t="n"/>
      <c r="I1570" s="21">
        <f>IF(OR(H1570="",H1570=0),"",1/H1570)</f>
        <v/>
      </c>
      <c r="J1570" s="11">
        <f>IF(OR(G1570="",H1570=""),"",H1570*G1570-1)</f>
        <v/>
      </c>
      <c r="K1570" s="10">
        <f>IF(OR(G1570="",H1570="",G1570&lt;=1),"",IF(J1570&lt;IF(D1570="Builder",MinEdgeBuilder,IF(D1570="Player",MinEdgePlayer,MinEdgeSingle)),0,ROUND(MIN(IF(D1570="Single",KellySingle,KellyBuilder)*(StartBank+SUM(P$1:P1569))*J1570/(G1570-1),IF(D1570="Builder",CapBuilder,CapSingle)*Unit),2)))</f>
        <v/>
      </c>
      <c r="L1570" s="10" t="n"/>
      <c r="N1570" s="10" t="n"/>
      <c r="O1570" s="10">
        <f>IF(L1570="","",IF(M1570="Won",L1570*G1570,IF(M1570="Void",L1570,IF(M1570="Cash out",N(N1570),IF(M1570="Lost",0,"")))))</f>
        <v/>
      </c>
      <c r="P1570" s="10">
        <f>IF(OR(L1570="",M1570="",M1570="Pending"),"",O1570-L1570)</f>
        <v/>
      </c>
      <c r="Q1570" s="21" t="n"/>
      <c r="R1570" s="11">
        <f>IF(OR(G1570="",Q1570=""),"",G1570/Q1570-1)</f>
        <v/>
      </c>
      <c r="S1570" s="10">
        <f>IF(OR(L1570="",J1570=""),"",L1570*J1570)</f>
        <v/>
      </c>
      <c r="T1570" s="10">
        <f>IF(P1570="","",StartBank+SUM(P$2:P1570))</f>
        <v/>
      </c>
    </row>
    <row r="1571">
      <c r="A1571" s="22" t="n"/>
      <c r="G1571" s="21" t="n"/>
      <c r="H1571" s="11" t="n"/>
      <c r="I1571" s="21">
        <f>IF(OR(H1571="",H1571=0),"",1/H1571)</f>
        <v/>
      </c>
      <c r="J1571" s="11">
        <f>IF(OR(G1571="",H1571=""),"",H1571*G1571-1)</f>
        <v/>
      </c>
      <c r="K1571" s="10">
        <f>IF(OR(G1571="",H1571="",G1571&lt;=1),"",IF(J1571&lt;IF(D1571="Builder",MinEdgeBuilder,IF(D1571="Player",MinEdgePlayer,MinEdgeSingle)),0,ROUND(MIN(IF(D1571="Single",KellySingle,KellyBuilder)*(StartBank+SUM(P$1:P1570))*J1571/(G1571-1),IF(D1571="Builder",CapBuilder,CapSingle)*Unit),2)))</f>
        <v/>
      </c>
      <c r="L1571" s="10" t="n"/>
      <c r="N1571" s="10" t="n"/>
      <c r="O1571" s="10">
        <f>IF(L1571="","",IF(M1571="Won",L1571*G1571,IF(M1571="Void",L1571,IF(M1571="Cash out",N(N1571),IF(M1571="Lost",0,"")))))</f>
        <v/>
      </c>
      <c r="P1571" s="10">
        <f>IF(OR(L1571="",M1571="",M1571="Pending"),"",O1571-L1571)</f>
        <v/>
      </c>
      <c r="Q1571" s="21" t="n"/>
      <c r="R1571" s="11">
        <f>IF(OR(G1571="",Q1571=""),"",G1571/Q1571-1)</f>
        <v/>
      </c>
      <c r="S1571" s="10">
        <f>IF(OR(L1571="",J1571=""),"",L1571*J1571)</f>
        <v/>
      </c>
      <c r="T1571" s="10">
        <f>IF(P1571="","",StartBank+SUM(P$2:P1571))</f>
        <v/>
      </c>
    </row>
    <row r="1572">
      <c r="A1572" s="22" t="n"/>
      <c r="G1572" s="21" t="n"/>
      <c r="H1572" s="11" t="n"/>
      <c r="I1572" s="21">
        <f>IF(OR(H1572="",H1572=0),"",1/H1572)</f>
        <v/>
      </c>
      <c r="J1572" s="11">
        <f>IF(OR(G1572="",H1572=""),"",H1572*G1572-1)</f>
        <v/>
      </c>
      <c r="K1572" s="10">
        <f>IF(OR(G1572="",H1572="",G1572&lt;=1),"",IF(J1572&lt;IF(D1572="Builder",MinEdgeBuilder,IF(D1572="Player",MinEdgePlayer,MinEdgeSingle)),0,ROUND(MIN(IF(D1572="Single",KellySingle,KellyBuilder)*(StartBank+SUM(P$1:P1571))*J1572/(G1572-1),IF(D1572="Builder",CapBuilder,CapSingle)*Unit),2)))</f>
        <v/>
      </c>
      <c r="L1572" s="10" t="n"/>
      <c r="N1572" s="10" t="n"/>
      <c r="O1572" s="10">
        <f>IF(L1572="","",IF(M1572="Won",L1572*G1572,IF(M1572="Void",L1572,IF(M1572="Cash out",N(N1572),IF(M1572="Lost",0,"")))))</f>
        <v/>
      </c>
      <c r="P1572" s="10">
        <f>IF(OR(L1572="",M1572="",M1572="Pending"),"",O1572-L1572)</f>
        <v/>
      </c>
      <c r="Q1572" s="21" t="n"/>
      <c r="R1572" s="11">
        <f>IF(OR(G1572="",Q1572=""),"",G1572/Q1572-1)</f>
        <v/>
      </c>
      <c r="S1572" s="10">
        <f>IF(OR(L1572="",J1572=""),"",L1572*J1572)</f>
        <v/>
      </c>
      <c r="T1572" s="10">
        <f>IF(P1572="","",StartBank+SUM(P$2:P1572))</f>
        <v/>
      </c>
    </row>
    <row r="1573">
      <c r="A1573" s="22" t="n"/>
      <c r="G1573" s="21" t="n"/>
      <c r="H1573" s="11" t="n"/>
      <c r="I1573" s="21">
        <f>IF(OR(H1573="",H1573=0),"",1/H1573)</f>
        <v/>
      </c>
      <c r="J1573" s="11">
        <f>IF(OR(G1573="",H1573=""),"",H1573*G1573-1)</f>
        <v/>
      </c>
      <c r="K1573" s="10">
        <f>IF(OR(G1573="",H1573="",G1573&lt;=1),"",IF(J1573&lt;IF(D1573="Builder",MinEdgeBuilder,IF(D1573="Player",MinEdgePlayer,MinEdgeSingle)),0,ROUND(MIN(IF(D1573="Single",KellySingle,KellyBuilder)*(StartBank+SUM(P$1:P1572))*J1573/(G1573-1),IF(D1573="Builder",CapBuilder,CapSingle)*Unit),2)))</f>
        <v/>
      </c>
      <c r="L1573" s="10" t="n"/>
      <c r="N1573" s="10" t="n"/>
      <c r="O1573" s="10">
        <f>IF(L1573="","",IF(M1573="Won",L1573*G1573,IF(M1573="Void",L1573,IF(M1573="Cash out",N(N1573),IF(M1573="Lost",0,"")))))</f>
        <v/>
      </c>
      <c r="P1573" s="10">
        <f>IF(OR(L1573="",M1573="",M1573="Pending"),"",O1573-L1573)</f>
        <v/>
      </c>
      <c r="Q1573" s="21" t="n"/>
      <c r="R1573" s="11">
        <f>IF(OR(G1573="",Q1573=""),"",G1573/Q1573-1)</f>
        <v/>
      </c>
      <c r="S1573" s="10">
        <f>IF(OR(L1573="",J1573=""),"",L1573*J1573)</f>
        <v/>
      </c>
      <c r="T1573" s="10">
        <f>IF(P1573="","",StartBank+SUM(P$2:P1573))</f>
        <v/>
      </c>
    </row>
    <row r="1574">
      <c r="A1574" s="22" t="n"/>
      <c r="G1574" s="21" t="n"/>
      <c r="H1574" s="11" t="n"/>
      <c r="I1574" s="21">
        <f>IF(OR(H1574="",H1574=0),"",1/H1574)</f>
        <v/>
      </c>
      <c r="J1574" s="11">
        <f>IF(OR(G1574="",H1574=""),"",H1574*G1574-1)</f>
        <v/>
      </c>
      <c r="K1574" s="10">
        <f>IF(OR(G1574="",H1574="",G1574&lt;=1),"",IF(J1574&lt;IF(D1574="Builder",MinEdgeBuilder,IF(D1574="Player",MinEdgePlayer,MinEdgeSingle)),0,ROUND(MIN(IF(D1574="Single",KellySingle,KellyBuilder)*(StartBank+SUM(P$1:P1573))*J1574/(G1574-1),IF(D1574="Builder",CapBuilder,CapSingle)*Unit),2)))</f>
        <v/>
      </c>
      <c r="L1574" s="10" t="n"/>
      <c r="N1574" s="10" t="n"/>
      <c r="O1574" s="10">
        <f>IF(L1574="","",IF(M1574="Won",L1574*G1574,IF(M1574="Void",L1574,IF(M1574="Cash out",N(N1574),IF(M1574="Lost",0,"")))))</f>
        <v/>
      </c>
      <c r="P1574" s="10">
        <f>IF(OR(L1574="",M1574="",M1574="Pending"),"",O1574-L1574)</f>
        <v/>
      </c>
      <c r="Q1574" s="21" t="n"/>
      <c r="R1574" s="11">
        <f>IF(OR(G1574="",Q1574=""),"",G1574/Q1574-1)</f>
        <v/>
      </c>
      <c r="S1574" s="10">
        <f>IF(OR(L1574="",J1574=""),"",L1574*J1574)</f>
        <v/>
      </c>
      <c r="T1574" s="10">
        <f>IF(P1574="","",StartBank+SUM(P$2:P1574))</f>
        <v/>
      </c>
    </row>
    <row r="1575">
      <c r="A1575" s="22" t="n"/>
      <c r="G1575" s="21" t="n"/>
      <c r="H1575" s="11" t="n"/>
      <c r="I1575" s="21">
        <f>IF(OR(H1575="",H1575=0),"",1/H1575)</f>
        <v/>
      </c>
      <c r="J1575" s="11">
        <f>IF(OR(G1575="",H1575=""),"",H1575*G1575-1)</f>
        <v/>
      </c>
      <c r="K1575" s="10">
        <f>IF(OR(G1575="",H1575="",G1575&lt;=1),"",IF(J1575&lt;IF(D1575="Builder",MinEdgeBuilder,IF(D1575="Player",MinEdgePlayer,MinEdgeSingle)),0,ROUND(MIN(IF(D1575="Single",KellySingle,KellyBuilder)*(StartBank+SUM(P$1:P1574))*J1575/(G1575-1),IF(D1575="Builder",CapBuilder,CapSingle)*Unit),2)))</f>
        <v/>
      </c>
      <c r="L1575" s="10" t="n"/>
      <c r="N1575" s="10" t="n"/>
      <c r="O1575" s="10">
        <f>IF(L1575="","",IF(M1575="Won",L1575*G1575,IF(M1575="Void",L1575,IF(M1575="Cash out",N(N1575),IF(M1575="Lost",0,"")))))</f>
        <v/>
      </c>
      <c r="P1575" s="10">
        <f>IF(OR(L1575="",M1575="",M1575="Pending"),"",O1575-L1575)</f>
        <v/>
      </c>
      <c r="Q1575" s="21" t="n"/>
      <c r="R1575" s="11">
        <f>IF(OR(G1575="",Q1575=""),"",G1575/Q1575-1)</f>
        <v/>
      </c>
      <c r="S1575" s="10">
        <f>IF(OR(L1575="",J1575=""),"",L1575*J1575)</f>
        <v/>
      </c>
      <c r="T1575" s="10">
        <f>IF(P1575="","",StartBank+SUM(P$2:P1575))</f>
        <v/>
      </c>
    </row>
    <row r="1576">
      <c r="A1576" s="22" t="n"/>
      <c r="G1576" s="21" t="n"/>
      <c r="H1576" s="11" t="n"/>
      <c r="I1576" s="21">
        <f>IF(OR(H1576="",H1576=0),"",1/H1576)</f>
        <v/>
      </c>
      <c r="J1576" s="11">
        <f>IF(OR(G1576="",H1576=""),"",H1576*G1576-1)</f>
        <v/>
      </c>
      <c r="K1576" s="10">
        <f>IF(OR(G1576="",H1576="",G1576&lt;=1),"",IF(J1576&lt;IF(D1576="Builder",MinEdgeBuilder,IF(D1576="Player",MinEdgePlayer,MinEdgeSingle)),0,ROUND(MIN(IF(D1576="Single",KellySingle,KellyBuilder)*(StartBank+SUM(P$1:P1575))*J1576/(G1576-1),IF(D1576="Builder",CapBuilder,CapSingle)*Unit),2)))</f>
        <v/>
      </c>
      <c r="L1576" s="10" t="n"/>
      <c r="N1576" s="10" t="n"/>
      <c r="O1576" s="10">
        <f>IF(L1576="","",IF(M1576="Won",L1576*G1576,IF(M1576="Void",L1576,IF(M1576="Cash out",N(N1576),IF(M1576="Lost",0,"")))))</f>
        <v/>
      </c>
      <c r="P1576" s="10">
        <f>IF(OR(L1576="",M1576="",M1576="Pending"),"",O1576-L1576)</f>
        <v/>
      </c>
      <c r="Q1576" s="21" t="n"/>
      <c r="R1576" s="11">
        <f>IF(OR(G1576="",Q1576=""),"",G1576/Q1576-1)</f>
        <v/>
      </c>
      <c r="S1576" s="10">
        <f>IF(OR(L1576="",J1576=""),"",L1576*J1576)</f>
        <v/>
      </c>
      <c r="T1576" s="10">
        <f>IF(P1576="","",StartBank+SUM(P$2:P1576))</f>
        <v/>
      </c>
    </row>
    <row r="1577">
      <c r="A1577" s="22" t="n"/>
      <c r="G1577" s="21" t="n"/>
      <c r="H1577" s="11" t="n"/>
      <c r="I1577" s="21">
        <f>IF(OR(H1577="",H1577=0),"",1/H1577)</f>
        <v/>
      </c>
      <c r="J1577" s="11">
        <f>IF(OR(G1577="",H1577=""),"",H1577*G1577-1)</f>
        <v/>
      </c>
      <c r="K1577" s="10">
        <f>IF(OR(G1577="",H1577="",G1577&lt;=1),"",IF(J1577&lt;IF(D1577="Builder",MinEdgeBuilder,IF(D1577="Player",MinEdgePlayer,MinEdgeSingle)),0,ROUND(MIN(IF(D1577="Single",KellySingle,KellyBuilder)*(StartBank+SUM(P$1:P1576))*J1577/(G1577-1),IF(D1577="Builder",CapBuilder,CapSingle)*Unit),2)))</f>
        <v/>
      </c>
      <c r="L1577" s="10" t="n"/>
      <c r="N1577" s="10" t="n"/>
      <c r="O1577" s="10">
        <f>IF(L1577="","",IF(M1577="Won",L1577*G1577,IF(M1577="Void",L1577,IF(M1577="Cash out",N(N1577),IF(M1577="Lost",0,"")))))</f>
        <v/>
      </c>
      <c r="P1577" s="10">
        <f>IF(OR(L1577="",M1577="",M1577="Pending"),"",O1577-L1577)</f>
        <v/>
      </c>
      <c r="Q1577" s="21" t="n"/>
      <c r="R1577" s="11">
        <f>IF(OR(G1577="",Q1577=""),"",G1577/Q1577-1)</f>
        <v/>
      </c>
      <c r="S1577" s="10">
        <f>IF(OR(L1577="",J1577=""),"",L1577*J1577)</f>
        <v/>
      </c>
      <c r="T1577" s="10">
        <f>IF(P1577="","",StartBank+SUM(P$2:P1577))</f>
        <v/>
      </c>
    </row>
    <row r="1578">
      <c r="A1578" s="22" t="n"/>
      <c r="G1578" s="21" t="n"/>
      <c r="H1578" s="11" t="n"/>
      <c r="I1578" s="21">
        <f>IF(OR(H1578="",H1578=0),"",1/H1578)</f>
        <v/>
      </c>
      <c r="J1578" s="11">
        <f>IF(OR(G1578="",H1578=""),"",H1578*G1578-1)</f>
        <v/>
      </c>
      <c r="K1578" s="10">
        <f>IF(OR(G1578="",H1578="",G1578&lt;=1),"",IF(J1578&lt;IF(D1578="Builder",MinEdgeBuilder,IF(D1578="Player",MinEdgePlayer,MinEdgeSingle)),0,ROUND(MIN(IF(D1578="Single",KellySingle,KellyBuilder)*(StartBank+SUM(P$1:P1577))*J1578/(G1578-1),IF(D1578="Builder",CapBuilder,CapSingle)*Unit),2)))</f>
        <v/>
      </c>
      <c r="L1578" s="10" t="n"/>
      <c r="N1578" s="10" t="n"/>
      <c r="O1578" s="10">
        <f>IF(L1578="","",IF(M1578="Won",L1578*G1578,IF(M1578="Void",L1578,IF(M1578="Cash out",N(N1578),IF(M1578="Lost",0,"")))))</f>
        <v/>
      </c>
      <c r="P1578" s="10">
        <f>IF(OR(L1578="",M1578="",M1578="Pending"),"",O1578-L1578)</f>
        <v/>
      </c>
      <c r="Q1578" s="21" t="n"/>
      <c r="R1578" s="11">
        <f>IF(OR(G1578="",Q1578=""),"",G1578/Q1578-1)</f>
        <v/>
      </c>
      <c r="S1578" s="10">
        <f>IF(OR(L1578="",J1578=""),"",L1578*J1578)</f>
        <v/>
      </c>
      <c r="T1578" s="10">
        <f>IF(P1578="","",StartBank+SUM(P$2:P1578))</f>
        <v/>
      </c>
    </row>
    <row r="1579">
      <c r="A1579" s="22" t="n"/>
      <c r="G1579" s="21" t="n"/>
      <c r="H1579" s="11" t="n"/>
      <c r="I1579" s="21">
        <f>IF(OR(H1579="",H1579=0),"",1/H1579)</f>
        <v/>
      </c>
      <c r="J1579" s="11">
        <f>IF(OR(G1579="",H1579=""),"",H1579*G1579-1)</f>
        <v/>
      </c>
      <c r="K1579" s="10">
        <f>IF(OR(G1579="",H1579="",G1579&lt;=1),"",IF(J1579&lt;IF(D1579="Builder",MinEdgeBuilder,IF(D1579="Player",MinEdgePlayer,MinEdgeSingle)),0,ROUND(MIN(IF(D1579="Single",KellySingle,KellyBuilder)*(StartBank+SUM(P$1:P1578))*J1579/(G1579-1),IF(D1579="Builder",CapBuilder,CapSingle)*Unit),2)))</f>
        <v/>
      </c>
      <c r="L1579" s="10" t="n"/>
      <c r="N1579" s="10" t="n"/>
      <c r="O1579" s="10">
        <f>IF(L1579="","",IF(M1579="Won",L1579*G1579,IF(M1579="Void",L1579,IF(M1579="Cash out",N(N1579),IF(M1579="Lost",0,"")))))</f>
        <v/>
      </c>
      <c r="P1579" s="10">
        <f>IF(OR(L1579="",M1579="",M1579="Pending"),"",O1579-L1579)</f>
        <v/>
      </c>
      <c r="Q1579" s="21" t="n"/>
      <c r="R1579" s="11">
        <f>IF(OR(G1579="",Q1579=""),"",G1579/Q1579-1)</f>
        <v/>
      </c>
      <c r="S1579" s="10">
        <f>IF(OR(L1579="",J1579=""),"",L1579*J1579)</f>
        <v/>
      </c>
      <c r="T1579" s="10">
        <f>IF(P1579="","",StartBank+SUM(P$2:P1579))</f>
        <v/>
      </c>
    </row>
    <row r="1580">
      <c r="A1580" s="22" t="n"/>
      <c r="G1580" s="21" t="n"/>
      <c r="H1580" s="11" t="n"/>
      <c r="I1580" s="21">
        <f>IF(OR(H1580="",H1580=0),"",1/H1580)</f>
        <v/>
      </c>
      <c r="J1580" s="11">
        <f>IF(OR(G1580="",H1580=""),"",H1580*G1580-1)</f>
        <v/>
      </c>
      <c r="K1580" s="10">
        <f>IF(OR(G1580="",H1580="",G1580&lt;=1),"",IF(J1580&lt;IF(D1580="Builder",MinEdgeBuilder,IF(D1580="Player",MinEdgePlayer,MinEdgeSingle)),0,ROUND(MIN(IF(D1580="Single",KellySingle,KellyBuilder)*(StartBank+SUM(P$1:P1579))*J1580/(G1580-1),IF(D1580="Builder",CapBuilder,CapSingle)*Unit),2)))</f>
        <v/>
      </c>
      <c r="L1580" s="10" t="n"/>
      <c r="N1580" s="10" t="n"/>
      <c r="O1580" s="10">
        <f>IF(L1580="","",IF(M1580="Won",L1580*G1580,IF(M1580="Void",L1580,IF(M1580="Cash out",N(N1580),IF(M1580="Lost",0,"")))))</f>
        <v/>
      </c>
      <c r="P1580" s="10">
        <f>IF(OR(L1580="",M1580="",M1580="Pending"),"",O1580-L1580)</f>
        <v/>
      </c>
      <c r="Q1580" s="21" t="n"/>
      <c r="R1580" s="11">
        <f>IF(OR(G1580="",Q1580=""),"",G1580/Q1580-1)</f>
        <v/>
      </c>
      <c r="S1580" s="10">
        <f>IF(OR(L1580="",J1580=""),"",L1580*J1580)</f>
        <v/>
      </c>
      <c r="T1580" s="10">
        <f>IF(P1580="","",StartBank+SUM(P$2:P1580))</f>
        <v/>
      </c>
    </row>
    <row r="1581">
      <c r="A1581" s="22" t="n"/>
      <c r="G1581" s="21" t="n"/>
      <c r="H1581" s="11" t="n"/>
      <c r="I1581" s="21">
        <f>IF(OR(H1581="",H1581=0),"",1/H1581)</f>
        <v/>
      </c>
      <c r="J1581" s="11">
        <f>IF(OR(G1581="",H1581=""),"",H1581*G1581-1)</f>
        <v/>
      </c>
      <c r="K1581" s="10">
        <f>IF(OR(G1581="",H1581="",G1581&lt;=1),"",IF(J1581&lt;IF(D1581="Builder",MinEdgeBuilder,IF(D1581="Player",MinEdgePlayer,MinEdgeSingle)),0,ROUND(MIN(IF(D1581="Single",KellySingle,KellyBuilder)*(StartBank+SUM(P$1:P1580))*J1581/(G1581-1),IF(D1581="Builder",CapBuilder,CapSingle)*Unit),2)))</f>
        <v/>
      </c>
      <c r="L1581" s="10" t="n"/>
      <c r="N1581" s="10" t="n"/>
      <c r="O1581" s="10">
        <f>IF(L1581="","",IF(M1581="Won",L1581*G1581,IF(M1581="Void",L1581,IF(M1581="Cash out",N(N1581),IF(M1581="Lost",0,"")))))</f>
        <v/>
      </c>
      <c r="P1581" s="10">
        <f>IF(OR(L1581="",M1581="",M1581="Pending"),"",O1581-L1581)</f>
        <v/>
      </c>
      <c r="Q1581" s="21" t="n"/>
      <c r="R1581" s="11">
        <f>IF(OR(G1581="",Q1581=""),"",G1581/Q1581-1)</f>
        <v/>
      </c>
      <c r="S1581" s="10">
        <f>IF(OR(L1581="",J1581=""),"",L1581*J1581)</f>
        <v/>
      </c>
      <c r="T1581" s="10">
        <f>IF(P1581="","",StartBank+SUM(P$2:P1581))</f>
        <v/>
      </c>
    </row>
    <row r="1582">
      <c r="A1582" s="22" t="n"/>
      <c r="G1582" s="21" t="n"/>
      <c r="H1582" s="11" t="n"/>
      <c r="I1582" s="21">
        <f>IF(OR(H1582="",H1582=0),"",1/H1582)</f>
        <v/>
      </c>
      <c r="J1582" s="11">
        <f>IF(OR(G1582="",H1582=""),"",H1582*G1582-1)</f>
        <v/>
      </c>
      <c r="K1582" s="10">
        <f>IF(OR(G1582="",H1582="",G1582&lt;=1),"",IF(J1582&lt;IF(D1582="Builder",MinEdgeBuilder,IF(D1582="Player",MinEdgePlayer,MinEdgeSingle)),0,ROUND(MIN(IF(D1582="Single",KellySingle,KellyBuilder)*(StartBank+SUM(P$1:P1581))*J1582/(G1582-1),IF(D1582="Builder",CapBuilder,CapSingle)*Unit),2)))</f>
        <v/>
      </c>
      <c r="L1582" s="10" t="n"/>
      <c r="N1582" s="10" t="n"/>
      <c r="O1582" s="10">
        <f>IF(L1582="","",IF(M1582="Won",L1582*G1582,IF(M1582="Void",L1582,IF(M1582="Cash out",N(N1582),IF(M1582="Lost",0,"")))))</f>
        <v/>
      </c>
      <c r="P1582" s="10">
        <f>IF(OR(L1582="",M1582="",M1582="Pending"),"",O1582-L1582)</f>
        <v/>
      </c>
      <c r="Q1582" s="21" t="n"/>
      <c r="R1582" s="11">
        <f>IF(OR(G1582="",Q1582=""),"",G1582/Q1582-1)</f>
        <v/>
      </c>
      <c r="S1582" s="10">
        <f>IF(OR(L1582="",J1582=""),"",L1582*J1582)</f>
        <v/>
      </c>
      <c r="T1582" s="10">
        <f>IF(P1582="","",StartBank+SUM(P$2:P1582))</f>
        <v/>
      </c>
    </row>
    <row r="1583">
      <c r="A1583" s="22" t="n"/>
      <c r="G1583" s="21" t="n"/>
      <c r="H1583" s="11" t="n"/>
      <c r="I1583" s="21">
        <f>IF(OR(H1583="",H1583=0),"",1/H1583)</f>
        <v/>
      </c>
      <c r="J1583" s="11">
        <f>IF(OR(G1583="",H1583=""),"",H1583*G1583-1)</f>
        <v/>
      </c>
      <c r="K1583" s="10">
        <f>IF(OR(G1583="",H1583="",G1583&lt;=1),"",IF(J1583&lt;IF(D1583="Builder",MinEdgeBuilder,IF(D1583="Player",MinEdgePlayer,MinEdgeSingle)),0,ROUND(MIN(IF(D1583="Single",KellySingle,KellyBuilder)*(StartBank+SUM(P$1:P1582))*J1583/(G1583-1),IF(D1583="Builder",CapBuilder,CapSingle)*Unit),2)))</f>
        <v/>
      </c>
      <c r="L1583" s="10" t="n"/>
      <c r="N1583" s="10" t="n"/>
      <c r="O1583" s="10">
        <f>IF(L1583="","",IF(M1583="Won",L1583*G1583,IF(M1583="Void",L1583,IF(M1583="Cash out",N(N1583),IF(M1583="Lost",0,"")))))</f>
        <v/>
      </c>
      <c r="P1583" s="10">
        <f>IF(OR(L1583="",M1583="",M1583="Pending"),"",O1583-L1583)</f>
        <v/>
      </c>
      <c r="Q1583" s="21" t="n"/>
      <c r="R1583" s="11">
        <f>IF(OR(G1583="",Q1583=""),"",G1583/Q1583-1)</f>
        <v/>
      </c>
      <c r="S1583" s="10">
        <f>IF(OR(L1583="",J1583=""),"",L1583*J1583)</f>
        <v/>
      </c>
      <c r="T1583" s="10">
        <f>IF(P1583="","",StartBank+SUM(P$2:P1583))</f>
        <v/>
      </c>
    </row>
    <row r="1584">
      <c r="A1584" s="22" t="n"/>
      <c r="G1584" s="21" t="n"/>
      <c r="H1584" s="11" t="n"/>
      <c r="I1584" s="21">
        <f>IF(OR(H1584="",H1584=0),"",1/H1584)</f>
        <v/>
      </c>
      <c r="J1584" s="11">
        <f>IF(OR(G1584="",H1584=""),"",H1584*G1584-1)</f>
        <v/>
      </c>
      <c r="K1584" s="10">
        <f>IF(OR(G1584="",H1584="",G1584&lt;=1),"",IF(J1584&lt;IF(D1584="Builder",MinEdgeBuilder,IF(D1584="Player",MinEdgePlayer,MinEdgeSingle)),0,ROUND(MIN(IF(D1584="Single",KellySingle,KellyBuilder)*(StartBank+SUM(P$1:P1583))*J1584/(G1584-1),IF(D1584="Builder",CapBuilder,CapSingle)*Unit),2)))</f>
        <v/>
      </c>
      <c r="L1584" s="10" t="n"/>
      <c r="N1584" s="10" t="n"/>
      <c r="O1584" s="10">
        <f>IF(L1584="","",IF(M1584="Won",L1584*G1584,IF(M1584="Void",L1584,IF(M1584="Cash out",N(N1584),IF(M1584="Lost",0,"")))))</f>
        <v/>
      </c>
      <c r="P1584" s="10">
        <f>IF(OR(L1584="",M1584="",M1584="Pending"),"",O1584-L1584)</f>
        <v/>
      </c>
      <c r="Q1584" s="21" t="n"/>
      <c r="R1584" s="11">
        <f>IF(OR(G1584="",Q1584=""),"",G1584/Q1584-1)</f>
        <v/>
      </c>
      <c r="S1584" s="10">
        <f>IF(OR(L1584="",J1584=""),"",L1584*J1584)</f>
        <v/>
      </c>
      <c r="T1584" s="10">
        <f>IF(P1584="","",StartBank+SUM(P$2:P1584))</f>
        <v/>
      </c>
    </row>
    <row r="1585">
      <c r="A1585" s="22" t="n"/>
      <c r="G1585" s="21" t="n"/>
      <c r="H1585" s="11" t="n"/>
      <c r="I1585" s="21">
        <f>IF(OR(H1585="",H1585=0),"",1/H1585)</f>
        <v/>
      </c>
      <c r="J1585" s="11">
        <f>IF(OR(G1585="",H1585=""),"",H1585*G1585-1)</f>
        <v/>
      </c>
      <c r="K1585" s="10">
        <f>IF(OR(G1585="",H1585="",G1585&lt;=1),"",IF(J1585&lt;IF(D1585="Builder",MinEdgeBuilder,IF(D1585="Player",MinEdgePlayer,MinEdgeSingle)),0,ROUND(MIN(IF(D1585="Single",KellySingle,KellyBuilder)*(StartBank+SUM(P$1:P1584))*J1585/(G1585-1),IF(D1585="Builder",CapBuilder,CapSingle)*Unit),2)))</f>
        <v/>
      </c>
      <c r="L1585" s="10" t="n"/>
      <c r="N1585" s="10" t="n"/>
      <c r="O1585" s="10">
        <f>IF(L1585="","",IF(M1585="Won",L1585*G1585,IF(M1585="Void",L1585,IF(M1585="Cash out",N(N1585),IF(M1585="Lost",0,"")))))</f>
        <v/>
      </c>
      <c r="P1585" s="10">
        <f>IF(OR(L1585="",M1585="",M1585="Pending"),"",O1585-L1585)</f>
        <v/>
      </c>
      <c r="Q1585" s="21" t="n"/>
      <c r="R1585" s="11">
        <f>IF(OR(G1585="",Q1585=""),"",G1585/Q1585-1)</f>
        <v/>
      </c>
      <c r="S1585" s="10">
        <f>IF(OR(L1585="",J1585=""),"",L1585*J1585)</f>
        <v/>
      </c>
      <c r="T1585" s="10">
        <f>IF(P1585="","",StartBank+SUM(P$2:P1585))</f>
        <v/>
      </c>
    </row>
    <row r="1586">
      <c r="A1586" s="22" t="n"/>
      <c r="G1586" s="21" t="n"/>
      <c r="H1586" s="11" t="n"/>
      <c r="I1586" s="21">
        <f>IF(OR(H1586="",H1586=0),"",1/H1586)</f>
        <v/>
      </c>
      <c r="J1586" s="11">
        <f>IF(OR(G1586="",H1586=""),"",H1586*G1586-1)</f>
        <v/>
      </c>
      <c r="K1586" s="10">
        <f>IF(OR(G1586="",H1586="",G1586&lt;=1),"",IF(J1586&lt;IF(D1586="Builder",MinEdgeBuilder,IF(D1586="Player",MinEdgePlayer,MinEdgeSingle)),0,ROUND(MIN(IF(D1586="Single",KellySingle,KellyBuilder)*(StartBank+SUM(P$1:P1585))*J1586/(G1586-1),IF(D1586="Builder",CapBuilder,CapSingle)*Unit),2)))</f>
        <v/>
      </c>
      <c r="L1586" s="10" t="n"/>
      <c r="N1586" s="10" t="n"/>
      <c r="O1586" s="10">
        <f>IF(L1586="","",IF(M1586="Won",L1586*G1586,IF(M1586="Void",L1586,IF(M1586="Cash out",N(N1586),IF(M1586="Lost",0,"")))))</f>
        <v/>
      </c>
      <c r="P1586" s="10">
        <f>IF(OR(L1586="",M1586="",M1586="Pending"),"",O1586-L1586)</f>
        <v/>
      </c>
      <c r="Q1586" s="21" t="n"/>
      <c r="R1586" s="11">
        <f>IF(OR(G1586="",Q1586=""),"",G1586/Q1586-1)</f>
        <v/>
      </c>
      <c r="S1586" s="10">
        <f>IF(OR(L1586="",J1586=""),"",L1586*J1586)</f>
        <v/>
      </c>
      <c r="T1586" s="10">
        <f>IF(P1586="","",StartBank+SUM(P$2:P1586))</f>
        <v/>
      </c>
    </row>
    <row r="1587">
      <c r="A1587" s="22" t="n"/>
      <c r="G1587" s="21" t="n"/>
      <c r="H1587" s="11" t="n"/>
      <c r="I1587" s="21">
        <f>IF(OR(H1587="",H1587=0),"",1/H1587)</f>
        <v/>
      </c>
      <c r="J1587" s="11">
        <f>IF(OR(G1587="",H1587=""),"",H1587*G1587-1)</f>
        <v/>
      </c>
      <c r="K1587" s="10">
        <f>IF(OR(G1587="",H1587="",G1587&lt;=1),"",IF(J1587&lt;IF(D1587="Builder",MinEdgeBuilder,IF(D1587="Player",MinEdgePlayer,MinEdgeSingle)),0,ROUND(MIN(IF(D1587="Single",KellySingle,KellyBuilder)*(StartBank+SUM(P$1:P1586))*J1587/(G1587-1),IF(D1587="Builder",CapBuilder,CapSingle)*Unit),2)))</f>
        <v/>
      </c>
      <c r="L1587" s="10" t="n"/>
      <c r="N1587" s="10" t="n"/>
      <c r="O1587" s="10">
        <f>IF(L1587="","",IF(M1587="Won",L1587*G1587,IF(M1587="Void",L1587,IF(M1587="Cash out",N(N1587),IF(M1587="Lost",0,"")))))</f>
        <v/>
      </c>
      <c r="P1587" s="10">
        <f>IF(OR(L1587="",M1587="",M1587="Pending"),"",O1587-L1587)</f>
        <v/>
      </c>
      <c r="Q1587" s="21" t="n"/>
      <c r="R1587" s="11">
        <f>IF(OR(G1587="",Q1587=""),"",G1587/Q1587-1)</f>
        <v/>
      </c>
      <c r="S1587" s="10">
        <f>IF(OR(L1587="",J1587=""),"",L1587*J1587)</f>
        <v/>
      </c>
      <c r="T1587" s="10">
        <f>IF(P1587="","",StartBank+SUM(P$2:P1587))</f>
        <v/>
      </c>
    </row>
    <row r="1588">
      <c r="A1588" s="22" t="n"/>
      <c r="G1588" s="21" t="n"/>
      <c r="H1588" s="11" t="n"/>
      <c r="I1588" s="21">
        <f>IF(OR(H1588="",H1588=0),"",1/H1588)</f>
        <v/>
      </c>
      <c r="J1588" s="11">
        <f>IF(OR(G1588="",H1588=""),"",H1588*G1588-1)</f>
        <v/>
      </c>
      <c r="K1588" s="10">
        <f>IF(OR(G1588="",H1588="",G1588&lt;=1),"",IF(J1588&lt;IF(D1588="Builder",MinEdgeBuilder,IF(D1588="Player",MinEdgePlayer,MinEdgeSingle)),0,ROUND(MIN(IF(D1588="Single",KellySingle,KellyBuilder)*(StartBank+SUM(P$1:P1587))*J1588/(G1588-1),IF(D1588="Builder",CapBuilder,CapSingle)*Unit),2)))</f>
        <v/>
      </c>
      <c r="L1588" s="10" t="n"/>
      <c r="N1588" s="10" t="n"/>
      <c r="O1588" s="10">
        <f>IF(L1588="","",IF(M1588="Won",L1588*G1588,IF(M1588="Void",L1588,IF(M1588="Cash out",N(N1588),IF(M1588="Lost",0,"")))))</f>
        <v/>
      </c>
      <c r="P1588" s="10">
        <f>IF(OR(L1588="",M1588="",M1588="Pending"),"",O1588-L1588)</f>
        <v/>
      </c>
      <c r="Q1588" s="21" t="n"/>
      <c r="R1588" s="11">
        <f>IF(OR(G1588="",Q1588=""),"",G1588/Q1588-1)</f>
        <v/>
      </c>
      <c r="S1588" s="10">
        <f>IF(OR(L1588="",J1588=""),"",L1588*J1588)</f>
        <v/>
      </c>
      <c r="T1588" s="10">
        <f>IF(P1588="","",StartBank+SUM(P$2:P1588))</f>
        <v/>
      </c>
    </row>
    <row r="1589">
      <c r="A1589" s="22" t="n"/>
      <c r="G1589" s="21" t="n"/>
      <c r="H1589" s="11" t="n"/>
      <c r="I1589" s="21">
        <f>IF(OR(H1589="",H1589=0),"",1/H1589)</f>
        <v/>
      </c>
      <c r="J1589" s="11">
        <f>IF(OR(G1589="",H1589=""),"",H1589*G1589-1)</f>
        <v/>
      </c>
      <c r="K1589" s="10">
        <f>IF(OR(G1589="",H1589="",G1589&lt;=1),"",IF(J1589&lt;IF(D1589="Builder",MinEdgeBuilder,IF(D1589="Player",MinEdgePlayer,MinEdgeSingle)),0,ROUND(MIN(IF(D1589="Single",KellySingle,KellyBuilder)*(StartBank+SUM(P$1:P1588))*J1589/(G1589-1),IF(D1589="Builder",CapBuilder,CapSingle)*Unit),2)))</f>
        <v/>
      </c>
      <c r="L1589" s="10" t="n"/>
      <c r="N1589" s="10" t="n"/>
      <c r="O1589" s="10">
        <f>IF(L1589="","",IF(M1589="Won",L1589*G1589,IF(M1589="Void",L1589,IF(M1589="Cash out",N(N1589),IF(M1589="Lost",0,"")))))</f>
        <v/>
      </c>
      <c r="P1589" s="10">
        <f>IF(OR(L1589="",M1589="",M1589="Pending"),"",O1589-L1589)</f>
        <v/>
      </c>
      <c r="Q1589" s="21" t="n"/>
      <c r="R1589" s="11">
        <f>IF(OR(G1589="",Q1589=""),"",G1589/Q1589-1)</f>
        <v/>
      </c>
      <c r="S1589" s="10">
        <f>IF(OR(L1589="",J1589=""),"",L1589*J1589)</f>
        <v/>
      </c>
      <c r="T1589" s="10">
        <f>IF(P1589="","",StartBank+SUM(P$2:P1589))</f>
        <v/>
      </c>
    </row>
    <row r="1590">
      <c r="A1590" s="22" t="n"/>
      <c r="G1590" s="21" t="n"/>
      <c r="H1590" s="11" t="n"/>
      <c r="I1590" s="21">
        <f>IF(OR(H1590="",H1590=0),"",1/H1590)</f>
        <v/>
      </c>
      <c r="J1590" s="11">
        <f>IF(OR(G1590="",H1590=""),"",H1590*G1590-1)</f>
        <v/>
      </c>
      <c r="K1590" s="10">
        <f>IF(OR(G1590="",H1590="",G1590&lt;=1),"",IF(J1590&lt;IF(D1590="Builder",MinEdgeBuilder,IF(D1590="Player",MinEdgePlayer,MinEdgeSingle)),0,ROUND(MIN(IF(D1590="Single",KellySingle,KellyBuilder)*(StartBank+SUM(P$1:P1589))*J1590/(G1590-1),IF(D1590="Builder",CapBuilder,CapSingle)*Unit),2)))</f>
        <v/>
      </c>
      <c r="L1590" s="10" t="n"/>
      <c r="N1590" s="10" t="n"/>
      <c r="O1590" s="10">
        <f>IF(L1590="","",IF(M1590="Won",L1590*G1590,IF(M1590="Void",L1590,IF(M1590="Cash out",N(N1590),IF(M1590="Lost",0,"")))))</f>
        <v/>
      </c>
      <c r="P1590" s="10">
        <f>IF(OR(L1590="",M1590="",M1590="Pending"),"",O1590-L1590)</f>
        <v/>
      </c>
      <c r="Q1590" s="21" t="n"/>
      <c r="R1590" s="11">
        <f>IF(OR(G1590="",Q1590=""),"",G1590/Q1590-1)</f>
        <v/>
      </c>
      <c r="S1590" s="10">
        <f>IF(OR(L1590="",J1590=""),"",L1590*J1590)</f>
        <v/>
      </c>
      <c r="T1590" s="10">
        <f>IF(P1590="","",StartBank+SUM(P$2:P1590))</f>
        <v/>
      </c>
    </row>
    <row r="1591">
      <c r="A1591" s="22" t="n"/>
      <c r="G1591" s="21" t="n"/>
      <c r="H1591" s="11" t="n"/>
      <c r="I1591" s="21">
        <f>IF(OR(H1591="",H1591=0),"",1/H1591)</f>
        <v/>
      </c>
      <c r="J1591" s="11">
        <f>IF(OR(G1591="",H1591=""),"",H1591*G1591-1)</f>
        <v/>
      </c>
      <c r="K1591" s="10">
        <f>IF(OR(G1591="",H1591="",G1591&lt;=1),"",IF(J1591&lt;IF(D1591="Builder",MinEdgeBuilder,IF(D1591="Player",MinEdgePlayer,MinEdgeSingle)),0,ROUND(MIN(IF(D1591="Single",KellySingle,KellyBuilder)*(StartBank+SUM(P$1:P1590))*J1591/(G1591-1),IF(D1591="Builder",CapBuilder,CapSingle)*Unit),2)))</f>
        <v/>
      </c>
      <c r="L1591" s="10" t="n"/>
      <c r="N1591" s="10" t="n"/>
      <c r="O1591" s="10">
        <f>IF(L1591="","",IF(M1591="Won",L1591*G1591,IF(M1591="Void",L1591,IF(M1591="Cash out",N(N1591),IF(M1591="Lost",0,"")))))</f>
        <v/>
      </c>
      <c r="P1591" s="10">
        <f>IF(OR(L1591="",M1591="",M1591="Pending"),"",O1591-L1591)</f>
        <v/>
      </c>
      <c r="Q1591" s="21" t="n"/>
      <c r="R1591" s="11">
        <f>IF(OR(G1591="",Q1591=""),"",G1591/Q1591-1)</f>
        <v/>
      </c>
      <c r="S1591" s="10">
        <f>IF(OR(L1591="",J1591=""),"",L1591*J1591)</f>
        <v/>
      </c>
      <c r="T1591" s="10">
        <f>IF(P1591="","",StartBank+SUM(P$2:P1591))</f>
        <v/>
      </c>
    </row>
    <row r="1592">
      <c r="A1592" s="22" t="n"/>
      <c r="G1592" s="21" t="n"/>
      <c r="H1592" s="11" t="n"/>
      <c r="I1592" s="21">
        <f>IF(OR(H1592="",H1592=0),"",1/H1592)</f>
        <v/>
      </c>
      <c r="J1592" s="11">
        <f>IF(OR(G1592="",H1592=""),"",H1592*G1592-1)</f>
        <v/>
      </c>
      <c r="K1592" s="10">
        <f>IF(OR(G1592="",H1592="",G1592&lt;=1),"",IF(J1592&lt;IF(D1592="Builder",MinEdgeBuilder,IF(D1592="Player",MinEdgePlayer,MinEdgeSingle)),0,ROUND(MIN(IF(D1592="Single",KellySingle,KellyBuilder)*(StartBank+SUM(P$1:P1591))*J1592/(G1592-1),IF(D1592="Builder",CapBuilder,CapSingle)*Unit),2)))</f>
        <v/>
      </c>
      <c r="L1592" s="10" t="n"/>
      <c r="N1592" s="10" t="n"/>
      <c r="O1592" s="10">
        <f>IF(L1592="","",IF(M1592="Won",L1592*G1592,IF(M1592="Void",L1592,IF(M1592="Cash out",N(N1592),IF(M1592="Lost",0,"")))))</f>
        <v/>
      </c>
      <c r="P1592" s="10">
        <f>IF(OR(L1592="",M1592="",M1592="Pending"),"",O1592-L1592)</f>
        <v/>
      </c>
      <c r="Q1592" s="21" t="n"/>
      <c r="R1592" s="11">
        <f>IF(OR(G1592="",Q1592=""),"",G1592/Q1592-1)</f>
        <v/>
      </c>
      <c r="S1592" s="10">
        <f>IF(OR(L1592="",J1592=""),"",L1592*J1592)</f>
        <v/>
      </c>
      <c r="T1592" s="10">
        <f>IF(P1592="","",StartBank+SUM(P$2:P1592))</f>
        <v/>
      </c>
    </row>
    <row r="1593">
      <c r="A1593" s="22" t="n"/>
      <c r="G1593" s="21" t="n"/>
      <c r="H1593" s="11" t="n"/>
      <c r="I1593" s="21">
        <f>IF(OR(H1593="",H1593=0),"",1/H1593)</f>
        <v/>
      </c>
      <c r="J1593" s="11">
        <f>IF(OR(G1593="",H1593=""),"",H1593*G1593-1)</f>
        <v/>
      </c>
      <c r="K1593" s="10">
        <f>IF(OR(G1593="",H1593="",G1593&lt;=1),"",IF(J1593&lt;IF(D1593="Builder",MinEdgeBuilder,IF(D1593="Player",MinEdgePlayer,MinEdgeSingle)),0,ROUND(MIN(IF(D1593="Single",KellySingle,KellyBuilder)*(StartBank+SUM(P$1:P1592))*J1593/(G1593-1),IF(D1593="Builder",CapBuilder,CapSingle)*Unit),2)))</f>
        <v/>
      </c>
      <c r="L1593" s="10" t="n"/>
      <c r="N1593" s="10" t="n"/>
      <c r="O1593" s="10">
        <f>IF(L1593="","",IF(M1593="Won",L1593*G1593,IF(M1593="Void",L1593,IF(M1593="Cash out",N(N1593),IF(M1593="Lost",0,"")))))</f>
        <v/>
      </c>
      <c r="P1593" s="10">
        <f>IF(OR(L1593="",M1593="",M1593="Pending"),"",O1593-L1593)</f>
        <v/>
      </c>
      <c r="Q1593" s="21" t="n"/>
      <c r="R1593" s="11">
        <f>IF(OR(G1593="",Q1593=""),"",G1593/Q1593-1)</f>
        <v/>
      </c>
      <c r="S1593" s="10">
        <f>IF(OR(L1593="",J1593=""),"",L1593*J1593)</f>
        <v/>
      </c>
      <c r="T1593" s="10">
        <f>IF(P1593="","",StartBank+SUM(P$2:P1593))</f>
        <v/>
      </c>
    </row>
    <row r="1594">
      <c r="A1594" s="22" t="n"/>
      <c r="G1594" s="21" t="n"/>
      <c r="H1594" s="11" t="n"/>
      <c r="I1594" s="21">
        <f>IF(OR(H1594="",H1594=0),"",1/H1594)</f>
        <v/>
      </c>
      <c r="J1594" s="11">
        <f>IF(OR(G1594="",H1594=""),"",H1594*G1594-1)</f>
        <v/>
      </c>
      <c r="K1594" s="10">
        <f>IF(OR(G1594="",H1594="",G1594&lt;=1),"",IF(J1594&lt;IF(D1594="Builder",MinEdgeBuilder,IF(D1594="Player",MinEdgePlayer,MinEdgeSingle)),0,ROUND(MIN(IF(D1594="Single",KellySingle,KellyBuilder)*(StartBank+SUM(P$1:P1593))*J1594/(G1594-1),IF(D1594="Builder",CapBuilder,CapSingle)*Unit),2)))</f>
        <v/>
      </c>
      <c r="L1594" s="10" t="n"/>
      <c r="N1594" s="10" t="n"/>
      <c r="O1594" s="10">
        <f>IF(L1594="","",IF(M1594="Won",L1594*G1594,IF(M1594="Void",L1594,IF(M1594="Cash out",N(N1594),IF(M1594="Lost",0,"")))))</f>
        <v/>
      </c>
      <c r="P1594" s="10">
        <f>IF(OR(L1594="",M1594="",M1594="Pending"),"",O1594-L1594)</f>
        <v/>
      </c>
      <c r="Q1594" s="21" t="n"/>
      <c r="R1594" s="11">
        <f>IF(OR(G1594="",Q1594=""),"",G1594/Q1594-1)</f>
        <v/>
      </c>
      <c r="S1594" s="10">
        <f>IF(OR(L1594="",J1594=""),"",L1594*J1594)</f>
        <v/>
      </c>
      <c r="T1594" s="10">
        <f>IF(P1594="","",StartBank+SUM(P$2:P1594))</f>
        <v/>
      </c>
    </row>
    <row r="1595">
      <c r="A1595" s="22" t="n"/>
      <c r="G1595" s="21" t="n"/>
      <c r="H1595" s="11" t="n"/>
      <c r="I1595" s="21">
        <f>IF(OR(H1595="",H1595=0),"",1/H1595)</f>
        <v/>
      </c>
      <c r="J1595" s="11">
        <f>IF(OR(G1595="",H1595=""),"",H1595*G1595-1)</f>
        <v/>
      </c>
      <c r="K1595" s="10">
        <f>IF(OR(G1595="",H1595="",G1595&lt;=1),"",IF(J1595&lt;IF(D1595="Builder",MinEdgeBuilder,IF(D1595="Player",MinEdgePlayer,MinEdgeSingle)),0,ROUND(MIN(IF(D1595="Single",KellySingle,KellyBuilder)*(StartBank+SUM(P$1:P1594))*J1595/(G1595-1),IF(D1595="Builder",CapBuilder,CapSingle)*Unit),2)))</f>
        <v/>
      </c>
      <c r="L1595" s="10" t="n"/>
      <c r="N1595" s="10" t="n"/>
      <c r="O1595" s="10">
        <f>IF(L1595="","",IF(M1595="Won",L1595*G1595,IF(M1595="Void",L1595,IF(M1595="Cash out",N(N1595),IF(M1595="Lost",0,"")))))</f>
        <v/>
      </c>
      <c r="P1595" s="10">
        <f>IF(OR(L1595="",M1595="",M1595="Pending"),"",O1595-L1595)</f>
        <v/>
      </c>
      <c r="Q1595" s="21" t="n"/>
      <c r="R1595" s="11">
        <f>IF(OR(G1595="",Q1595=""),"",G1595/Q1595-1)</f>
        <v/>
      </c>
      <c r="S1595" s="10">
        <f>IF(OR(L1595="",J1595=""),"",L1595*J1595)</f>
        <v/>
      </c>
      <c r="T1595" s="10">
        <f>IF(P1595="","",StartBank+SUM(P$2:P1595))</f>
        <v/>
      </c>
    </row>
    <row r="1596">
      <c r="A1596" s="22" t="n"/>
      <c r="G1596" s="21" t="n"/>
      <c r="H1596" s="11" t="n"/>
      <c r="I1596" s="21">
        <f>IF(OR(H1596="",H1596=0),"",1/H1596)</f>
        <v/>
      </c>
      <c r="J1596" s="11">
        <f>IF(OR(G1596="",H1596=""),"",H1596*G1596-1)</f>
        <v/>
      </c>
      <c r="K1596" s="10">
        <f>IF(OR(G1596="",H1596="",G1596&lt;=1),"",IF(J1596&lt;IF(D1596="Builder",MinEdgeBuilder,IF(D1596="Player",MinEdgePlayer,MinEdgeSingle)),0,ROUND(MIN(IF(D1596="Single",KellySingle,KellyBuilder)*(StartBank+SUM(P$1:P1595))*J1596/(G1596-1),IF(D1596="Builder",CapBuilder,CapSingle)*Unit),2)))</f>
        <v/>
      </c>
      <c r="L1596" s="10" t="n"/>
      <c r="N1596" s="10" t="n"/>
      <c r="O1596" s="10">
        <f>IF(L1596="","",IF(M1596="Won",L1596*G1596,IF(M1596="Void",L1596,IF(M1596="Cash out",N(N1596),IF(M1596="Lost",0,"")))))</f>
        <v/>
      </c>
      <c r="P1596" s="10">
        <f>IF(OR(L1596="",M1596="",M1596="Pending"),"",O1596-L1596)</f>
        <v/>
      </c>
      <c r="Q1596" s="21" t="n"/>
      <c r="R1596" s="11">
        <f>IF(OR(G1596="",Q1596=""),"",G1596/Q1596-1)</f>
        <v/>
      </c>
      <c r="S1596" s="10">
        <f>IF(OR(L1596="",J1596=""),"",L1596*J1596)</f>
        <v/>
      </c>
      <c r="T1596" s="10">
        <f>IF(P1596="","",StartBank+SUM(P$2:P1596))</f>
        <v/>
      </c>
    </row>
    <row r="1597">
      <c r="A1597" s="22" t="n"/>
      <c r="G1597" s="21" t="n"/>
      <c r="H1597" s="11" t="n"/>
      <c r="I1597" s="21">
        <f>IF(OR(H1597="",H1597=0),"",1/H1597)</f>
        <v/>
      </c>
      <c r="J1597" s="11">
        <f>IF(OR(G1597="",H1597=""),"",H1597*G1597-1)</f>
        <v/>
      </c>
      <c r="K1597" s="10">
        <f>IF(OR(G1597="",H1597="",G1597&lt;=1),"",IF(J1597&lt;IF(D1597="Builder",MinEdgeBuilder,IF(D1597="Player",MinEdgePlayer,MinEdgeSingle)),0,ROUND(MIN(IF(D1597="Single",KellySingle,KellyBuilder)*(StartBank+SUM(P$1:P1596))*J1597/(G1597-1),IF(D1597="Builder",CapBuilder,CapSingle)*Unit),2)))</f>
        <v/>
      </c>
      <c r="L1597" s="10" t="n"/>
      <c r="N1597" s="10" t="n"/>
      <c r="O1597" s="10">
        <f>IF(L1597="","",IF(M1597="Won",L1597*G1597,IF(M1597="Void",L1597,IF(M1597="Cash out",N(N1597),IF(M1597="Lost",0,"")))))</f>
        <v/>
      </c>
      <c r="P1597" s="10">
        <f>IF(OR(L1597="",M1597="",M1597="Pending"),"",O1597-L1597)</f>
        <v/>
      </c>
      <c r="Q1597" s="21" t="n"/>
      <c r="R1597" s="11">
        <f>IF(OR(G1597="",Q1597=""),"",G1597/Q1597-1)</f>
        <v/>
      </c>
      <c r="S1597" s="10">
        <f>IF(OR(L1597="",J1597=""),"",L1597*J1597)</f>
        <v/>
      </c>
      <c r="T1597" s="10">
        <f>IF(P1597="","",StartBank+SUM(P$2:P1597))</f>
        <v/>
      </c>
    </row>
    <row r="1598">
      <c r="A1598" s="22" t="n"/>
      <c r="G1598" s="21" t="n"/>
      <c r="H1598" s="11" t="n"/>
      <c r="I1598" s="21">
        <f>IF(OR(H1598="",H1598=0),"",1/H1598)</f>
        <v/>
      </c>
      <c r="J1598" s="11">
        <f>IF(OR(G1598="",H1598=""),"",H1598*G1598-1)</f>
        <v/>
      </c>
      <c r="K1598" s="10">
        <f>IF(OR(G1598="",H1598="",G1598&lt;=1),"",IF(J1598&lt;IF(D1598="Builder",MinEdgeBuilder,IF(D1598="Player",MinEdgePlayer,MinEdgeSingle)),0,ROUND(MIN(IF(D1598="Single",KellySingle,KellyBuilder)*(StartBank+SUM(P$1:P1597))*J1598/(G1598-1),IF(D1598="Builder",CapBuilder,CapSingle)*Unit),2)))</f>
        <v/>
      </c>
      <c r="L1598" s="10" t="n"/>
      <c r="N1598" s="10" t="n"/>
      <c r="O1598" s="10">
        <f>IF(L1598="","",IF(M1598="Won",L1598*G1598,IF(M1598="Void",L1598,IF(M1598="Cash out",N(N1598),IF(M1598="Lost",0,"")))))</f>
        <v/>
      </c>
      <c r="P1598" s="10">
        <f>IF(OR(L1598="",M1598="",M1598="Pending"),"",O1598-L1598)</f>
        <v/>
      </c>
      <c r="Q1598" s="21" t="n"/>
      <c r="R1598" s="11">
        <f>IF(OR(G1598="",Q1598=""),"",G1598/Q1598-1)</f>
        <v/>
      </c>
      <c r="S1598" s="10">
        <f>IF(OR(L1598="",J1598=""),"",L1598*J1598)</f>
        <v/>
      </c>
      <c r="T1598" s="10">
        <f>IF(P1598="","",StartBank+SUM(P$2:P1598))</f>
        <v/>
      </c>
    </row>
    <row r="1599">
      <c r="A1599" s="22" t="n"/>
      <c r="G1599" s="21" t="n"/>
      <c r="H1599" s="11" t="n"/>
      <c r="I1599" s="21">
        <f>IF(OR(H1599="",H1599=0),"",1/H1599)</f>
        <v/>
      </c>
      <c r="J1599" s="11">
        <f>IF(OR(G1599="",H1599=""),"",H1599*G1599-1)</f>
        <v/>
      </c>
      <c r="K1599" s="10">
        <f>IF(OR(G1599="",H1599="",G1599&lt;=1),"",IF(J1599&lt;IF(D1599="Builder",MinEdgeBuilder,IF(D1599="Player",MinEdgePlayer,MinEdgeSingle)),0,ROUND(MIN(IF(D1599="Single",KellySingle,KellyBuilder)*(StartBank+SUM(P$1:P1598))*J1599/(G1599-1),IF(D1599="Builder",CapBuilder,CapSingle)*Unit),2)))</f>
        <v/>
      </c>
      <c r="L1599" s="10" t="n"/>
      <c r="N1599" s="10" t="n"/>
      <c r="O1599" s="10">
        <f>IF(L1599="","",IF(M1599="Won",L1599*G1599,IF(M1599="Void",L1599,IF(M1599="Cash out",N(N1599),IF(M1599="Lost",0,"")))))</f>
        <v/>
      </c>
      <c r="P1599" s="10">
        <f>IF(OR(L1599="",M1599="",M1599="Pending"),"",O1599-L1599)</f>
        <v/>
      </c>
      <c r="Q1599" s="21" t="n"/>
      <c r="R1599" s="11">
        <f>IF(OR(G1599="",Q1599=""),"",G1599/Q1599-1)</f>
        <v/>
      </c>
      <c r="S1599" s="10">
        <f>IF(OR(L1599="",J1599=""),"",L1599*J1599)</f>
        <v/>
      </c>
      <c r="T1599" s="10">
        <f>IF(P1599="","",StartBank+SUM(P$2:P1599))</f>
        <v/>
      </c>
    </row>
    <row r="1600">
      <c r="A1600" s="22" t="n"/>
      <c r="G1600" s="21" t="n"/>
      <c r="H1600" s="11" t="n"/>
      <c r="I1600" s="21">
        <f>IF(OR(H1600="",H1600=0),"",1/H1600)</f>
        <v/>
      </c>
      <c r="J1600" s="11">
        <f>IF(OR(G1600="",H1600=""),"",H1600*G1600-1)</f>
        <v/>
      </c>
      <c r="K1600" s="10">
        <f>IF(OR(G1600="",H1600="",G1600&lt;=1),"",IF(J1600&lt;IF(D1600="Builder",MinEdgeBuilder,IF(D1600="Player",MinEdgePlayer,MinEdgeSingle)),0,ROUND(MIN(IF(D1600="Single",KellySingle,KellyBuilder)*(StartBank+SUM(P$1:P1599))*J1600/(G1600-1),IF(D1600="Builder",CapBuilder,CapSingle)*Unit),2)))</f>
        <v/>
      </c>
      <c r="L1600" s="10" t="n"/>
      <c r="N1600" s="10" t="n"/>
      <c r="O1600" s="10">
        <f>IF(L1600="","",IF(M1600="Won",L1600*G1600,IF(M1600="Void",L1600,IF(M1600="Cash out",N(N1600),IF(M1600="Lost",0,"")))))</f>
        <v/>
      </c>
      <c r="P1600" s="10">
        <f>IF(OR(L1600="",M1600="",M1600="Pending"),"",O1600-L1600)</f>
        <v/>
      </c>
      <c r="Q1600" s="21" t="n"/>
      <c r="R1600" s="11">
        <f>IF(OR(G1600="",Q1600=""),"",G1600/Q1600-1)</f>
        <v/>
      </c>
      <c r="S1600" s="10">
        <f>IF(OR(L1600="",J1600=""),"",L1600*J1600)</f>
        <v/>
      </c>
      <c r="T1600" s="10">
        <f>IF(P1600="","",StartBank+SUM(P$2:P1600))</f>
        <v/>
      </c>
    </row>
    <row r="1601">
      <c r="A1601" s="22" t="n"/>
      <c r="G1601" s="21" t="n"/>
      <c r="H1601" s="11" t="n"/>
      <c r="I1601" s="21">
        <f>IF(OR(H1601="",H1601=0),"",1/H1601)</f>
        <v/>
      </c>
      <c r="J1601" s="11">
        <f>IF(OR(G1601="",H1601=""),"",H1601*G1601-1)</f>
        <v/>
      </c>
      <c r="K1601" s="10">
        <f>IF(OR(G1601="",H1601="",G1601&lt;=1),"",IF(J1601&lt;IF(D1601="Builder",MinEdgeBuilder,IF(D1601="Player",MinEdgePlayer,MinEdgeSingle)),0,ROUND(MIN(IF(D1601="Single",KellySingle,KellyBuilder)*(StartBank+SUM(P$1:P1600))*J1601/(G1601-1),IF(D1601="Builder",CapBuilder,CapSingle)*Unit),2)))</f>
        <v/>
      </c>
      <c r="L1601" s="10" t="n"/>
      <c r="N1601" s="10" t="n"/>
      <c r="O1601" s="10">
        <f>IF(L1601="","",IF(M1601="Won",L1601*G1601,IF(M1601="Void",L1601,IF(M1601="Cash out",N(N1601),IF(M1601="Lost",0,"")))))</f>
        <v/>
      </c>
      <c r="P1601" s="10">
        <f>IF(OR(L1601="",M1601="",M1601="Pending"),"",O1601-L1601)</f>
        <v/>
      </c>
      <c r="Q1601" s="21" t="n"/>
      <c r="R1601" s="11">
        <f>IF(OR(G1601="",Q1601=""),"",G1601/Q1601-1)</f>
        <v/>
      </c>
      <c r="S1601" s="10">
        <f>IF(OR(L1601="",J1601=""),"",L1601*J1601)</f>
        <v/>
      </c>
      <c r="T1601" s="10">
        <f>IF(P1601="","",StartBank+SUM(P$2:P1601))</f>
        <v/>
      </c>
    </row>
    <row r="1602">
      <c r="A1602" s="22" t="n"/>
      <c r="G1602" s="21" t="n"/>
      <c r="H1602" s="11" t="n"/>
      <c r="I1602" s="21">
        <f>IF(OR(H1602="",H1602=0),"",1/H1602)</f>
        <v/>
      </c>
      <c r="J1602" s="11">
        <f>IF(OR(G1602="",H1602=""),"",H1602*G1602-1)</f>
        <v/>
      </c>
      <c r="K1602" s="10">
        <f>IF(OR(G1602="",H1602="",G1602&lt;=1),"",IF(J1602&lt;IF(D1602="Builder",MinEdgeBuilder,IF(D1602="Player",MinEdgePlayer,MinEdgeSingle)),0,ROUND(MIN(IF(D1602="Single",KellySingle,KellyBuilder)*(StartBank+SUM(P$1:P1601))*J1602/(G1602-1),IF(D1602="Builder",CapBuilder,CapSingle)*Unit),2)))</f>
        <v/>
      </c>
      <c r="L1602" s="10" t="n"/>
      <c r="N1602" s="10" t="n"/>
      <c r="O1602" s="10">
        <f>IF(L1602="","",IF(M1602="Won",L1602*G1602,IF(M1602="Void",L1602,IF(M1602="Cash out",N(N1602),IF(M1602="Lost",0,"")))))</f>
        <v/>
      </c>
      <c r="P1602" s="10">
        <f>IF(OR(L1602="",M1602="",M1602="Pending"),"",O1602-L1602)</f>
        <v/>
      </c>
      <c r="Q1602" s="21" t="n"/>
      <c r="R1602" s="11">
        <f>IF(OR(G1602="",Q1602=""),"",G1602/Q1602-1)</f>
        <v/>
      </c>
      <c r="S1602" s="10">
        <f>IF(OR(L1602="",J1602=""),"",L1602*J1602)</f>
        <v/>
      </c>
      <c r="T1602" s="10">
        <f>IF(P1602="","",StartBank+SUM(P$2:P1602))</f>
        <v/>
      </c>
    </row>
    <row r="1603">
      <c r="A1603" s="22" t="n"/>
      <c r="G1603" s="21" t="n"/>
      <c r="H1603" s="11" t="n"/>
      <c r="I1603" s="21">
        <f>IF(OR(H1603="",H1603=0),"",1/H1603)</f>
        <v/>
      </c>
      <c r="J1603" s="11">
        <f>IF(OR(G1603="",H1603=""),"",H1603*G1603-1)</f>
        <v/>
      </c>
      <c r="K1603" s="10">
        <f>IF(OR(G1603="",H1603="",G1603&lt;=1),"",IF(J1603&lt;IF(D1603="Builder",MinEdgeBuilder,IF(D1603="Player",MinEdgePlayer,MinEdgeSingle)),0,ROUND(MIN(IF(D1603="Single",KellySingle,KellyBuilder)*(StartBank+SUM(P$1:P1602))*J1603/(G1603-1),IF(D1603="Builder",CapBuilder,CapSingle)*Unit),2)))</f>
        <v/>
      </c>
      <c r="L1603" s="10" t="n"/>
      <c r="N1603" s="10" t="n"/>
      <c r="O1603" s="10">
        <f>IF(L1603="","",IF(M1603="Won",L1603*G1603,IF(M1603="Void",L1603,IF(M1603="Cash out",N(N1603),IF(M1603="Lost",0,"")))))</f>
        <v/>
      </c>
      <c r="P1603" s="10">
        <f>IF(OR(L1603="",M1603="",M1603="Pending"),"",O1603-L1603)</f>
        <v/>
      </c>
      <c r="Q1603" s="21" t="n"/>
      <c r="R1603" s="11">
        <f>IF(OR(G1603="",Q1603=""),"",G1603/Q1603-1)</f>
        <v/>
      </c>
      <c r="S1603" s="10">
        <f>IF(OR(L1603="",J1603=""),"",L1603*J1603)</f>
        <v/>
      </c>
      <c r="T1603" s="10">
        <f>IF(P1603="","",StartBank+SUM(P$2:P1603))</f>
        <v/>
      </c>
    </row>
    <row r="1604">
      <c r="A1604" s="22" t="n"/>
      <c r="G1604" s="21" t="n"/>
      <c r="H1604" s="11" t="n"/>
      <c r="I1604" s="21">
        <f>IF(OR(H1604="",H1604=0),"",1/H1604)</f>
        <v/>
      </c>
      <c r="J1604" s="11">
        <f>IF(OR(G1604="",H1604=""),"",H1604*G1604-1)</f>
        <v/>
      </c>
      <c r="K1604" s="10">
        <f>IF(OR(G1604="",H1604="",G1604&lt;=1),"",IF(J1604&lt;IF(D1604="Builder",MinEdgeBuilder,IF(D1604="Player",MinEdgePlayer,MinEdgeSingle)),0,ROUND(MIN(IF(D1604="Single",KellySingle,KellyBuilder)*(StartBank+SUM(P$1:P1603))*J1604/(G1604-1),IF(D1604="Builder",CapBuilder,CapSingle)*Unit),2)))</f>
        <v/>
      </c>
      <c r="L1604" s="10" t="n"/>
      <c r="N1604" s="10" t="n"/>
      <c r="O1604" s="10">
        <f>IF(L1604="","",IF(M1604="Won",L1604*G1604,IF(M1604="Void",L1604,IF(M1604="Cash out",N(N1604),IF(M1604="Lost",0,"")))))</f>
        <v/>
      </c>
      <c r="P1604" s="10">
        <f>IF(OR(L1604="",M1604="",M1604="Pending"),"",O1604-L1604)</f>
        <v/>
      </c>
      <c r="Q1604" s="21" t="n"/>
      <c r="R1604" s="11">
        <f>IF(OR(G1604="",Q1604=""),"",G1604/Q1604-1)</f>
        <v/>
      </c>
      <c r="S1604" s="10">
        <f>IF(OR(L1604="",J1604=""),"",L1604*J1604)</f>
        <v/>
      </c>
      <c r="T1604" s="10">
        <f>IF(P1604="","",StartBank+SUM(P$2:P1604))</f>
        <v/>
      </c>
    </row>
    <row r="1605">
      <c r="A1605" s="22" t="n"/>
      <c r="G1605" s="21" t="n"/>
      <c r="H1605" s="11" t="n"/>
      <c r="I1605" s="21">
        <f>IF(OR(H1605="",H1605=0),"",1/H1605)</f>
        <v/>
      </c>
      <c r="J1605" s="11">
        <f>IF(OR(G1605="",H1605=""),"",H1605*G1605-1)</f>
        <v/>
      </c>
      <c r="K1605" s="10">
        <f>IF(OR(G1605="",H1605="",G1605&lt;=1),"",IF(J1605&lt;IF(D1605="Builder",MinEdgeBuilder,IF(D1605="Player",MinEdgePlayer,MinEdgeSingle)),0,ROUND(MIN(IF(D1605="Single",KellySingle,KellyBuilder)*(StartBank+SUM(P$1:P1604))*J1605/(G1605-1),IF(D1605="Builder",CapBuilder,CapSingle)*Unit),2)))</f>
        <v/>
      </c>
      <c r="L1605" s="10" t="n"/>
      <c r="N1605" s="10" t="n"/>
      <c r="O1605" s="10">
        <f>IF(L1605="","",IF(M1605="Won",L1605*G1605,IF(M1605="Void",L1605,IF(M1605="Cash out",N(N1605),IF(M1605="Lost",0,"")))))</f>
        <v/>
      </c>
      <c r="P1605" s="10">
        <f>IF(OR(L1605="",M1605="",M1605="Pending"),"",O1605-L1605)</f>
        <v/>
      </c>
      <c r="Q1605" s="21" t="n"/>
      <c r="R1605" s="11">
        <f>IF(OR(G1605="",Q1605=""),"",G1605/Q1605-1)</f>
        <v/>
      </c>
      <c r="S1605" s="10">
        <f>IF(OR(L1605="",J1605=""),"",L1605*J1605)</f>
        <v/>
      </c>
      <c r="T1605" s="10">
        <f>IF(P1605="","",StartBank+SUM(P$2:P1605))</f>
        <v/>
      </c>
    </row>
    <row r="1606">
      <c r="A1606" s="22" t="n"/>
      <c r="G1606" s="21" t="n"/>
      <c r="H1606" s="11" t="n"/>
      <c r="I1606" s="21">
        <f>IF(OR(H1606="",H1606=0),"",1/H1606)</f>
        <v/>
      </c>
      <c r="J1606" s="11">
        <f>IF(OR(G1606="",H1606=""),"",H1606*G1606-1)</f>
        <v/>
      </c>
      <c r="K1606" s="10">
        <f>IF(OR(G1606="",H1606="",G1606&lt;=1),"",IF(J1606&lt;IF(D1606="Builder",MinEdgeBuilder,IF(D1606="Player",MinEdgePlayer,MinEdgeSingle)),0,ROUND(MIN(IF(D1606="Single",KellySingle,KellyBuilder)*(StartBank+SUM(P$1:P1605))*J1606/(G1606-1),IF(D1606="Builder",CapBuilder,CapSingle)*Unit),2)))</f>
        <v/>
      </c>
      <c r="L1606" s="10" t="n"/>
      <c r="N1606" s="10" t="n"/>
      <c r="O1606" s="10">
        <f>IF(L1606="","",IF(M1606="Won",L1606*G1606,IF(M1606="Void",L1606,IF(M1606="Cash out",N(N1606),IF(M1606="Lost",0,"")))))</f>
        <v/>
      </c>
      <c r="P1606" s="10">
        <f>IF(OR(L1606="",M1606="",M1606="Pending"),"",O1606-L1606)</f>
        <v/>
      </c>
      <c r="Q1606" s="21" t="n"/>
      <c r="R1606" s="11">
        <f>IF(OR(G1606="",Q1606=""),"",G1606/Q1606-1)</f>
        <v/>
      </c>
      <c r="S1606" s="10">
        <f>IF(OR(L1606="",J1606=""),"",L1606*J1606)</f>
        <v/>
      </c>
      <c r="T1606" s="10">
        <f>IF(P1606="","",StartBank+SUM(P$2:P1606))</f>
        <v/>
      </c>
    </row>
    <row r="1607">
      <c r="A1607" s="22" t="n"/>
      <c r="G1607" s="21" t="n"/>
      <c r="H1607" s="11" t="n"/>
      <c r="I1607" s="21">
        <f>IF(OR(H1607="",H1607=0),"",1/H1607)</f>
        <v/>
      </c>
      <c r="J1607" s="11">
        <f>IF(OR(G1607="",H1607=""),"",H1607*G1607-1)</f>
        <v/>
      </c>
      <c r="K1607" s="10">
        <f>IF(OR(G1607="",H1607="",G1607&lt;=1),"",IF(J1607&lt;IF(D1607="Builder",MinEdgeBuilder,IF(D1607="Player",MinEdgePlayer,MinEdgeSingle)),0,ROUND(MIN(IF(D1607="Single",KellySingle,KellyBuilder)*(StartBank+SUM(P$1:P1606))*J1607/(G1607-1),IF(D1607="Builder",CapBuilder,CapSingle)*Unit),2)))</f>
        <v/>
      </c>
      <c r="L1607" s="10" t="n"/>
      <c r="N1607" s="10" t="n"/>
      <c r="O1607" s="10">
        <f>IF(L1607="","",IF(M1607="Won",L1607*G1607,IF(M1607="Void",L1607,IF(M1607="Cash out",N(N1607),IF(M1607="Lost",0,"")))))</f>
        <v/>
      </c>
      <c r="P1607" s="10">
        <f>IF(OR(L1607="",M1607="",M1607="Pending"),"",O1607-L1607)</f>
        <v/>
      </c>
      <c r="Q1607" s="21" t="n"/>
      <c r="R1607" s="11">
        <f>IF(OR(G1607="",Q1607=""),"",G1607/Q1607-1)</f>
        <v/>
      </c>
      <c r="S1607" s="10">
        <f>IF(OR(L1607="",J1607=""),"",L1607*J1607)</f>
        <v/>
      </c>
      <c r="T1607" s="10">
        <f>IF(P1607="","",StartBank+SUM(P$2:P1607))</f>
        <v/>
      </c>
    </row>
    <row r="1608">
      <c r="A1608" s="22" t="n"/>
      <c r="G1608" s="21" t="n"/>
      <c r="H1608" s="11" t="n"/>
      <c r="I1608" s="21">
        <f>IF(OR(H1608="",H1608=0),"",1/H1608)</f>
        <v/>
      </c>
      <c r="J1608" s="11">
        <f>IF(OR(G1608="",H1608=""),"",H1608*G1608-1)</f>
        <v/>
      </c>
      <c r="K1608" s="10">
        <f>IF(OR(G1608="",H1608="",G1608&lt;=1),"",IF(J1608&lt;IF(D1608="Builder",MinEdgeBuilder,IF(D1608="Player",MinEdgePlayer,MinEdgeSingle)),0,ROUND(MIN(IF(D1608="Single",KellySingle,KellyBuilder)*(StartBank+SUM(P$1:P1607))*J1608/(G1608-1),IF(D1608="Builder",CapBuilder,CapSingle)*Unit),2)))</f>
        <v/>
      </c>
      <c r="L1608" s="10" t="n"/>
      <c r="N1608" s="10" t="n"/>
      <c r="O1608" s="10">
        <f>IF(L1608="","",IF(M1608="Won",L1608*G1608,IF(M1608="Void",L1608,IF(M1608="Cash out",N(N1608),IF(M1608="Lost",0,"")))))</f>
        <v/>
      </c>
      <c r="P1608" s="10">
        <f>IF(OR(L1608="",M1608="",M1608="Pending"),"",O1608-L1608)</f>
        <v/>
      </c>
      <c r="Q1608" s="21" t="n"/>
      <c r="R1608" s="11">
        <f>IF(OR(G1608="",Q1608=""),"",G1608/Q1608-1)</f>
        <v/>
      </c>
      <c r="S1608" s="10">
        <f>IF(OR(L1608="",J1608=""),"",L1608*J1608)</f>
        <v/>
      </c>
      <c r="T1608" s="10">
        <f>IF(P1608="","",StartBank+SUM(P$2:P1608))</f>
        <v/>
      </c>
    </row>
    <row r="1609">
      <c r="A1609" s="22" t="n"/>
      <c r="G1609" s="21" t="n"/>
      <c r="H1609" s="11" t="n"/>
      <c r="I1609" s="21">
        <f>IF(OR(H1609="",H1609=0),"",1/H1609)</f>
        <v/>
      </c>
      <c r="J1609" s="11">
        <f>IF(OR(G1609="",H1609=""),"",H1609*G1609-1)</f>
        <v/>
      </c>
      <c r="K1609" s="10">
        <f>IF(OR(G1609="",H1609="",G1609&lt;=1),"",IF(J1609&lt;IF(D1609="Builder",MinEdgeBuilder,IF(D1609="Player",MinEdgePlayer,MinEdgeSingle)),0,ROUND(MIN(IF(D1609="Single",KellySingle,KellyBuilder)*(StartBank+SUM(P$1:P1608))*J1609/(G1609-1),IF(D1609="Builder",CapBuilder,CapSingle)*Unit),2)))</f>
        <v/>
      </c>
      <c r="L1609" s="10" t="n"/>
      <c r="N1609" s="10" t="n"/>
      <c r="O1609" s="10">
        <f>IF(L1609="","",IF(M1609="Won",L1609*G1609,IF(M1609="Void",L1609,IF(M1609="Cash out",N(N1609),IF(M1609="Lost",0,"")))))</f>
        <v/>
      </c>
      <c r="P1609" s="10">
        <f>IF(OR(L1609="",M1609="",M1609="Pending"),"",O1609-L1609)</f>
        <v/>
      </c>
      <c r="Q1609" s="21" t="n"/>
      <c r="R1609" s="11">
        <f>IF(OR(G1609="",Q1609=""),"",G1609/Q1609-1)</f>
        <v/>
      </c>
      <c r="S1609" s="10">
        <f>IF(OR(L1609="",J1609=""),"",L1609*J1609)</f>
        <v/>
      </c>
      <c r="T1609" s="10">
        <f>IF(P1609="","",StartBank+SUM(P$2:P1609))</f>
        <v/>
      </c>
    </row>
    <row r="1610">
      <c r="A1610" s="22" t="n"/>
      <c r="G1610" s="21" t="n"/>
      <c r="H1610" s="11" t="n"/>
      <c r="I1610" s="21">
        <f>IF(OR(H1610="",H1610=0),"",1/H1610)</f>
        <v/>
      </c>
      <c r="J1610" s="11">
        <f>IF(OR(G1610="",H1610=""),"",H1610*G1610-1)</f>
        <v/>
      </c>
      <c r="K1610" s="10">
        <f>IF(OR(G1610="",H1610="",G1610&lt;=1),"",IF(J1610&lt;IF(D1610="Builder",MinEdgeBuilder,IF(D1610="Player",MinEdgePlayer,MinEdgeSingle)),0,ROUND(MIN(IF(D1610="Single",KellySingle,KellyBuilder)*(StartBank+SUM(P$1:P1609))*J1610/(G1610-1),IF(D1610="Builder",CapBuilder,CapSingle)*Unit),2)))</f>
        <v/>
      </c>
      <c r="L1610" s="10" t="n"/>
      <c r="N1610" s="10" t="n"/>
      <c r="O1610" s="10">
        <f>IF(L1610="","",IF(M1610="Won",L1610*G1610,IF(M1610="Void",L1610,IF(M1610="Cash out",N(N1610),IF(M1610="Lost",0,"")))))</f>
        <v/>
      </c>
      <c r="P1610" s="10">
        <f>IF(OR(L1610="",M1610="",M1610="Pending"),"",O1610-L1610)</f>
        <v/>
      </c>
      <c r="Q1610" s="21" t="n"/>
      <c r="R1610" s="11">
        <f>IF(OR(G1610="",Q1610=""),"",G1610/Q1610-1)</f>
        <v/>
      </c>
      <c r="S1610" s="10">
        <f>IF(OR(L1610="",J1610=""),"",L1610*J1610)</f>
        <v/>
      </c>
      <c r="T1610" s="10">
        <f>IF(P1610="","",StartBank+SUM(P$2:P1610))</f>
        <v/>
      </c>
    </row>
    <row r="1611">
      <c r="A1611" s="22" t="n"/>
      <c r="G1611" s="21" t="n"/>
      <c r="H1611" s="11" t="n"/>
      <c r="I1611" s="21">
        <f>IF(OR(H1611="",H1611=0),"",1/H1611)</f>
        <v/>
      </c>
      <c r="J1611" s="11">
        <f>IF(OR(G1611="",H1611=""),"",H1611*G1611-1)</f>
        <v/>
      </c>
      <c r="K1611" s="10">
        <f>IF(OR(G1611="",H1611="",G1611&lt;=1),"",IF(J1611&lt;IF(D1611="Builder",MinEdgeBuilder,IF(D1611="Player",MinEdgePlayer,MinEdgeSingle)),0,ROUND(MIN(IF(D1611="Single",KellySingle,KellyBuilder)*(StartBank+SUM(P$1:P1610))*J1611/(G1611-1),IF(D1611="Builder",CapBuilder,CapSingle)*Unit),2)))</f>
        <v/>
      </c>
      <c r="L1611" s="10" t="n"/>
      <c r="N1611" s="10" t="n"/>
      <c r="O1611" s="10">
        <f>IF(L1611="","",IF(M1611="Won",L1611*G1611,IF(M1611="Void",L1611,IF(M1611="Cash out",N(N1611),IF(M1611="Lost",0,"")))))</f>
        <v/>
      </c>
      <c r="P1611" s="10">
        <f>IF(OR(L1611="",M1611="",M1611="Pending"),"",O1611-L1611)</f>
        <v/>
      </c>
      <c r="Q1611" s="21" t="n"/>
      <c r="R1611" s="11">
        <f>IF(OR(G1611="",Q1611=""),"",G1611/Q1611-1)</f>
        <v/>
      </c>
      <c r="S1611" s="10">
        <f>IF(OR(L1611="",J1611=""),"",L1611*J1611)</f>
        <v/>
      </c>
      <c r="T1611" s="10">
        <f>IF(P1611="","",StartBank+SUM(P$2:P1611))</f>
        <v/>
      </c>
    </row>
    <row r="1612">
      <c r="A1612" s="22" t="n"/>
      <c r="G1612" s="21" t="n"/>
      <c r="H1612" s="11" t="n"/>
      <c r="I1612" s="21">
        <f>IF(OR(H1612="",H1612=0),"",1/H1612)</f>
        <v/>
      </c>
      <c r="J1612" s="11">
        <f>IF(OR(G1612="",H1612=""),"",H1612*G1612-1)</f>
        <v/>
      </c>
      <c r="K1612" s="10">
        <f>IF(OR(G1612="",H1612="",G1612&lt;=1),"",IF(J1612&lt;IF(D1612="Builder",MinEdgeBuilder,IF(D1612="Player",MinEdgePlayer,MinEdgeSingle)),0,ROUND(MIN(IF(D1612="Single",KellySingle,KellyBuilder)*(StartBank+SUM(P$1:P1611))*J1612/(G1612-1),IF(D1612="Builder",CapBuilder,CapSingle)*Unit),2)))</f>
        <v/>
      </c>
      <c r="L1612" s="10" t="n"/>
      <c r="N1612" s="10" t="n"/>
      <c r="O1612" s="10">
        <f>IF(L1612="","",IF(M1612="Won",L1612*G1612,IF(M1612="Void",L1612,IF(M1612="Cash out",N(N1612),IF(M1612="Lost",0,"")))))</f>
        <v/>
      </c>
      <c r="P1612" s="10">
        <f>IF(OR(L1612="",M1612="",M1612="Pending"),"",O1612-L1612)</f>
        <v/>
      </c>
      <c r="Q1612" s="21" t="n"/>
      <c r="R1612" s="11">
        <f>IF(OR(G1612="",Q1612=""),"",G1612/Q1612-1)</f>
        <v/>
      </c>
      <c r="S1612" s="10">
        <f>IF(OR(L1612="",J1612=""),"",L1612*J1612)</f>
        <v/>
      </c>
      <c r="T1612" s="10">
        <f>IF(P1612="","",StartBank+SUM(P$2:P1612))</f>
        <v/>
      </c>
    </row>
    <row r="1613">
      <c r="A1613" s="22" t="n"/>
      <c r="G1613" s="21" t="n"/>
      <c r="H1613" s="11" t="n"/>
      <c r="I1613" s="21">
        <f>IF(OR(H1613="",H1613=0),"",1/H1613)</f>
        <v/>
      </c>
      <c r="J1613" s="11">
        <f>IF(OR(G1613="",H1613=""),"",H1613*G1613-1)</f>
        <v/>
      </c>
      <c r="K1613" s="10">
        <f>IF(OR(G1613="",H1613="",G1613&lt;=1),"",IF(J1613&lt;IF(D1613="Builder",MinEdgeBuilder,IF(D1613="Player",MinEdgePlayer,MinEdgeSingle)),0,ROUND(MIN(IF(D1613="Single",KellySingle,KellyBuilder)*(StartBank+SUM(P$1:P1612))*J1613/(G1613-1),IF(D1613="Builder",CapBuilder,CapSingle)*Unit),2)))</f>
        <v/>
      </c>
      <c r="L1613" s="10" t="n"/>
      <c r="N1613" s="10" t="n"/>
      <c r="O1613" s="10">
        <f>IF(L1613="","",IF(M1613="Won",L1613*G1613,IF(M1613="Void",L1613,IF(M1613="Cash out",N(N1613),IF(M1613="Lost",0,"")))))</f>
        <v/>
      </c>
      <c r="P1613" s="10">
        <f>IF(OR(L1613="",M1613="",M1613="Pending"),"",O1613-L1613)</f>
        <v/>
      </c>
      <c r="Q1613" s="21" t="n"/>
      <c r="R1613" s="11">
        <f>IF(OR(G1613="",Q1613=""),"",G1613/Q1613-1)</f>
        <v/>
      </c>
      <c r="S1613" s="10">
        <f>IF(OR(L1613="",J1613=""),"",L1613*J1613)</f>
        <v/>
      </c>
      <c r="T1613" s="10">
        <f>IF(P1613="","",StartBank+SUM(P$2:P1613))</f>
        <v/>
      </c>
    </row>
    <row r="1614">
      <c r="A1614" s="22" t="n"/>
      <c r="G1614" s="21" t="n"/>
      <c r="H1614" s="11" t="n"/>
      <c r="I1614" s="21">
        <f>IF(OR(H1614="",H1614=0),"",1/H1614)</f>
        <v/>
      </c>
      <c r="J1614" s="11">
        <f>IF(OR(G1614="",H1614=""),"",H1614*G1614-1)</f>
        <v/>
      </c>
      <c r="K1614" s="10">
        <f>IF(OR(G1614="",H1614="",G1614&lt;=1),"",IF(J1614&lt;IF(D1614="Builder",MinEdgeBuilder,IF(D1614="Player",MinEdgePlayer,MinEdgeSingle)),0,ROUND(MIN(IF(D1614="Single",KellySingle,KellyBuilder)*(StartBank+SUM(P$1:P1613))*J1614/(G1614-1),IF(D1614="Builder",CapBuilder,CapSingle)*Unit),2)))</f>
        <v/>
      </c>
      <c r="L1614" s="10" t="n"/>
      <c r="N1614" s="10" t="n"/>
      <c r="O1614" s="10">
        <f>IF(L1614="","",IF(M1614="Won",L1614*G1614,IF(M1614="Void",L1614,IF(M1614="Cash out",N(N1614),IF(M1614="Lost",0,"")))))</f>
        <v/>
      </c>
      <c r="P1614" s="10">
        <f>IF(OR(L1614="",M1614="",M1614="Pending"),"",O1614-L1614)</f>
        <v/>
      </c>
      <c r="Q1614" s="21" t="n"/>
      <c r="R1614" s="11">
        <f>IF(OR(G1614="",Q1614=""),"",G1614/Q1614-1)</f>
        <v/>
      </c>
      <c r="S1614" s="10">
        <f>IF(OR(L1614="",J1614=""),"",L1614*J1614)</f>
        <v/>
      </c>
      <c r="T1614" s="10">
        <f>IF(P1614="","",StartBank+SUM(P$2:P1614))</f>
        <v/>
      </c>
    </row>
    <row r="1615">
      <c r="A1615" s="22" t="n"/>
      <c r="G1615" s="21" t="n"/>
      <c r="H1615" s="11" t="n"/>
      <c r="I1615" s="21">
        <f>IF(OR(H1615="",H1615=0),"",1/H1615)</f>
        <v/>
      </c>
      <c r="J1615" s="11">
        <f>IF(OR(G1615="",H1615=""),"",H1615*G1615-1)</f>
        <v/>
      </c>
      <c r="K1615" s="10">
        <f>IF(OR(G1615="",H1615="",G1615&lt;=1),"",IF(J1615&lt;IF(D1615="Builder",MinEdgeBuilder,IF(D1615="Player",MinEdgePlayer,MinEdgeSingle)),0,ROUND(MIN(IF(D1615="Single",KellySingle,KellyBuilder)*(StartBank+SUM(P$1:P1614))*J1615/(G1615-1),IF(D1615="Builder",CapBuilder,CapSingle)*Unit),2)))</f>
        <v/>
      </c>
      <c r="L1615" s="10" t="n"/>
      <c r="N1615" s="10" t="n"/>
      <c r="O1615" s="10">
        <f>IF(L1615="","",IF(M1615="Won",L1615*G1615,IF(M1615="Void",L1615,IF(M1615="Cash out",N(N1615),IF(M1615="Lost",0,"")))))</f>
        <v/>
      </c>
      <c r="P1615" s="10">
        <f>IF(OR(L1615="",M1615="",M1615="Pending"),"",O1615-L1615)</f>
        <v/>
      </c>
      <c r="Q1615" s="21" t="n"/>
      <c r="R1615" s="11">
        <f>IF(OR(G1615="",Q1615=""),"",G1615/Q1615-1)</f>
        <v/>
      </c>
      <c r="S1615" s="10">
        <f>IF(OR(L1615="",J1615=""),"",L1615*J1615)</f>
        <v/>
      </c>
      <c r="T1615" s="10">
        <f>IF(P1615="","",StartBank+SUM(P$2:P1615))</f>
        <v/>
      </c>
    </row>
    <row r="1616">
      <c r="A1616" s="22" t="n"/>
      <c r="G1616" s="21" t="n"/>
      <c r="H1616" s="11" t="n"/>
      <c r="I1616" s="21">
        <f>IF(OR(H1616="",H1616=0),"",1/H1616)</f>
        <v/>
      </c>
      <c r="J1616" s="11">
        <f>IF(OR(G1616="",H1616=""),"",H1616*G1616-1)</f>
        <v/>
      </c>
      <c r="K1616" s="10">
        <f>IF(OR(G1616="",H1616="",G1616&lt;=1),"",IF(J1616&lt;IF(D1616="Builder",MinEdgeBuilder,IF(D1616="Player",MinEdgePlayer,MinEdgeSingle)),0,ROUND(MIN(IF(D1616="Single",KellySingle,KellyBuilder)*(StartBank+SUM(P$1:P1615))*J1616/(G1616-1),IF(D1616="Builder",CapBuilder,CapSingle)*Unit),2)))</f>
        <v/>
      </c>
      <c r="L1616" s="10" t="n"/>
      <c r="N1616" s="10" t="n"/>
      <c r="O1616" s="10">
        <f>IF(L1616="","",IF(M1616="Won",L1616*G1616,IF(M1616="Void",L1616,IF(M1616="Cash out",N(N1616),IF(M1616="Lost",0,"")))))</f>
        <v/>
      </c>
      <c r="P1616" s="10">
        <f>IF(OR(L1616="",M1616="",M1616="Pending"),"",O1616-L1616)</f>
        <v/>
      </c>
      <c r="Q1616" s="21" t="n"/>
      <c r="R1616" s="11">
        <f>IF(OR(G1616="",Q1616=""),"",G1616/Q1616-1)</f>
        <v/>
      </c>
      <c r="S1616" s="10">
        <f>IF(OR(L1616="",J1616=""),"",L1616*J1616)</f>
        <v/>
      </c>
      <c r="T1616" s="10">
        <f>IF(P1616="","",StartBank+SUM(P$2:P1616))</f>
        <v/>
      </c>
    </row>
    <row r="1617">
      <c r="A1617" s="22" t="n"/>
      <c r="G1617" s="21" t="n"/>
      <c r="H1617" s="11" t="n"/>
      <c r="I1617" s="21">
        <f>IF(OR(H1617="",H1617=0),"",1/H1617)</f>
        <v/>
      </c>
      <c r="J1617" s="11">
        <f>IF(OR(G1617="",H1617=""),"",H1617*G1617-1)</f>
        <v/>
      </c>
      <c r="K1617" s="10">
        <f>IF(OR(G1617="",H1617="",G1617&lt;=1),"",IF(J1617&lt;IF(D1617="Builder",MinEdgeBuilder,IF(D1617="Player",MinEdgePlayer,MinEdgeSingle)),0,ROUND(MIN(IF(D1617="Single",KellySingle,KellyBuilder)*(StartBank+SUM(P$1:P1616))*J1617/(G1617-1),IF(D1617="Builder",CapBuilder,CapSingle)*Unit),2)))</f>
        <v/>
      </c>
      <c r="L1617" s="10" t="n"/>
      <c r="N1617" s="10" t="n"/>
      <c r="O1617" s="10">
        <f>IF(L1617="","",IF(M1617="Won",L1617*G1617,IF(M1617="Void",L1617,IF(M1617="Cash out",N(N1617),IF(M1617="Lost",0,"")))))</f>
        <v/>
      </c>
      <c r="P1617" s="10">
        <f>IF(OR(L1617="",M1617="",M1617="Pending"),"",O1617-L1617)</f>
        <v/>
      </c>
      <c r="Q1617" s="21" t="n"/>
      <c r="R1617" s="11">
        <f>IF(OR(G1617="",Q1617=""),"",G1617/Q1617-1)</f>
        <v/>
      </c>
      <c r="S1617" s="10">
        <f>IF(OR(L1617="",J1617=""),"",L1617*J1617)</f>
        <v/>
      </c>
      <c r="T1617" s="10">
        <f>IF(P1617="","",StartBank+SUM(P$2:P1617))</f>
        <v/>
      </c>
    </row>
    <row r="1618">
      <c r="A1618" s="22" t="n"/>
      <c r="G1618" s="21" t="n"/>
      <c r="H1618" s="11" t="n"/>
      <c r="I1618" s="21">
        <f>IF(OR(H1618="",H1618=0),"",1/H1618)</f>
        <v/>
      </c>
      <c r="J1618" s="11">
        <f>IF(OR(G1618="",H1618=""),"",H1618*G1618-1)</f>
        <v/>
      </c>
      <c r="K1618" s="10">
        <f>IF(OR(G1618="",H1618="",G1618&lt;=1),"",IF(J1618&lt;IF(D1618="Builder",MinEdgeBuilder,IF(D1618="Player",MinEdgePlayer,MinEdgeSingle)),0,ROUND(MIN(IF(D1618="Single",KellySingle,KellyBuilder)*(StartBank+SUM(P$1:P1617))*J1618/(G1618-1),IF(D1618="Builder",CapBuilder,CapSingle)*Unit),2)))</f>
        <v/>
      </c>
      <c r="L1618" s="10" t="n"/>
      <c r="N1618" s="10" t="n"/>
      <c r="O1618" s="10">
        <f>IF(L1618="","",IF(M1618="Won",L1618*G1618,IF(M1618="Void",L1618,IF(M1618="Cash out",N(N1618),IF(M1618="Lost",0,"")))))</f>
        <v/>
      </c>
      <c r="P1618" s="10">
        <f>IF(OR(L1618="",M1618="",M1618="Pending"),"",O1618-L1618)</f>
        <v/>
      </c>
      <c r="Q1618" s="21" t="n"/>
      <c r="R1618" s="11">
        <f>IF(OR(G1618="",Q1618=""),"",G1618/Q1618-1)</f>
        <v/>
      </c>
      <c r="S1618" s="10">
        <f>IF(OR(L1618="",J1618=""),"",L1618*J1618)</f>
        <v/>
      </c>
      <c r="T1618" s="10">
        <f>IF(P1618="","",StartBank+SUM(P$2:P1618))</f>
        <v/>
      </c>
    </row>
    <row r="1619">
      <c r="A1619" s="22" t="n"/>
      <c r="G1619" s="21" t="n"/>
      <c r="H1619" s="11" t="n"/>
      <c r="I1619" s="21">
        <f>IF(OR(H1619="",H1619=0),"",1/H1619)</f>
        <v/>
      </c>
      <c r="J1619" s="11">
        <f>IF(OR(G1619="",H1619=""),"",H1619*G1619-1)</f>
        <v/>
      </c>
      <c r="K1619" s="10">
        <f>IF(OR(G1619="",H1619="",G1619&lt;=1),"",IF(J1619&lt;IF(D1619="Builder",MinEdgeBuilder,IF(D1619="Player",MinEdgePlayer,MinEdgeSingle)),0,ROUND(MIN(IF(D1619="Single",KellySingle,KellyBuilder)*(StartBank+SUM(P$1:P1618))*J1619/(G1619-1),IF(D1619="Builder",CapBuilder,CapSingle)*Unit),2)))</f>
        <v/>
      </c>
      <c r="L1619" s="10" t="n"/>
      <c r="N1619" s="10" t="n"/>
      <c r="O1619" s="10">
        <f>IF(L1619="","",IF(M1619="Won",L1619*G1619,IF(M1619="Void",L1619,IF(M1619="Cash out",N(N1619),IF(M1619="Lost",0,"")))))</f>
        <v/>
      </c>
      <c r="P1619" s="10">
        <f>IF(OR(L1619="",M1619="",M1619="Pending"),"",O1619-L1619)</f>
        <v/>
      </c>
      <c r="Q1619" s="21" t="n"/>
      <c r="R1619" s="11">
        <f>IF(OR(G1619="",Q1619=""),"",G1619/Q1619-1)</f>
        <v/>
      </c>
      <c r="S1619" s="10">
        <f>IF(OR(L1619="",J1619=""),"",L1619*J1619)</f>
        <v/>
      </c>
      <c r="T1619" s="10">
        <f>IF(P1619="","",StartBank+SUM(P$2:P1619))</f>
        <v/>
      </c>
    </row>
    <row r="1620">
      <c r="A1620" s="22" t="n"/>
      <c r="G1620" s="21" t="n"/>
      <c r="H1620" s="11" t="n"/>
      <c r="I1620" s="21">
        <f>IF(OR(H1620="",H1620=0),"",1/H1620)</f>
        <v/>
      </c>
      <c r="J1620" s="11">
        <f>IF(OR(G1620="",H1620=""),"",H1620*G1620-1)</f>
        <v/>
      </c>
      <c r="K1620" s="10">
        <f>IF(OR(G1620="",H1620="",G1620&lt;=1),"",IF(J1620&lt;IF(D1620="Builder",MinEdgeBuilder,IF(D1620="Player",MinEdgePlayer,MinEdgeSingle)),0,ROUND(MIN(IF(D1620="Single",KellySingle,KellyBuilder)*(StartBank+SUM(P$1:P1619))*J1620/(G1620-1),IF(D1620="Builder",CapBuilder,CapSingle)*Unit),2)))</f>
        <v/>
      </c>
      <c r="L1620" s="10" t="n"/>
      <c r="N1620" s="10" t="n"/>
      <c r="O1620" s="10">
        <f>IF(L1620="","",IF(M1620="Won",L1620*G1620,IF(M1620="Void",L1620,IF(M1620="Cash out",N(N1620),IF(M1620="Lost",0,"")))))</f>
        <v/>
      </c>
      <c r="P1620" s="10">
        <f>IF(OR(L1620="",M1620="",M1620="Pending"),"",O1620-L1620)</f>
        <v/>
      </c>
      <c r="Q1620" s="21" t="n"/>
      <c r="R1620" s="11">
        <f>IF(OR(G1620="",Q1620=""),"",G1620/Q1620-1)</f>
        <v/>
      </c>
      <c r="S1620" s="10">
        <f>IF(OR(L1620="",J1620=""),"",L1620*J1620)</f>
        <v/>
      </c>
      <c r="T1620" s="10">
        <f>IF(P1620="","",StartBank+SUM(P$2:P1620))</f>
        <v/>
      </c>
    </row>
    <row r="1621">
      <c r="A1621" s="22" t="n"/>
      <c r="G1621" s="21" t="n"/>
      <c r="H1621" s="11" t="n"/>
      <c r="I1621" s="21">
        <f>IF(OR(H1621="",H1621=0),"",1/H1621)</f>
        <v/>
      </c>
      <c r="J1621" s="11">
        <f>IF(OR(G1621="",H1621=""),"",H1621*G1621-1)</f>
        <v/>
      </c>
      <c r="K1621" s="10">
        <f>IF(OR(G1621="",H1621="",G1621&lt;=1),"",IF(J1621&lt;IF(D1621="Builder",MinEdgeBuilder,IF(D1621="Player",MinEdgePlayer,MinEdgeSingle)),0,ROUND(MIN(IF(D1621="Single",KellySingle,KellyBuilder)*(StartBank+SUM(P$1:P1620))*J1621/(G1621-1),IF(D1621="Builder",CapBuilder,CapSingle)*Unit),2)))</f>
        <v/>
      </c>
      <c r="L1621" s="10" t="n"/>
      <c r="N1621" s="10" t="n"/>
      <c r="O1621" s="10">
        <f>IF(L1621="","",IF(M1621="Won",L1621*G1621,IF(M1621="Void",L1621,IF(M1621="Cash out",N(N1621),IF(M1621="Lost",0,"")))))</f>
        <v/>
      </c>
      <c r="P1621" s="10">
        <f>IF(OR(L1621="",M1621="",M1621="Pending"),"",O1621-L1621)</f>
        <v/>
      </c>
      <c r="Q1621" s="21" t="n"/>
      <c r="R1621" s="11">
        <f>IF(OR(G1621="",Q1621=""),"",G1621/Q1621-1)</f>
        <v/>
      </c>
      <c r="S1621" s="10">
        <f>IF(OR(L1621="",J1621=""),"",L1621*J1621)</f>
        <v/>
      </c>
      <c r="T1621" s="10">
        <f>IF(P1621="","",StartBank+SUM(P$2:P1621))</f>
        <v/>
      </c>
    </row>
    <row r="1622">
      <c r="A1622" s="22" t="n"/>
      <c r="G1622" s="21" t="n"/>
      <c r="H1622" s="11" t="n"/>
      <c r="I1622" s="21">
        <f>IF(OR(H1622="",H1622=0),"",1/H1622)</f>
        <v/>
      </c>
      <c r="J1622" s="11">
        <f>IF(OR(G1622="",H1622=""),"",H1622*G1622-1)</f>
        <v/>
      </c>
      <c r="K1622" s="10">
        <f>IF(OR(G1622="",H1622="",G1622&lt;=1),"",IF(J1622&lt;IF(D1622="Builder",MinEdgeBuilder,IF(D1622="Player",MinEdgePlayer,MinEdgeSingle)),0,ROUND(MIN(IF(D1622="Single",KellySingle,KellyBuilder)*(StartBank+SUM(P$1:P1621))*J1622/(G1622-1),IF(D1622="Builder",CapBuilder,CapSingle)*Unit),2)))</f>
        <v/>
      </c>
      <c r="L1622" s="10" t="n"/>
      <c r="N1622" s="10" t="n"/>
      <c r="O1622" s="10">
        <f>IF(L1622="","",IF(M1622="Won",L1622*G1622,IF(M1622="Void",L1622,IF(M1622="Cash out",N(N1622),IF(M1622="Lost",0,"")))))</f>
        <v/>
      </c>
      <c r="P1622" s="10">
        <f>IF(OR(L1622="",M1622="",M1622="Pending"),"",O1622-L1622)</f>
        <v/>
      </c>
      <c r="Q1622" s="21" t="n"/>
      <c r="R1622" s="11">
        <f>IF(OR(G1622="",Q1622=""),"",G1622/Q1622-1)</f>
        <v/>
      </c>
      <c r="S1622" s="10">
        <f>IF(OR(L1622="",J1622=""),"",L1622*J1622)</f>
        <v/>
      </c>
      <c r="T1622" s="10">
        <f>IF(P1622="","",StartBank+SUM(P$2:P1622))</f>
        <v/>
      </c>
    </row>
    <row r="1623">
      <c r="A1623" s="22" t="n"/>
      <c r="G1623" s="21" t="n"/>
      <c r="H1623" s="11" t="n"/>
      <c r="I1623" s="21">
        <f>IF(OR(H1623="",H1623=0),"",1/H1623)</f>
        <v/>
      </c>
      <c r="J1623" s="11">
        <f>IF(OR(G1623="",H1623=""),"",H1623*G1623-1)</f>
        <v/>
      </c>
      <c r="K1623" s="10">
        <f>IF(OR(G1623="",H1623="",G1623&lt;=1),"",IF(J1623&lt;IF(D1623="Builder",MinEdgeBuilder,IF(D1623="Player",MinEdgePlayer,MinEdgeSingle)),0,ROUND(MIN(IF(D1623="Single",KellySingle,KellyBuilder)*(StartBank+SUM(P$1:P1622))*J1623/(G1623-1),IF(D1623="Builder",CapBuilder,CapSingle)*Unit),2)))</f>
        <v/>
      </c>
      <c r="L1623" s="10" t="n"/>
      <c r="N1623" s="10" t="n"/>
      <c r="O1623" s="10">
        <f>IF(L1623="","",IF(M1623="Won",L1623*G1623,IF(M1623="Void",L1623,IF(M1623="Cash out",N(N1623),IF(M1623="Lost",0,"")))))</f>
        <v/>
      </c>
      <c r="P1623" s="10">
        <f>IF(OR(L1623="",M1623="",M1623="Pending"),"",O1623-L1623)</f>
        <v/>
      </c>
      <c r="Q1623" s="21" t="n"/>
      <c r="R1623" s="11">
        <f>IF(OR(G1623="",Q1623=""),"",G1623/Q1623-1)</f>
        <v/>
      </c>
      <c r="S1623" s="10">
        <f>IF(OR(L1623="",J1623=""),"",L1623*J1623)</f>
        <v/>
      </c>
      <c r="T1623" s="10">
        <f>IF(P1623="","",StartBank+SUM(P$2:P1623))</f>
        <v/>
      </c>
    </row>
    <row r="1624">
      <c r="A1624" s="22" t="n"/>
      <c r="G1624" s="21" t="n"/>
      <c r="H1624" s="11" t="n"/>
      <c r="I1624" s="21">
        <f>IF(OR(H1624="",H1624=0),"",1/H1624)</f>
        <v/>
      </c>
      <c r="J1624" s="11">
        <f>IF(OR(G1624="",H1624=""),"",H1624*G1624-1)</f>
        <v/>
      </c>
      <c r="K1624" s="10">
        <f>IF(OR(G1624="",H1624="",G1624&lt;=1),"",IF(J1624&lt;IF(D1624="Builder",MinEdgeBuilder,IF(D1624="Player",MinEdgePlayer,MinEdgeSingle)),0,ROUND(MIN(IF(D1624="Single",KellySingle,KellyBuilder)*(StartBank+SUM(P$1:P1623))*J1624/(G1624-1),IF(D1624="Builder",CapBuilder,CapSingle)*Unit),2)))</f>
        <v/>
      </c>
      <c r="L1624" s="10" t="n"/>
      <c r="N1624" s="10" t="n"/>
      <c r="O1624" s="10">
        <f>IF(L1624="","",IF(M1624="Won",L1624*G1624,IF(M1624="Void",L1624,IF(M1624="Cash out",N(N1624),IF(M1624="Lost",0,"")))))</f>
        <v/>
      </c>
      <c r="P1624" s="10">
        <f>IF(OR(L1624="",M1624="",M1624="Pending"),"",O1624-L1624)</f>
        <v/>
      </c>
      <c r="Q1624" s="21" t="n"/>
      <c r="R1624" s="11">
        <f>IF(OR(G1624="",Q1624=""),"",G1624/Q1624-1)</f>
        <v/>
      </c>
      <c r="S1624" s="10">
        <f>IF(OR(L1624="",J1624=""),"",L1624*J1624)</f>
        <v/>
      </c>
      <c r="T1624" s="10">
        <f>IF(P1624="","",StartBank+SUM(P$2:P1624))</f>
        <v/>
      </c>
    </row>
    <row r="1625">
      <c r="A1625" s="22" t="n"/>
      <c r="G1625" s="21" t="n"/>
      <c r="H1625" s="11" t="n"/>
      <c r="I1625" s="21">
        <f>IF(OR(H1625="",H1625=0),"",1/H1625)</f>
        <v/>
      </c>
      <c r="J1625" s="11">
        <f>IF(OR(G1625="",H1625=""),"",H1625*G1625-1)</f>
        <v/>
      </c>
      <c r="K1625" s="10">
        <f>IF(OR(G1625="",H1625="",G1625&lt;=1),"",IF(J1625&lt;IF(D1625="Builder",MinEdgeBuilder,IF(D1625="Player",MinEdgePlayer,MinEdgeSingle)),0,ROUND(MIN(IF(D1625="Single",KellySingle,KellyBuilder)*(StartBank+SUM(P$1:P1624))*J1625/(G1625-1),IF(D1625="Builder",CapBuilder,CapSingle)*Unit),2)))</f>
        <v/>
      </c>
      <c r="L1625" s="10" t="n"/>
      <c r="N1625" s="10" t="n"/>
      <c r="O1625" s="10">
        <f>IF(L1625="","",IF(M1625="Won",L1625*G1625,IF(M1625="Void",L1625,IF(M1625="Cash out",N(N1625),IF(M1625="Lost",0,"")))))</f>
        <v/>
      </c>
      <c r="P1625" s="10">
        <f>IF(OR(L1625="",M1625="",M1625="Pending"),"",O1625-L1625)</f>
        <v/>
      </c>
      <c r="Q1625" s="21" t="n"/>
      <c r="R1625" s="11">
        <f>IF(OR(G1625="",Q1625=""),"",G1625/Q1625-1)</f>
        <v/>
      </c>
      <c r="S1625" s="10">
        <f>IF(OR(L1625="",J1625=""),"",L1625*J1625)</f>
        <v/>
      </c>
      <c r="T1625" s="10">
        <f>IF(P1625="","",StartBank+SUM(P$2:P1625))</f>
        <v/>
      </c>
    </row>
    <row r="1626">
      <c r="A1626" s="22" t="n"/>
      <c r="G1626" s="21" t="n"/>
      <c r="H1626" s="11" t="n"/>
      <c r="I1626" s="21">
        <f>IF(OR(H1626="",H1626=0),"",1/H1626)</f>
        <v/>
      </c>
      <c r="J1626" s="11">
        <f>IF(OR(G1626="",H1626=""),"",H1626*G1626-1)</f>
        <v/>
      </c>
      <c r="K1626" s="10">
        <f>IF(OR(G1626="",H1626="",G1626&lt;=1),"",IF(J1626&lt;IF(D1626="Builder",MinEdgeBuilder,IF(D1626="Player",MinEdgePlayer,MinEdgeSingle)),0,ROUND(MIN(IF(D1626="Single",KellySingle,KellyBuilder)*(StartBank+SUM(P$1:P1625))*J1626/(G1626-1),IF(D1626="Builder",CapBuilder,CapSingle)*Unit),2)))</f>
        <v/>
      </c>
      <c r="L1626" s="10" t="n"/>
      <c r="N1626" s="10" t="n"/>
      <c r="O1626" s="10">
        <f>IF(L1626="","",IF(M1626="Won",L1626*G1626,IF(M1626="Void",L1626,IF(M1626="Cash out",N(N1626),IF(M1626="Lost",0,"")))))</f>
        <v/>
      </c>
      <c r="P1626" s="10">
        <f>IF(OR(L1626="",M1626="",M1626="Pending"),"",O1626-L1626)</f>
        <v/>
      </c>
      <c r="Q1626" s="21" t="n"/>
      <c r="R1626" s="11">
        <f>IF(OR(G1626="",Q1626=""),"",G1626/Q1626-1)</f>
        <v/>
      </c>
      <c r="S1626" s="10">
        <f>IF(OR(L1626="",J1626=""),"",L1626*J1626)</f>
        <v/>
      </c>
      <c r="T1626" s="10">
        <f>IF(P1626="","",StartBank+SUM(P$2:P1626))</f>
        <v/>
      </c>
    </row>
    <row r="1627">
      <c r="A1627" s="22" t="n"/>
      <c r="G1627" s="21" t="n"/>
      <c r="H1627" s="11" t="n"/>
      <c r="I1627" s="21">
        <f>IF(OR(H1627="",H1627=0),"",1/H1627)</f>
        <v/>
      </c>
      <c r="J1627" s="11">
        <f>IF(OR(G1627="",H1627=""),"",H1627*G1627-1)</f>
        <v/>
      </c>
      <c r="K1627" s="10">
        <f>IF(OR(G1627="",H1627="",G1627&lt;=1),"",IF(J1627&lt;IF(D1627="Builder",MinEdgeBuilder,IF(D1627="Player",MinEdgePlayer,MinEdgeSingle)),0,ROUND(MIN(IF(D1627="Single",KellySingle,KellyBuilder)*(StartBank+SUM(P$1:P1626))*J1627/(G1627-1),IF(D1627="Builder",CapBuilder,CapSingle)*Unit),2)))</f>
        <v/>
      </c>
      <c r="L1627" s="10" t="n"/>
      <c r="N1627" s="10" t="n"/>
      <c r="O1627" s="10">
        <f>IF(L1627="","",IF(M1627="Won",L1627*G1627,IF(M1627="Void",L1627,IF(M1627="Cash out",N(N1627),IF(M1627="Lost",0,"")))))</f>
        <v/>
      </c>
      <c r="P1627" s="10">
        <f>IF(OR(L1627="",M1627="",M1627="Pending"),"",O1627-L1627)</f>
        <v/>
      </c>
      <c r="Q1627" s="21" t="n"/>
      <c r="R1627" s="11">
        <f>IF(OR(G1627="",Q1627=""),"",G1627/Q1627-1)</f>
        <v/>
      </c>
      <c r="S1627" s="10">
        <f>IF(OR(L1627="",J1627=""),"",L1627*J1627)</f>
        <v/>
      </c>
      <c r="T1627" s="10">
        <f>IF(P1627="","",StartBank+SUM(P$2:P1627))</f>
        <v/>
      </c>
    </row>
    <row r="1628">
      <c r="A1628" s="22" t="n"/>
      <c r="G1628" s="21" t="n"/>
      <c r="H1628" s="11" t="n"/>
      <c r="I1628" s="21">
        <f>IF(OR(H1628="",H1628=0),"",1/H1628)</f>
        <v/>
      </c>
      <c r="J1628" s="11">
        <f>IF(OR(G1628="",H1628=""),"",H1628*G1628-1)</f>
        <v/>
      </c>
      <c r="K1628" s="10">
        <f>IF(OR(G1628="",H1628="",G1628&lt;=1),"",IF(J1628&lt;IF(D1628="Builder",MinEdgeBuilder,IF(D1628="Player",MinEdgePlayer,MinEdgeSingle)),0,ROUND(MIN(IF(D1628="Single",KellySingle,KellyBuilder)*(StartBank+SUM(P$1:P1627))*J1628/(G1628-1),IF(D1628="Builder",CapBuilder,CapSingle)*Unit),2)))</f>
        <v/>
      </c>
      <c r="L1628" s="10" t="n"/>
      <c r="N1628" s="10" t="n"/>
      <c r="O1628" s="10">
        <f>IF(L1628="","",IF(M1628="Won",L1628*G1628,IF(M1628="Void",L1628,IF(M1628="Cash out",N(N1628),IF(M1628="Lost",0,"")))))</f>
        <v/>
      </c>
      <c r="P1628" s="10">
        <f>IF(OR(L1628="",M1628="",M1628="Pending"),"",O1628-L1628)</f>
        <v/>
      </c>
      <c r="Q1628" s="21" t="n"/>
      <c r="R1628" s="11">
        <f>IF(OR(G1628="",Q1628=""),"",G1628/Q1628-1)</f>
        <v/>
      </c>
      <c r="S1628" s="10">
        <f>IF(OR(L1628="",J1628=""),"",L1628*J1628)</f>
        <v/>
      </c>
      <c r="T1628" s="10">
        <f>IF(P1628="","",StartBank+SUM(P$2:P1628))</f>
        <v/>
      </c>
    </row>
    <row r="1629">
      <c r="A1629" s="22" t="n"/>
      <c r="G1629" s="21" t="n"/>
      <c r="H1629" s="11" t="n"/>
      <c r="I1629" s="21">
        <f>IF(OR(H1629="",H1629=0),"",1/H1629)</f>
        <v/>
      </c>
      <c r="J1629" s="11">
        <f>IF(OR(G1629="",H1629=""),"",H1629*G1629-1)</f>
        <v/>
      </c>
      <c r="K1629" s="10">
        <f>IF(OR(G1629="",H1629="",G1629&lt;=1),"",IF(J1629&lt;IF(D1629="Builder",MinEdgeBuilder,IF(D1629="Player",MinEdgePlayer,MinEdgeSingle)),0,ROUND(MIN(IF(D1629="Single",KellySingle,KellyBuilder)*(StartBank+SUM(P$1:P1628))*J1629/(G1629-1),IF(D1629="Builder",CapBuilder,CapSingle)*Unit),2)))</f>
        <v/>
      </c>
      <c r="L1629" s="10" t="n"/>
      <c r="N1629" s="10" t="n"/>
      <c r="O1629" s="10">
        <f>IF(L1629="","",IF(M1629="Won",L1629*G1629,IF(M1629="Void",L1629,IF(M1629="Cash out",N(N1629),IF(M1629="Lost",0,"")))))</f>
        <v/>
      </c>
      <c r="P1629" s="10">
        <f>IF(OR(L1629="",M1629="",M1629="Pending"),"",O1629-L1629)</f>
        <v/>
      </c>
      <c r="Q1629" s="21" t="n"/>
      <c r="R1629" s="11">
        <f>IF(OR(G1629="",Q1629=""),"",G1629/Q1629-1)</f>
        <v/>
      </c>
      <c r="S1629" s="10">
        <f>IF(OR(L1629="",J1629=""),"",L1629*J1629)</f>
        <v/>
      </c>
      <c r="T1629" s="10">
        <f>IF(P1629="","",StartBank+SUM(P$2:P1629))</f>
        <v/>
      </c>
    </row>
    <row r="1630">
      <c r="A1630" s="22" t="n"/>
      <c r="G1630" s="21" t="n"/>
      <c r="H1630" s="11" t="n"/>
      <c r="I1630" s="21">
        <f>IF(OR(H1630="",H1630=0),"",1/H1630)</f>
        <v/>
      </c>
      <c r="J1630" s="11">
        <f>IF(OR(G1630="",H1630=""),"",H1630*G1630-1)</f>
        <v/>
      </c>
      <c r="K1630" s="10">
        <f>IF(OR(G1630="",H1630="",G1630&lt;=1),"",IF(J1630&lt;IF(D1630="Builder",MinEdgeBuilder,IF(D1630="Player",MinEdgePlayer,MinEdgeSingle)),0,ROUND(MIN(IF(D1630="Single",KellySingle,KellyBuilder)*(StartBank+SUM(P$1:P1629))*J1630/(G1630-1),IF(D1630="Builder",CapBuilder,CapSingle)*Unit),2)))</f>
        <v/>
      </c>
      <c r="L1630" s="10" t="n"/>
      <c r="N1630" s="10" t="n"/>
      <c r="O1630" s="10">
        <f>IF(L1630="","",IF(M1630="Won",L1630*G1630,IF(M1630="Void",L1630,IF(M1630="Cash out",N(N1630),IF(M1630="Lost",0,"")))))</f>
        <v/>
      </c>
      <c r="P1630" s="10">
        <f>IF(OR(L1630="",M1630="",M1630="Pending"),"",O1630-L1630)</f>
        <v/>
      </c>
      <c r="Q1630" s="21" t="n"/>
      <c r="R1630" s="11">
        <f>IF(OR(G1630="",Q1630=""),"",G1630/Q1630-1)</f>
        <v/>
      </c>
      <c r="S1630" s="10">
        <f>IF(OR(L1630="",J1630=""),"",L1630*J1630)</f>
        <v/>
      </c>
      <c r="T1630" s="10">
        <f>IF(P1630="","",StartBank+SUM(P$2:P1630))</f>
        <v/>
      </c>
    </row>
    <row r="1631">
      <c r="A1631" s="22" t="n"/>
      <c r="G1631" s="21" t="n"/>
      <c r="H1631" s="11" t="n"/>
      <c r="I1631" s="21">
        <f>IF(OR(H1631="",H1631=0),"",1/H1631)</f>
        <v/>
      </c>
      <c r="J1631" s="11">
        <f>IF(OR(G1631="",H1631=""),"",H1631*G1631-1)</f>
        <v/>
      </c>
      <c r="K1631" s="10">
        <f>IF(OR(G1631="",H1631="",G1631&lt;=1),"",IF(J1631&lt;IF(D1631="Builder",MinEdgeBuilder,IF(D1631="Player",MinEdgePlayer,MinEdgeSingle)),0,ROUND(MIN(IF(D1631="Single",KellySingle,KellyBuilder)*(StartBank+SUM(P$1:P1630))*J1631/(G1631-1),IF(D1631="Builder",CapBuilder,CapSingle)*Unit),2)))</f>
        <v/>
      </c>
      <c r="L1631" s="10" t="n"/>
      <c r="N1631" s="10" t="n"/>
      <c r="O1631" s="10">
        <f>IF(L1631="","",IF(M1631="Won",L1631*G1631,IF(M1631="Void",L1631,IF(M1631="Cash out",N(N1631),IF(M1631="Lost",0,"")))))</f>
        <v/>
      </c>
      <c r="P1631" s="10">
        <f>IF(OR(L1631="",M1631="",M1631="Pending"),"",O1631-L1631)</f>
        <v/>
      </c>
      <c r="Q1631" s="21" t="n"/>
      <c r="R1631" s="11">
        <f>IF(OR(G1631="",Q1631=""),"",G1631/Q1631-1)</f>
        <v/>
      </c>
      <c r="S1631" s="10">
        <f>IF(OR(L1631="",J1631=""),"",L1631*J1631)</f>
        <v/>
      </c>
      <c r="T1631" s="10">
        <f>IF(P1631="","",StartBank+SUM(P$2:P1631))</f>
        <v/>
      </c>
    </row>
    <row r="1632">
      <c r="A1632" s="22" t="n"/>
      <c r="G1632" s="21" t="n"/>
      <c r="H1632" s="11" t="n"/>
      <c r="I1632" s="21">
        <f>IF(OR(H1632="",H1632=0),"",1/H1632)</f>
        <v/>
      </c>
      <c r="J1632" s="11">
        <f>IF(OR(G1632="",H1632=""),"",H1632*G1632-1)</f>
        <v/>
      </c>
      <c r="K1632" s="10">
        <f>IF(OR(G1632="",H1632="",G1632&lt;=1),"",IF(J1632&lt;IF(D1632="Builder",MinEdgeBuilder,IF(D1632="Player",MinEdgePlayer,MinEdgeSingle)),0,ROUND(MIN(IF(D1632="Single",KellySingle,KellyBuilder)*(StartBank+SUM(P$1:P1631))*J1632/(G1632-1),IF(D1632="Builder",CapBuilder,CapSingle)*Unit),2)))</f>
        <v/>
      </c>
      <c r="L1632" s="10" t="n"/>
      <c r="N1632" s="10" t="n"/>
      <c r="O1632" s="10">
        <f>IF(L1632="","",IF(M1632="Won",L1632*G1632,IF(M1632="Void",L1632,IF(M1632="Cash out",N(N1632),IF(M1632="Lost",0,"")))))</f>
        <v/>
      </c>
      <c r="P1632" s="10">
        <f>IF(OR(L1632="",M1632="",M1632="Pending"),"",O1632-L1632)</f>
        <v/>
      </c>
      <c r="Q1632" s="21" t="n"/>
      <c r="R1632" s="11">
        <f>IF(OR(G1632="",Q1632=""),"",G1632/Q1632-1)</f>
        <v/>
      </c>
      <c r="S1632" s="10">
        <f>IF(OR(L1632="",J1632=""),"",L1632*J1632)</f>
        <v/>
      </c>
      <c r="T1632" s="10">
        <f>IF(P1632="","",StartBank+SUM(P$2:P1632))</f>
        <v/>
      </c>
    </row>
    <row r="1633">
      <c r="A1633" s="22" t="n"/>
      <c r="G1633" s="21" t="n"/>
      <c r="H1633" s="11" t="n"/>
      <c r="I1633" s="21">
        <f>IF(OR(H1633="",H1633=0),"",1/H1633)</f>
        <v/>
      </c>
      <c r="J1633" s="11">
        <f>IF(OR(G1633="",H1633=""),"",H1633*G1633-1)</f>
        <v/>
      </c>
      <c r="K1633" s="10">
        <f>IF(OR(G1633="",H1633="",G1633&lt;=1),"",IF(J1633&lt;IF(D1633="Builder",MinEdgeBuilder,IF(D1633="Player",MinEdgePlayer,MinEdgeSingle)),0,ROUND(MIN(IF(D1633="Single",KellySingle,KellyBuilder)*(StartBank+SUM(P$1:P1632))*J1633/(G1633-1),IF(D1633="Builder",CapBuilder,CapSingle)*Unit),2)))</f>
        <v/>
      </c>
      <c r="L1633" s="10" t="n"/>
      <c r="N1633" s="10" t="n"/>
      <c r="O1633" s="10">
        <f>IF(L1633="","",IF(M1633="Won",L1633*G1633,IF(M1633="Void",L1633,IF(M1633="Cash out",N(N1633),IF(M1633="Lost",0,"")))))</f>
        <v/>
      </c>
      <c r="P1633" s="10">
        <f>IF(OR(L1633="",M1633="",M1633="Pending"),"",O1633-L1633)</f>
        <v/>
      </c>
      <c r="Q1633" s="21" t="n"/>
      <c r="R1633" s="11">
        <f>IF(OR(G1633="",Q1633=""),"",G1633/Q1633-1)</f>
        <v/>
      </c>
      <c r="S1633" s="10">
        <f>IF(OR(L1633="",J1633=""),"",L1633*J1633)</f>
        <v/>
      </c>
      <c r="T1633" s="10">
        <f>IF(P1633="","",StartBank+SUM(P$2:P1633))</f>
        <v/>
      </c>
    </row>
    <row r="1634">
      <c r="A1634" s="22" t="n"/>
      <c r="G1634" s="21" t="n"/>
      <c r="H1634" s="11" t="n"/>
      <c r="I1634" s="21">
        <f>IF(OR(H1634="",H1634=0),"",1/H1634)</f>
        <v/>
      </c>
      <c r="J1634" s="11">
        <f>IF(OR(G1634="",H1634=""),"",H1634*G1634-1)</f>
        <v/>
      </c>
      <c r="K1634" s="10">
        <f>IF(OR(G1634="",H1634="",G1634&lt;=1),"",IF(J1634&lt;IF(D1634="Builder",MinEdgeBuilder,IF(D1634="Player",MinEdgePlayer,MinEdgeSingle)),0,ROUND(MIN(IF(D1634="Single",KellySingle,KellyBuilder)*(StartBank+SUM(P$1:P1633))*J1634/(G1634-1),IF(D1634="Builder",CapBuilder,CapSingle)*Unit),2)))</f>
        <v/>
      </c>
      <c r="L1634" s="10" t="n"/>
      <c r="N1634" s="10" t="n"/>
      <c r="O1634" s="10">
        <f>IF(L1634="","",IF(M1634="Won",L1634*G1634,IF(M1634="Void",L1634,IF(M1634="Cash out",N(N1634),IF(M1634="Lost",0,"")))))</f>
        <v/>
      </c>
      <c r="P1634" s="10">
        <f>IF(OR(L1634="",M1634="",M1634="Pending"),"",O1634-L1634)</f>
        <v/>
      </c>
      <c r="Q1634" s="21" t="n"/>
      <c r="R1634" s="11">
        <f>IF(OR(G1634="",Q1634=""),"",G1634/Q1634-1)</f>
        <v/>
      </c>
      <c r="S1634" s="10">
        <f>IF(OR(L1634="",J1634=""),"",L1634*J1634)</f>
        <v/>
      </c>
      <c r="T1634" s="10">
        <f>IF(P1634="","",StartBank+SUM(P$2:P1634))</f>
        <v/>
      </c>
    </row>
    <row r="1635">
      <c r="A1635" s="22" t="n"/>
      <c r="G1635" s="21" t="n"/>
      <c r="H1635" s="11" t="n"/>
      <c r="I1635" s="21">
        <f>IF(OR(H1635="",H1635=0),"",1/H1635)</f>
        <v/>
      </c>
      <c r="J1635" s="11">
        <f>IF(OR(G1635="",H1635=""),"",H1635*G1635-1)</f>
        <v/>
      </c>
      <c r="K1635" s="10">
        <f>IF(OR(G1635="",H1635="",G1635&lt;=1),"",IF(J1635&lt;IF(D1635="Builder",MinEdgeBuilder,IF(D1635="Player",MinEdgePlayer,MinEdgeSingle)),0,ROUND(MIN(IF(D1635="Single",KellySingle,KellyBuilder)*(StartBank+SUM(P$1:P1634))*J1635/(G1635-1),IF(D1635="Builder",CapBuilder,CapSingle)*Unit),2)))</f>
        <v/>
      </c>
      <c r="L1635" s="10" t="n"/>
      <c r="N1635" s="10" t="n"/>
      <c r="O1635" s="10">
        <f>IF(L1635="","",IF(M1635="Won",L1635*G1635,IF(M1635="Void",L1635,IF(M1635="Cash out",N(N1635),IF(M1635="Lost",0,"")))))</f>
        <v/>
      </c>
      <c r="P1635" s="10">
        <f>IF(OR(L1635="",M1635="",M1635="Pending"),"",O1635-L1635)</f>
        <v/>
      </c>
      <c r="Q1635" s="21" t="n"/>
      <c r="R1635" s="11">
        <f>IF(OR(G1635="",Q1635=""),"",G1635/Q1635-1)</f>
        <v/>
      </c>
      <c r="S1635" s="10">
        <f>IF(OR(L1635="",J1635=""),"",L1635*J1635)</f>
        <v/>
      </c>
      <c r="T1635" s="10">
        <f>IF(P1635="","",StartBank+SUM(P$2:P1635))</f>
        <v/>
      </c>
    </row>
    <row r="1636">
      <c r="A1636" s="22" t="n"/>
      <c r="G1636" s="21" t="n"/>
      <c r="H1636" s="11" t="n"/>
      <c r="I1636" s="21">
        <f>IF(OR(H1636="",H1636=0),"",1/H1636)</f>
        <v/>
      </c>
      <c r="J1636" s="11">
        <f>IF(OR(G1636="",H1636=""),"",H1636*G1636-1)</f>
        <v/>
      </c>
      <c r="K1636" s="10">
        <f>IF(OR(G1636="",H1636="",G1636&lt;=1),"",IF(J1636&lt;IF(D1636="Builder",MinEdgeBuilder,IF(D1636="Player",MinEdgePlayer,MinEdgeSingle)),0,ROUND(MIN(IF(D1636="Single",KellySingle,KellyBuilder)*(StartBank+SUM(P$1:P1635))*J1636/(G1636-1),IF(D1636="Builder",CapBuilder,CapSingle)*Unit),2)))</f>
        <v/>
      </c>
      <c r="L1636" s="10" t="n"/>
      <c r="N1636" s="10" t="n"/>
      <c r="O1636" s="10">
        <f>IF(L1636="","",IF(M1636="Won",L1636*G1636,IF(M1636="Void",L1636,IF(M1636="Cash out",N(N1636),IF(M1636="Lost",0,"")))))</f>
        <v/>
      </c>
      <c r="P1636" s="10">
        <f>IF(OR(L1636="",M1636="",M1636="Pending"),"",O1636-L1636)</f>
        <v/>
      </c>
      <c r="Q1636" s="21" t="n"/>
      <c r="R1636" s="11">
        <f>IF(OR(G1636="",Q1636=""),"",G1636/Q1636-1)</f>
        <v/>
      </c>
      <c r="S1636" s="10">
        <f>IF(OR(L1636="",J1636=""),"",L1636*J1636)</f>
        <v/>
      </c>
      <c r="T1636" s="10">
        <f>IF(P1636="","",StartBank+SUM(P$2:P1636))</f>
        <v/>
      </c>
    </row>
    <row r="1637">
      <c r="A1637" s="22" t="n"/>
      <c r="G1637" s="21" t="n"/>
      <c r="H1637" s="11" t="n"/>
      <c r="I1637" s="21">
        <f>IF(OR(H1637="",H1637=0),"",1/H1637)</f>
        <v/>
      </c>
      <c r="J1637" s="11">
        <f>IF(OR(G1637="",H1637=""),"",H1637*G1637-1)</f>
        <v/>
      </c>
      <c r="K1637" s="10">
        <f>IF(OR(G1637="",H1637="",G1637&lt;=1),"",IF(J1637&lt;IF(D1637="Builder",MinEdgeBuilder,IF(D1637="Player",MinEdgePlayer,MinEdgeSingle)),0,ROUND(MIN(IF(D1637="Single",KellySingle,KellyBuilder)*(StartBank+SUM(P$1:P1636))*J1637/(G1637-1),IF(D1637="Builder",CapBuilder,CapSingle)*Unit),2)))</f>
        <v/>
      </c>
      <c r="L1637" s="10" t="n"/>
      <c r="N1637" s="10" t="n"/>
      <c r="O1637" s="10">
        <f>IF(L1637="","",IF(M1637="Won",L1637*G1637,IF(M1637="Void",L1637,IF(M1637="Cash out",N(N1637),IF(M1637="Lost",0,"")))))</f>
        <v/>
      </c>
      <c r="P1637" s="10">
        <f>IF(OR(L1637="",M1637="",M1637="Pending"),"",O1637-L1637)</f>
        <v/>
      </c>
      <c r="Q1637" s="21" t="n"/>
      <c r="R1637" s="11">
        <f>IF(OR(G1637="",Q1637=""),"",G1637/Q1637-1)</f>
        <v/>
      </c>
      <c r="S1637" s="10">
        <f>IF(OR(L1637="",J1637=""),"",L1637*J1637)</f>
        <v/>
      </c>
      <c r="T1637" s="10">
        <f>IF(P1637="","",StartBank+SUM(P$2:P1637))</f>
        <v/>
      </c>
    </row>
    <row r="1638">
      <c r="A1638" s="22" t="n"/>
      <c r="G1638" s="21" t="n"/>
      <c r="H1638" s="11" t="n"/>
      <c r="I1638" s="21">
        <f>IF(OR(H1638="",H1638=0),"",1/H1638)</f>
        <v/>
      </c>
      <c r="J1638" s="11">
        <f>IF(OR(G1638="",H1638=""),"",H1638*G1638-1)</f>
        <v/>
      </c>
      <c r="K1638" s="10">
        <f>IF(OR(G1638="",H1638="",G1638&lt;=1),"",IF(J1638&lt;IF(D1638="Builder",MinEdgeBuilder,IF(D1638="Player",MinEdgePlayer,MinEdgeSingle)),0,ROUND(MIN(IF(D1638="Single",KellySingle,KellyBuilder)*(StartBank+SUM(P$1:P1637))*J1638/(G1638-1),IF(D1638="Builder",CapBuilder,CapSingle)*Unit),2)))</f>
        <v/>
      </c>
      <c r="L1638" s="10" t="n"/>
      <c r="N1638" s="10" t="n"/>
      <c r="O1638" s="10">
        <f>IF(L1638="","",IF(M1638="Won",L1638*G1638,IF(M1638="Void",L1638,IF(M1638="Cash out",N(N1638),IF(M1638="Lost",0,"")))))</f>
        <v/>
      </c>
      <c r="P1638" s="10">
        <f>IF(OR(L1638="",M1638="",M1638="Pending"),"",O1638-L1638)</f>
        <v/>
      </c>
      <c r="Q1638" s="21" t="n"/>
      <c r="R1638" s="11">
        <f>IF(OR(G1638="",Q1638=""),"",G1638/Q1638-1)</f>
        <v/>
      </c>
      <c r="S1638" s="10">
        <f>IF(OR(L1638="",J1638=""),"",L1638*J1638)</f>
        <v/>
      </c>
      <c r="T1638" s="10">
        <f>IF(P1638="","",StartBank+SUM(P$2:P1638))</f>
        <v/>
      </c>
    </row>
    <row r="1639">
      <c r="A1639" s="22" t="n"/>
      <c r="G1639" s="21" t="n"/>
      <c r="H1639" s="11" t="n"/>
      <c r="I1639" s="21">
        <f>IF(OR(H1639="",H1639=0),"",1/H1639)</f>
        <v/>
      </c>
      <c r="J1639" s="11">
        <f>IF(OR(G1639="",H1639=""),"",H1639*G1639-1)</f>
        <v/>
      </c>
      <c r="K1639" s="10">
        <f>IF(OR(G1639="",H1639="",G1639&lt;=1),"",IF(J1639&lt;IF(D1639="Builder",MinEdgeBuilder,IF(D1639="Player",MinEdgePlayer,MinEdgeSingle)),0,ROUND(MIN(IF(D1639="Single",KellySingle,KellyBuilder)*(StartBank+SUM(P$1:P1638))*J1639/(G1639-1),IF(D1639="Builder",CapBuilder,CapSingle)*Unit),2)))</f>
        <v/>
      </c>
      <c r="L1639" s="10" t="n"/>
      <c r="N1639" s="10" t="n"/>
      <c r="O1639" s="10">
        <f>IF(L1639="","",IF(M1639="Won",L1639*G1639,IF(M1639="Void",L1639,IF(M1639="Cash out",N(N1639),IF(M1639="Lost",0,"")))))</f>
        <v/>
      </c>
      <c r="P1639" s="10">
        <f>IF(OR(L1639="",M1639="",M1639="Pending"),"",O1639-L1639)</f>
        <v/>
      </c>
      <c r="Q1639" s="21" t="n"/>
      <c r="R1639" s="11">
        <f>IF(OR(G1639="",Q1639=""),"",G1639/Q1639-1)</f>
        <v/>
      </c>
      <c r="S1639" s="10">
        <f>IF(OR(L1639="",J1639=""),"",L1639*J1639)</f>
        <v/>
      </c>
      <c r="T1639" s="10">
        <f>IF(P1639="","",StartBank+SUM(P$2:P1639))</f>
        <v/>
      </c>
    </row>
    <row r="1640">
      <c r="A1640" s="22" t="n"/>
      <c r="G1640" s="21" t="n"/>
      <c r="H1640" s="11" t="n"/>
      <c r="I1640" s="21">
        <f>IF(OR(H1640="",H1640=0),"",1/H1640)</f>
        <v/>
      </c>
      <c r="J1640" s="11">
        <f>IF(OR(G1640="",H1640=""),"",H1640*G1640-1)</f>
        <v/>
      </c>
      <c r="K1640" s="10">
        <f>IF(OR(G1640="",H1640="",G1640&lt;=1),"",IF(J1640&lt;IF(D1640="Builder",MinEdgeBuilder,IF(D1640="Player",MinEdgePlayer,MinEdgeSingle)),0,ROUND(MIN(IF(D1640="Single",KellySingle,KellyBuilder)*(StartBank+SUM(P$1:P1639))*J1640/(G1640-1),IF(D1640="Builder",CapBuilder,CapSingle)*Unit),2)))</f>
        <v/>
      </c>
      <c r="L1640" s="10" t="n"/>
      <c r="N1640" s="10" t="n"/>
      <c r="O1640" s="10">
        <f>IF(L1640="","",IF(M1640="Won",L1640*G1640,IF(M1640="Void",L1640,IF(M1640="Cash out",N(N1640),IF(M1640="Lost",0,"")))))</f>
        <v/>
      </c>
      <c r="P1640" s="10">
        <f>IF(OR(L1640="",M1640="",M1640="Pending"),"",O1640-L1640)</f>
        <v/>
      </c>
      <c r="Q1640" s="21" t="n"/>
      <c r="R1640" s="11">
        <f>IF(OR(G1640="",Q1640=""),"",G1640/Q1640-1)</f>
        <v/>
      </c>
      <c r="S1640" s="10">
        <f>IF(OR(L1640="",J1640=""),"",L1640*J1640)</f>
        <v/>
      </c>
      <c r="T1640" s="10">
        <f>IF(P1640="","",StartBank+SUM(P$2:P1640))</f>
        <v/>
      </c>
    </row>
    <row r="1641">
      <c r="A1641" s="22" t="n"/>
      <c r="G1641" s="21" t="n"/>
      <c r="H1641" s="11" t="n"/>
      <c r="I1641" s="21">
        <f>IF(OR(H1641="",H1641=0),"",1/H1641)</f>
        <v/>
      </c>
      <c r="J1641" s="11">
        <f>IF(OR(G1641="",H1641=""),"",H1641*G1641-1)</f>
        <v/>
      </c>
      <c r="K1641" s="10">
        <f>IF(OR(G1641="",H1641="",G1641&lt;=1),"",IF(J1641&lt;IF(D1641="Builder",MinEdgeBuilder,IF(D1641="Player",MinEdgePlayer,MinEdgeSingle)),0,ROUND(MIN(IF(D1641="Single",KellySingle,KellyBuilder)*(StartBank+SUM(P$1:P1640))*J1641/(G1641-1),IF(D1641="Builder",CapBuilder,CapSingle)*Unit),2)))</f>
        <v/>
      </c>
      <c r="L1641" s="10" t="n"/>
      <c r="N1641" s="10" t="n"/>
      <c r="O1641" s="10">
        <f>IF(L1641="","",IF(M1641="Won",L1641*G1641,IF(M1641="Void",L1641,IF(M1641="Cash out",N(N1641),IF(M1641="Lost",0,"")))))</f>
        <v/>
      </c>
      <c r="P1641" s="10">
        <f>IF(OR(L1641="",M1641="",M1641="Pending"),"",O1641-L1641)</f>
        <v/>
      </c>
      <c r="Q1641" s="21" t="n"/>
      <c r="R1641" s="11">
        <f>IF(OR(G1641="",Q1641=""),"",G1641/Q1641-1)</f>
        <v/>
      </c>
      <c r="S1641" s="10">
        <f>IF(OR(L1641="",J1641=""),"",L1641*J1641)</f>
        <v/>
      </c>
      <c r="T1641" s="10">
        <f>IF(P1641="","",StartBank+SUM(P$2:P1641))</f>
        <v/>
      </c>
    </row>
    <row r="1642">
      <c r="A1642" s="22" t="n"/>
      <c r="G1642" s="21" t="n"/>
      <c r="H1642" s="11" t="n"/>
      <c r="I1642" s="21">
        <f>IF(OR(H1642="",H1642=0),"",1/H1642)</f>
        <v/>
      </c>
      <c r="J1642" s="11">
        <f>IF(OR(G1642="",H1642=""),"",H1642*G1642-1)</f>
        <v/>
      </c>
      <c r="K1642" s="10">
        <f>IF(OR(G1642="",H1642="",G1642&lt;=1),"",IF(J1642&lt;IF(D1642="Builder",MinEdgeBuilder,IF(D1642="Player",MinEdgePlayer,MinEdgeSingle)),0,ROUND(MIN(IF(D1642="Single",KellySingle,KellyBuilder)*(StartBank+SUM(P$1:P1641))*J1642/(G1642-1),IF(D1642="Builder",CapBuilder,CapSingle)*Unit),2)))</f>
        <v/>
      </c>
      <c r="L1642" s="10" t="n"/>
      <c r="N1642" s="10" t="n"/>
      <c r="O1642" s="10">
        <f>IF(L1642="","",IF(M1642="Won",L1642*G1642,IF(M1642="Void",L1642,IF(M1642="Cash out",N(N1642),IF(M1642="Lost",0,"")))))</f>
        <v/>
      </c>
      <c r="P1642" s="10">
        <f>IF(OR(L1642="",M1642="",M1642="Pending"),"",O1642-L1642)</f>
        <v/>
      </c>
      <c r="Q1642" s="21" t="n"/>
      <c r="R1642" s="11">
        <f>IF(OR(G1642="",Q1642=""),"",G1642/Q1642-1)</f>
        <v/>
      </c>
      <c r="S1642" s="10">
        <f>IF(OR(L1642="",J1642=""),"",L1642*J1642)</f>
        <v/>
      </c>
      <c r="T1642" s="10">
        <f>IF(P1642="","",StartBank+SUM(P$2:P1642))</f>
        <v/>
      </c>
    </row>
    <row r="1643">
      <c r="A1643" s="22" t="n"/>
      <c r="G1643" s="21" t="n"/>
      <c r="H1643" s="11" t="n"/>
      <c r="I1643" s="21">
        <f>IF(OR(H1643="",H1643=0),"",1/H1643)</f>
        <v/>
      </c>
      <c r="J1643" s="11">
        <f>IF(OR(G1643="",H1643=""),"",H1643*G1643-1)</f>
        <v/>
      </c>
      <c r="K1643" s="10">
        <f>IF(OR(G1643="",H1643="",G1643&lt;=1),"",IF(J1643&lt;IF(D1643="Builder",MinEdgeBuilder,IF(D1643="Player",MinEdgePlayer,MinEdgeSingle)),0,ROUND(MIN(IF(D1643="Single",KellySingle,KellyBuilder)*(StartBank+SUM(P$1:P1642))*J1643/(G1643-1),IF(D1643="Builder",CapBuilder,CapSingle)*Unit),2)))</f>
        <v/>
      </c>
      <c r="L1643" s="10" t="n"/>
      <c r="N1643" s="10" t="n"/>
      <c r="O1643" s="10">
        <f>IF(L1643="","",IF(M1643="Won",L1643*G1643,IF(M1643="Void",L1643,IF(M1643="Cash out",N(N1643),IF(M1643="Lost",0,"")))))</f>
        <v/>
      </c>
      <c r="P1643" s="10">
        <f>IF(OR(L1643="",M1643="",M1643="Pending"),"",O1643-L1643)</f>
        <v/>
      </c>
      <c r="Q1643" s="21" t="n"/>
      <c r="R1643" s="11">
        <f>IF(OR(G1643="",Q1643=""),"",G1643/Q1643-1)</f>
        <v/>
      </c>
      <c r="S1643" s="10">
        <f>IF(OR(L1643="",J1643=""),"",L1643*J1643)</f>
        <v/>
      </c>
      <c r="T1643" s="10">
        <f>IF(P1643="","",StartBank+SUM(P$2:P1643))</f>
        <v/>
      </c>
    </row>
    <row r="1644">
      <c r="A1644" s="22" t="n"/>
      <c r="G1644" s="21" t="n"/>
      <c r="H1644" s="11" t="n"/>
      <c r="I1644" s="21">
        <f>IF(OR(H1644="",H1644=0),"",1/H1644)</f>
        <v/>
      </c>
      <c r="J1644" s="11">
        <f>IF(OR(G1644="",H1644=""),"",H1644*G1644-1)</f>
        <v/>
      </c>
      <c r="K1644" s="10">
        <f>IF(OR(G1644="",H1644="",G1644&lt;=1),"",IF(J1644&lt;IF(D1644="Builder",MinEdgeBuilder,IF(D1644="Player",MinEdgePlayer,MinEdgeSingle)),0,ROUND(MIN(IF(D1644="Single",KellySingle,KellyBuilder)*(StartBank+SUM(P$1:P1643))*J1644/(G1644-1),IF(D1644="Builder",CapBuilder,CapSingle)*Unit),2)))</f>
        <v/>
      </c>
      <c r="L1644" s="10" t="n"/>
      <c r="N1644" s="10" t="n"/>
      <c r="O1644" s="10">
        <f>IF(L1644="","",IF(M1644="Won",L1644*G1644,IF(M1644="Void",L1644,IF(M1644="Cash out",N(N1644),IF(M1644="Lost",0,"")))))</f>
        <v/>
      </c>
      <c r="P1644" s="10">
        <f>IF(OR(L1644="",M1644="",M1644="Pending"),"",O1644-L1644)</f>
        <v/>
      </c>
      <c r="Q1644" s="21" t="n"/>
      <c r="R1644" s="11">
        <f>IF(OR(G1644="",Q1644=""),"",G1644/Q1644-1)</f>
        <v/>
      </c>
      <c r="S1644" s="10">
        <f>IF(OR(L1644="",J1644=""),"",L1644*J1644)</f>
        <v/>
      </c>
      <c r="T1644" s="10">
        <f>IF(P1644="","",StartBank+SUM(P$2:P1644))</f>
        <v/>
      </c>
    </row>
    <row r="1645">
      <c r="A1645" s="22" t="n"/>
      <c r="G1645" s="21" t="n"/>
      <c r="H1645" s="11" t="n"/>
      <c r="I1645" s="21">
        <f>IF(OR(H1645="",H1645=0),"",1/H1645)</f>
        <v/>
      </c>
      <c r="J1645" s="11">
        <f>IF(OR(G1645="",H1645=""),"",H1645*G1645-1)</f>
        <v/>
      </c>
      <c r="K1645" s="10">
        <f>IF(OR(G1645="",H1645="",G1645&lt;=1),"",IF(J1645&lt;IF(D1645="Builder",MinEdgeBuilder,IF(D1645="Player",MinEdgePlayer,MinEdgeSingle)),0,ROUND(MIN(IF(D1645="Single",KellySingle,KellyBuilder)*(StartBank+SUM(P$1:P1644))*J1645/(G1645-1),IF(D1645="Builder",CapBuilder,CapSingle)*Unit),2)))</f>
        <v/>
      </c>
      <c r="L1645" s="10" t="n"/>
      <c r="N1645" s="10" t="n"/>
      <c r="O1645" s="10">
        <f>IF(L1645="","",IF(M1645="Won",L1645*G1645,IF(M1645="Void",L1645,IF(M1645="Cash out",N(N1645),IF(M1645="Lost",0,"")))))</f>
        <v/>
      </c>
      <c r="P1645" s="10">
        <f>IF(OR(L1645="",M1645="",M1645="Pending"),"",O1645-L1645)</f>
        <v/>
      </c>
      <c r="Q1645" s="21" t="n"/>
      <c r="R1645" s="11">
        <f>IF(OR(G1645="",Q1645=""),"",G1645/Q1645-1)</f>
        <v/>
      </c>
      <c r="S1645" s="10">
        <f>IF(OR(L1645="",J1645=""),"",L1645*J1645)</f>
        <v/>
      </c>
      <c r="T1645" s="10">
        <f>IF(P1645="","",StartBank+SUM(P$2:P1645))</f>
        <v/>
      </c>
    </row>
    <row r="1646">
      <c r="A1646" s="22" t="n"/>
      <c r="G1646" s="21" t="n"/>
      <c r="H1646" s="11" t="n"/>
      <c r="I1646" s="21">
        <f>IF(OR(H1646="",H1646=0),"",1/H1646)</f>
        <v/>
      </c>
      <c r="J1646" s="11">
        <f>IF(OR(G1646="",H1646=""),"",H1646*G1646-1)</f>
        <v/>
      </c>
      <c r="K1646" s="10">
        <f>IF(OR(G1646="",H1646="",G1646&lt;=1),"",IF(J1646&lt;IF(D1646="Builder",MinEdgeBuilder,IF(D1646="Player",MinEdgePlayer,MinEdgeSingle)),0,ROUND(MIN(IF(D1646="Single",KellySingle,KellyBuilder)*(StartBank+SUM(P$1:P1645))*J1646/(G1646-1),IF(D1646="Builder",CapBuilder,CapSingle)*Unit),2)))</f>
        <v/>
      </c>
      <c r="L1646" s="10" t="n"/>
      <c r="N1646" s="10" t="n"/>
      <c r="O1646" s="10">
        <f>IF(L1646="","",IF(M1646="Won",L1646*G1646,IF(M1646="Void",L1646,IF(M1646="Cash out",N(N1646),IF(M1646="Lost",0,"")))))</f>
        <v/>
      </c>
      <c r="P1646" s="10">
        <f>IF(OR(L1646="",M1646="",M1646="Pending"),"",O1646-L1646)</f>
        <v/>
      </c>
      <c r="Q1646" s="21" t="n"/>
      <c r="R1646" s="11">
        <f>IF(OR(G1646="",Q1646=""),"",G1646/Q1646-1)</f>
        <v/>
      </c>
      <c r="S1646" s="10">
        <f>IF(OR(L1646="",J1646=""),"",L1646*J1646)</f>
        <v/>
      </c>
      <c r="T1646" s="10">
        <f>IF(P1646="","",StartBank+SUM(P$2:P1646))</f>
        <v/>
      </c>
    </row>
    <row r="1647">
      <c r="A1647" s="22" t="n"/>
      <c r="G1647" s="21" t="n"/>
      <c r="H1647" s="11" t="n"/>
      <c r="I1647" s="21">
        <f>IF(OR(H1647="",H1647=0),"",1/H1647)</f>
        <v/>
      </c>
      <c r="J1647" s="11">
        <f>IF(OR(G1647="",H1647=""),"",H1647*G1647-1)</f>
        <v/>
      </c>
      <c r="K1647" s="10">
        <f>IF(OR(G1647="",H1647="",G1647&lt;=1),"",IF(J1647&lt;IF(D1647="Builder",MinEdgeBuilder,IF(D1647="Player",MinEdgePlayer,MinEdgeSingle)),0,ROUND(MIN(IF(D1647="Single",KellySingle,KellyBuilder)*(StartBank+SUM(P$1:P1646))*J1647/(G1647-1),IF(D1647="Builder",CapBuilder,CapSingle)*Unit),2)))</f>
        <v/>
      </c>
      <c r="L1647" s="10" t="n"/>
      <c r="N1647" s="10" t="n"/>
      <c r="O1647" s="10">
        <f>IF(L1647="","",IF(M1647="Won",L1647*G1647,IF(M1647="Void",L1647,IF(M1647="Cash out",N(N1647),IF(M1647="Lost",0,"")))))</f>
        <v/>
      </c>
      <c r="P1647" s="10">
        <f>IF(OR(L1647="",M1647="",M1647="Pending"),"",O1647-L1647)</f>
        <v/>
      </c>
      <c r="Q1647" s="21" t="n"/>
      <c r="R1647" s="11">
        <f>IF(OR(G1647="",Q1647=""),"",G1647/Q1647-1)</f>
        <v/>
      </c>
      <c r="S1647" s="10">
        <f>IF(OR(L1647="",J1647=""),"",L1647*J1647)</f>
        <v/>
      </c>
      <c r="T1647" s="10">
        <f>IF(P1647="","",StartBank+SUM(P$2:P1647))</f>
        <v/>
      </c>
    </row>
    <row r="1648">
      <c r="A1648" s="22" t="n"/>
      <c r="G1648" s="21" t="n"/>
      <c r="H1648" s="11" t="n"/>
      <c r="I1648" s="21">
        <f>IF(OR(H1648="",H1648=0),"",1/H1648)</f>
        <v/>
      </c>
      <c r="J1648" s="11">
        <f>IF(OR(G1648="",H1648=""),"",H1648*G1648-1)</f>
        <v/>
      </c>
      <c r="K1648" s="10">
        <f>IF(OR(G1648="",H1648="",G1648&lt;=1),"",IF(J1648&lt;IF(D1648="Builder",MinEdgeBuilder,IF(D1648="Player",MinEdgePlayer,MinEdgeSingle)),0,ROUND(MIN(IF(D1648="Single",KellySingle,KellyBuilder)*(StartBank+SUM(P$1:P1647))*J1648/(G1648-1),IF(D1648="Builder",CapBuilder,CapSingle)*Unit),2)))</f>
        <v/>
      </c>
      <c r="L1648" s="10" t="n"/>
      <c r="N1648" s="10" t="n"/>
      <c r="O1648" s="10">
        <f>IF(L1648="","",IF(M1648="Won",L1648*G1648,IF(M1648="Void",L1648,IF(M1648="Cash out",N(N1648),IF(M1648="Lost",0,"")))))</f>
        <v/>
      </c>
      <c r="P1648" s="10">
        <f>IF(OR(L1648="",M1648="",M1648="Pending"),"",O1648-L1648)</f>
        <v/>
      </c>
      <c r="Q1648" s="21" t="n"/>
      <c r="R1648" s="11">
        <f>IF(OR(G1648="",Q1648=""),"",G1648/Q1648-1)</f>
        <v/>
      </c>
      <c r="S1648" s="10">
        <f>IF(OR(L1648="",J1648=""),"",L1648*J1648)</f>
        <v/>
      </c>
      <c r="T1648" s="10">
        <f>IF(P1648="","",StartBank+SUM(P$2:P1648))</f>
        <v/>
      </c>
    </row>
    <row r="1649">
      <c r="A1649" s="22" t="n"/>
      <c r="G1649" s="21" t="n"/>
      <c r="H1649" s="11" t="n"/>
      <c r="I1649" s="21">
        <f>IF(OR(H1649="",H1649=0),"",1/H1649)</f>
        <v/>
      </c>
      <c r="J1649" s="11">
        <f>IF(OR(G1649="",H1649=""),"",H1649*G1649-1)</f>
        <v/>
      </c>
      <c r="K1649" s="10">
        <f>IF(OR(G1649="",H1649="",G1649&lt;=1),"",IF(J1649&lt;IF(D1649="Builder",MinEdgeBuilder,IF(D1649="Player",MinEdgePlayer,MinEdgeSingle)),0,ROUND(MIN(IF(D1649="Single",KellySingle,KellyBuilder)*(StartBank+SUM(P$1:P1648))*J1649/(G1649-1),IF(D1649="Builder",CapBuilder,CapSingle)*Unit),2)))</f>
        <v/>
      </c>
      <c r="L1649" s="10" t="n"/>
      <c r="N1649" s="10" t="n"/>
      <c r="O1649" s="10">
        <f>IF(L1649="","",IF(M1649="Won",L1649*G1649,IF(M1649="Void",L1649,IF(M1649="Cash out",N(N1649),IF(M1649="Lost",0,"")))))</f>
        <v/>
      </c>
      <c r="P1649" s="10">
        <f>IF(OR(L1649="",M1649="",M1649="Pending"),"",O1649-L1649)</f>
        <v/>
      </c>
      <c r="Q1649" s="21" t="n"/>
      <c r="R1649" s="11">
        <f>IF(OR(G1649="",Q1649=""),"",G1649/Q1649-1)</f>
        <v/>
      </c>
      <c r="S1649" s="10">
        <f>IF(OR(L1649="",J1649=""),"",L1649*J1649)</f>
        <v/>
      </c>
      <c r="T1649" s="10">
        <f>IF(P1649="","",StartBank+SUM(P$2:P1649))</f>
        <v/>
      </c>
    </row>
    <row r="1650">
      <c r="A1650" s="22" t="n"/>
      <c r="G1650" s="21" t="n"/>
      <c r="H1650" s="11" t="n"/>
      <c r="I1650" s="21">
        <f>IF(OR(H1650="",H1650=0),"",1/H1650)</f>
        <v/>
      </c>
      <c r="J1650" s="11">
        <f>IF(OR(G1650="",H1650=""),"",H1650*G1650-1)</f>
        <v/>
      </c>
      <c r="K1650" s="10">
        <f>IF(OR(G1650="",H1650="",G1650&lt;=1),"",IF(J1650&lt;IF(D1650="Builder",MinEdgeBuilder,IF(D1650="Player",MinEdgePlayer,MinEdgeSingle)),0,ROUND(MIN(IF(D1650="Single",KellySingle,KellyBuilder)*(StartBank+SUM(P$1:P1649))*J1650/(G1650-1),IF(D1650="Builder",CapBuilder,CapSingle)*Unit),2)))</f>
        <v/>
      </c>
      <c r="L1650" s="10" t="n"/>
      <c r="N1650" s="10" t="n"/>
      <c r="O1650" s="10">
        <f>IF(L1650="","",IF(M1650="Won",L1650*G1650,IF(M1650="Void",L1650,IF(M1650="Cash out",N(N1650),IF(M1650="Lost",0,"")))))</f>
        <v/>
      </c>
      <c r="P1650" s="10">
        <f>IF(OR(L1650="",M1650="",M1650="Pending"),"",O1650-L1650)</f>
        <v/>
      </c>
      <c r="Q1650" s="21" t="n"/>
      <c r="R1650" s="11">
        <f>IF(OR(G1650="",Q1650=""),"",G1650/Q1650-1)</f>
        <v/>
      </c>
      <c r="S1650" s="10">
        <f>IF(OR(L1650="",J1650=""),"",L1650*J1650)</f>
        <v/>
      </c>
      <c r="T1650" s="10">
        <f>IF(P1650="","",StartBank+SUM(P$2:P1650))</f>
        <v/>
      </c>
    </row>
    <row r="1651">
      <c r="A1651" s="22" t="n"/>
      <c r="G1651" s="21" t="n"/>
      <c r="H1651" s="11" t="n"/>
      <c r="I1651" s="21">
        <f>IF(OR(H1651="",H1651=0),"",1/H1651)</f>
        <v/>
      </c>
      <c r="J1651" s="11">
        <f>IF(OR(G1651="",H1651=""),"",H1651*G1651-1)</f>
        <v/>
      </c>
      <c r="K1651" s="10">
        <f>IF(OR(G1651="",H1651="",G1651&lt;=1),"",IF(J1651&lt;IF(D1651="Builder",MinEdgeBuilder,IF(D1651="Player",MinEdgePlayer,MinEdgeSingle)),0,ROUND(MIN(IF(D1651="Single",KellySingle,KellyBuilder)*(StartBank+SUM(P$1:P1650))*J1651/(G1651-1),IF(D1651="Builder",CapBuilder,CapSingle)*Unit),2)))</f>
        <v/>
      </c>
      <c r="L1651" s="10" t="n"/>
      <c r="N1651" s="10" t="n"/>
      <c r="O1651" s="10">
        <f>IF(L1651="","",IF(M1651="Won",L1651*G1651,IF(M1651="Void",L1651,IF(M1651="Cash out",N(N1651),IF(M1651="Lost",0,"")))))</f>
        <v/>
      </c>
      <c r="P1651" s="10">
        <f>IF(OR(L1651="",M1651="",M1651="Pending"),"",O1651-L1651)</f>
        <v/>
      </c>
      <c r="Q1651" s="21" t="n"/>
      <c r="R1651" s="11">
        <f>IF(OR(G1651="",Q1651=""),"",G1651/Q1651-1)</f>
        <v/>
      </c>
      <c r="S1651" s="10">
        <f>IF(OR(L1651="",J1651=""),"",L1651*J1651)</f>
        <v/>
      </c>
      <c r="T1651" s="10">
        <f>IF(P1651="","",StartBank+SUM(P$2:P1651))</f>
        <v/>
      </c>
    </row>
    <row r="1652">
      <c r="A1652" s="22" t="n"/>
      <c r="G1652" s="21" t="n"/>
      <c r="H1652" s="11" t="n"/>
      <c r="I1652" s="21">
        <f>IF(OR(H1652="",H1652=0),"",1/H1652)</f>
        <v/>
      </c>
      <c r="J1652" s="11">
        <f>IF(OR(G1652="",H1652=""),"",H1652*G1652-1)</f>
        <v/>
      </c>
      <c r="K1652" s="10">
        <f>IF(OR(G1652="",H1652="",G1652&lt;=1),"",IF(J1652&lt;IF(D1652="Builder",MinEdgeBuilder,IF(D1652="Player",MinEdgePlayer,MinEdgeSingle)),0,ROUND(MIN(IF(D1652="Single",KellySingle,KellyBuilder)*(StartBank+SUM(P$1:P1651))*J1652/(G1652-1),IF(D1652="Builder",CapBuilder,CapSingle)*Unit),2)))</f>
        <v/>
      </c>
      <c r="L1652" s="10" t="n"/>
      <c r="N1652" s="10" t="n"/>
      <c r="O1652" s="10">
        <f>IF(L1652="","",IF(M1652="Won",L1652*G1652,IF(M1652="Void",L1652,IF(M1652="Cash out",N(N1652),IF(M1652="Lost",0,"")))))</f>
        <v/>
      </c>
      <c r="P1652" s="10">
        <f>IF(OR(L1652="",M1652="",M1652="Pending"),"",O1652-L1652)</f>
        <v/>
      </c>
      <c r="Q1652" s="21" t="n"/>
      <c r="R1652" s="11">
        <f>IF(OR(G1652="",Q1652=""),"",G1652/Q1652-1)</f>
        <v/>
      </c>
      <c r="S1652" s="10">
        <f>IF(OR(L1652="",J1652=""),"",L1652*J1652)</f>
        <v/>
      </c>
      <c r="T1652" s="10">
        <f>IF(P1652="","",StartBank+SUM(P$2:P1652))</f>
        <v/>
      </c>
    </row>
    <row r="1653">
      <c r="A1653" s="22" t="n"/>
      <c r="G1653" s="21" t="n"/>
      <c r="H1653" s="11" t="n"/>
      <c r="I1653" s="21">
        <f>IF(OR(H1653="",H1653=0),"",1/H1653)</f>
        <v/>
      </c>
      <c r="J1653" s="11">
        <f>IF(OR(G1653="",H1653=""),"",H1653*G1653-1)</f>
        <v/>
      </c>
      <c r="K1653" s="10">
        <f>IF(OR(G1653="",H1653="",G1653&lt;=1),"",IF(J1653&lt;IF(D1653="Builder",MinEdgeBuilder,IF(D1653="Player",MinEdgePlayer,MinEdgeSingle)),0,ROUND(MIN(IF(D1653="Single",KellySingle,KellyBuilder)*(StartBank+SUM(P$1:P1652))*J1653/(G1653-1),IF(D1653="Builder",CapBuilder,CapSingle)*Unit),2)))</f>
        <v/>
      </c>
      <c r="L1653" s="10" t="n"/>
      <c r="N1653" s="10" t="n"/>
      <c r="O1653" s="10">
        <f>IF(L1653="","",IF(M1653="Won",L1653*G1653,IF(M1653="Void",L1653,IF(M1653="Cash out",N(N1653),IF(M1653="Lost",0,"")))))</f>
        <v/>
      </c>
      <c r="P1653" s="10">
        <f>IF(OR(L1653="",M1653="",M1653="Pending"),"",O1653-L1653)</f>
        <v/>
      </c>
      <c r="Q1653" s="21" t="n"/>
      <c r="R1653" s="11">
        <f>IF(OR(G1653="",Q1653=""),"",G1653/Q1653-1)</f>
        <v/>
      </c>
      <c r="S1653" s="10">
        <f>IF(OR(L1653="",J1653=""),"",L1653*J1653)</f>
        <v/>
      </c>
      <c r="T1653" s="10">
        <f>IF(P1653="","",StartBank+SUM(P$2:P1653))</f>
        <v/>
      </c>
    </row>
    <row r="1654">
      <c r="A1654" s="22" t="n"/>
      <c r="G1654" s="21" t="n"/>
      <c r="H1654" s="11" t="n"/>
      <c r="I1654" s="21">
        <f>IF(OR(H1654="",H1654=0),"",1/H1654)</f>
        <v/>
      </c>
      <c r="J1654" s="11">
        <f>IF(OR(G1654="",H1654=""),"",H1654*G1654-1)</f>
        <v/>
      </c>
      <c r="K1654" s="10">
        <f>IF(OR(G1654="",H1654="",G1654&lt;=1),"",IF(J1654&lt;IF(D1654="Builder",MinEdgeBuilder,IF(D1654="Player",MinEdgePlayer,MinEdgeSingle)),0,ROUND(MIN(IF(D1654="Single",KellySingle,KellyBuilder)*(StartBank+SUM(P$1:P1653))*J1654/(G1654-1),IF(D1654="Builder",CapBuilder,CapSingle)*Unit),2)))</f>
        <v/>
      </c>
      <c r="L1654" s="10" t="n"/>
      <c r="N1654" s="10" t="n"/>
      <c r="O1654" s="10">
        <f>IF(L1654="","",IF(M1654="Won",L1654*G1654,IF(M1654="Void",L1654,IF(M1654="Cash out",N(N1654),IF(M1654="Lost",0,"")))))</f>
        <v/>
      </c>
      <c r="P1654" s="10">
        <f>IF(OR(L1654="",M1654="",M1654="Pending"),"",O1654-L1654)</f>
        <v/>
      </c>
      <c r="Q1654" s="21" t="n"/>
      <c r="R1654" s="11">
        <f>IF(OR(G1654="",Q1654=""),"",G1654/Q1654-1)</f>
        <v/>
      </c>
      <c r="S1654" s="10">
        <f>IF(OR(L1654="",J1654=""),"",L1654*J1654)</f>
        <v/>
      </c>
      <c r="T1654" s="10">
        <f>IF(P1654="","",StartBank+SUM(P$2:P1654))</f>
        <v/>
      </c>
    </row>
    <row r="1655">
      <c r="A1655" s="22" t="n"/>
      <c r="G1655" s="21" t="n"/>
      <c r="H1655" s="11" t="n"/>
      <c r="I1655" s="21">
        <f>IF(OR(H1655="",H1655=0),"",1/H1655)</f>
        <v/>
      </c>
      <c r="J1655" s="11">
        <f>IF(OR(G1655="",H1655=""),"",H1655*G1655-1)</f>
        <v/>
      </c>
      <c r="K1655" s="10">
        <f>IF(OR(G1655="",H1655="",G1655&lt;=1),"",IF(J1655&lt;IF(D1655="Builder",MinEdgeBuilder,IF(D1655="Player",MinEdgePlayer,MinEdgeSingle)),0,ROUND(MIN(IF(D1655="Single",KellySingle,KellyBuilder)*(StartBank+SUM(P$1:P1654))*J1655/(G1655-1),IF(D1655="Builder",CapBuilder,CapSingle)*Unit),2)))</f>
        <v/>
      </c>
      <c r="L1655" s="10" t="n"/>
      <c r="N1655" s="10" t="n"/>
      <c r="O1655" s="10">
        <f>IF(L1655="","",IF(M1655="Won",L1655*G1655,IF(M1655="Void",L1655,IF(M1655="Cash out",N(N1655),IF(M1655="Lost",0,"")))))</f>
        <v/>
      </c>
      <c r="P1655" s="10">
        <f>IF(OR(L1655="",M1655="",M1655="Pending"),"",O1655-L1655)</f>
        <v/>
      </c>
      <c r="Q1655" s="21" t="n"/>
      <c r="R1655" s="11">
        <f>IF(OR(G1655="",Q1655=""),"",G1655/Q1655-1)</f>
        <v/>
      </c>
      <c r="S1655" s="10">
        <f>IF(OR(L1655="",J1655=""),"",L1655*J1655)</f>
        <v/>
      </c>
      <c r="T1655" s="10">
        <f>IF(P1655="","",StartBank+SUM(P$2:P1655))</f>
        <v/>
      </c>
    </row>
    <row r="1656">
      <c r="A1656" s="22" t="n"/>
      <c r="G1656" s="21" t="n"/>
      <c r="H1656" s="11" t="n"/>
      <c r="I1656" s="21">
        <f>IF(OR(H1656="",H1656=0),"",1/H1656)</f>
        <v/>
      </c>
      <c r="J1656" s="11">
        <f>IF(OR(G1656="",H1656=""),"",H1656*G1656-1)</f>
        <v/>
      </c>
      <c r="K1656" s="10">
        <f>IF(OR(G1656="",H1656="",G1656&lt;=1),"",IF(J1656&lt;IF(D1656="Builder",MinEdgeBuilder,IF(D1656="Player",MinEdgePlayer,MinEdgeSingle)),0,ROUND(MIN(IF(D1656="Single",KellySingle,KellyBuilder)*(StartBank+SUM(P$1:P1655))*J1656/(G1656-1),IF(D1656="Builder",CapBuilder,CapSingle)*Unit),2)))</f>
        <v/>
      </c>
      <c r="L1656" s="10" t="n"/>
      <c r="N1656" s="10" t="n"/>
      <c r="O1656" s="10">
        <f>IF(L1656="","",IF(M1656="Won",L1656*G1656,IF(M1656="Void",L1656,IF(M1656="Cash out",N(N1656),IF(M1656="Lost",0,"")))))</f>
        <v/>
      </c>
      <c r="P1656" s="10">
        <f>IF(OR(L1656="",M1656="",M1656="Pending"),"",O1656-L1656)</f>
        <v/>
      </c>
      <c r="Q1656" s="21" t="n"/>
      <c r="R1656" s="11">
        <f>IF(OR(G1656="",Q1656=""),"",G1656/Q1656-1)</f>
        <v/>
      </c>
      <c r="S1656" s="10">
        <f>IF(OR(L1656="",J1656=""),"",L1656*J1656)</f>
        <v/>
      </c>
      <c r="T1656" s="10">
        <f>IF(P1656="","",StartBank+SUM(P$2:P1656))</f>
        <v/>
      </c>
    </row>
    <row r="1657">
      <c r="A1657" s="22" t="n"/>
      <c r="G1657" s="21" t="n"/>
      <c r="H1657" s="11" t="n"/>
      <c r="I1657" s="21">
        <f>IF(OR(H1657="",H1657=0),"",1/H1657)</f>
        <v/>
      </c>
      <c r="J1657" s="11">
        <f>IF(OR(G1657="",H1657=""),"",H1657*G1657-1)</f>
        <v/>
      </c>
      <c r="K1657" s="10">
        <f>IF(OR(G1657="",H1657="",G1657&lt;=1),"",IF(J1657&lt;IF(D1657="Builder",MinEdgeBuilder,IF(D1657="Player",MinEdgePlayer,MinEdgeSingle)),0,ROUND(MIN(IF(D1657="Single",KellySingle,KellyBuilder)*(StartBank+SUM(P$1:P1656))*J1657/(G1657-1),IF(D1657="Builder",CapBuilder,CapSingle)*Unit),2)))</f>
        <v/>
      </c>
      <c r="L1657" s="10" t="n"/>
      <c r="N1657" s="10" t="n"/>
      <c r="O1657" s="10">
        <f>IF(L1657="","",IF(M1657="Won",L1657*G1657,IF(M1657="Void",L1657,IF(M1657="Cash out",N(N1657),IF(M1657="Lost",0,"")))))</f>
        <v/>
      </c>
      <c r="P1657" s="10">
        <f>IF(OR(L1657="",M1657="",M1657="Pending"),"",O1657-L1657)</f>
        <v/>
      </c>
      <c r="Q1657" s="21" t="n"/>
      <c r="R1657" s="11">
        <f>IF(OR(G1657="",Q1657=""),"",G1657/Q1657-1)</f>
        <v/>
      </c>
      <c r="S1657" s="10">
        <f>IF(OR(L1657="",J1657=""),"",L1657*J1657)</f>
        <v/>
      </c>
      <c r="T1657" s="10">
        <f>IF(P1657="","",StartBank+SUM(P$2:P1657))</f>
        <v/>
      </c>
    </row>
    <row r="1658">
      <c r="A1658" s="22" t="n"/>
      <c r="G1658" s="21" t="n"/>
      <c r="H1658" s="11" t="n"/>
      <c r="I1658" s="21">
        <f>IF(OR(H1658="",H1658=0),"",1/H1658)</f>
        <v/>
      </c>
      <c r="J1658" s="11">
        <f>IF(OR(G1658="",H1658=""),"",H1658*G1658-1)</f>
        <v/>
      </c>
      <c r="K1658" s="10">
        <f>IF(OR(G1658="",H1658="",G1658&lt;=1),"",IF(J1658&lt;IF(D1658="Builder",MinEdgeBuilder,IF(D1658="Player",MinEdgePlayer,MinEdgeSingle)),0,ROUND(MIN(IF(D1658="Single",KellySingle,KellyBuilder)*(StartBank+SUM(P$1:P1657))*J1658/(G1658-1),IF(D1658="Builder",CapBuilder,CapSingle)*Unit),2)))</f>
        <v/>
      </c>
      <c r="L1658" s="10" t="n"/>
      <c r="N1658" s="10" t="n"/>
      <c r="O1658" s="10">
        <f>IF(L1658="","",IF(M1658="Won",L1658*G1658,IF(M1658="Void",L1658,IF(M1658="Cash out",N(N1658),IF(M1658="Lost",0,"")))))</f>
        <v/>
      </c>
      <c r="P1658" s="10">
        <f>IF(OR(L1658="",M1658="",M1658="Pending"),"",O1658-L1658)</f>
        <v/>
      </c>
      <c r="Q1658" s="21" t="n"/>
      <c r="R1658" s="11">
        <f>IF(OR(G1658="",Q1658=""),"",G1658/Q1658-1)</f>
        <v/>
      </c>
      <c r="S1658" s="10">
        <f>IF(OR(L1658="",J1658=""),"",L1658*J1658)</f>
        <v/>
      </c>
      <c r="T1658" s="10">
        <f>IF(P1658="","",StartBank+SUM(P$2:P1658))</f>
        <v/>
      </c>
    </row>
    <row r="1659">
      <c r="A1659" s="22" t="n"/>
      <c r="G1659" s="21" t="n"/>
      <c r="H1659" s="11" t="n"/>
      <c r="I1659" s="21">
        <f>IF(OR(H1659="",H1659=0),"",1/H1659)</f>
        <v/>
      </c>
      <c r="J1659" s="11">
        <f>IF(OR(G1659="",H1659=""),"",H1659*G1659-1)</f>
        <v/>
      </c>
      <c r="K1659" s="10">
        <f>IF(OR(G1659="",H1659="",G1659&lt;=1),"",IF(J1659&lt;IF(D1659="Builder",MinEdgeBuilder,IF(D1659="Player",MinEdgePlayer,MinEdgeSingle)),0,ROUND(MIN(IF(D1659="Single",KellySingle,KellyBuilder)*(StartBank+SUM(P$1:P1658))*J1659/(G1659-1),IF(D1659="Builder",CapBuilder,CapSingle)*Unit),2)))</f>
        <v/>
      </c>
      <c r="L1659" s="10" t="n"/>
      <c r="N1659" s="10" t="n"/>
      <c r="O1659" s="10">
        <f>IF(L1659="","",IF(M1659="Won",L1659*G1659,IF(M1659="Void",L1659,IF(M1659="Cash out",N(N1659),IF(M1659="Lost",0,"")))))</f>
        <v/>
      </c>
      <c r="P1659" s="10">
        <f>IF(OR(L1659="",M1659="",M1659="Pending"),"",O1659-L1659)</f>
        <v/>
      </c>
      <c r="Q1659" s="21" t="n"/>
      <c r="R1659" s="11">
        <f>IF(OR(G1659="",Q1659=""),"",G1659/Q1659-1)</f>
        <v/>
      </c>
      <c r="S1659" s="10">
        <f>IF(OR(L1659="",J1659=""),"",L1659*J1659)</f>
        <v/>
      </c>
      <c r="T1659" s="10">
        <f>IF(P1659="","",StartBank+SUM(P$2:P1659))</f>
        <v/>
      </c>
    </row>
    <row r="1660">
      <c r="A1660" s="22" t="n"/>
      <c r="G1660" s="21" t="n"/>
      <c r="H1660" s="11" t="n"/>
      <c r="I1660" s="21">
        <f>IF(OR(H1660="",H1660=0),"",1/H1660)</f>
        <v/>
      </c>
      <c r="J1660" s="11">
        <f>IF(OR(G1660="",H1660=""),"",H1660*G1660-1)</f>
        <v/>
      </c>
      <c r="K1660" s="10">
        <f>IF(OR(G1660="",H1660="",G1660&lt;=1),"",IF(J1660&lt;IF(D1660="Builder",MinEdgeBuilder,IF(D1660="Player",MinEdgePlayer,MinEdgeSingle)),0,ROUND(MIN(IF(D1660="Single",KellySingle,KellyBuilder)*(StartBank+SUM(P$1:P1659))*J1660/(G1660-1),IF(D1660="Builder",CapBuilder,CapSingle)*Unit),2)))</f>
        <v/>
      </c>
      <c r="L1660" s="10" t="n"/>
      <c r="N1660" s="10" t="n"/>
      <c r="O1660" s="10">
        <f>IF(L1660="","",IF(M1660="Won",L1660*G1660,IF(M1660="Void",L1660,IF(M1660="Cash out",N(N1660),IF(M1660="Lost",0,"")))))</f>
        <v/>
      </c>
      <c r="P1660" s="10">
        <f>IF(OR(L1660="",M1660="",M1660="Pending"),"",O1660-L1660)</f>
        <v/>
      </c>
      <c r="Q1660" s="21" t="n"/>
      <c r="R1660" s="11">
        <f>IF(OR(G1660="",Q1660=""),"",G1660/Q1660-1)</f>
        <v/>
      </c>
      <c r="S1660" s="10">
        <f>IF(OR(L1660="",J1660=""),"",L1660*J1660)</f>
        <v/>
      </c>
      <c r="T1660" s="10">
        <f>IF(P1660="","",StartBank+SUM(P$2:P1660))</f>
        <v/>
      </c>
    </row>
    <row r="1661">
      <c r="A1661" s="22" t="n"/>
      <c r="G1661" s="21" t="n"/>
      <c r="H1661" s="11" t="n"/>
      <c r="I1661" s="21">
        <f>IF(OR(H1661="",H1661=0),"",1/H1661)</f>
        <v/>
      </c>
      <c r="J1661" s="11">
        <f>IF(OR(G1661="",H1661=""),"",H1661*G1661-1)</f>
        <v/>
      </c>
      <c r="K1661" s="10">
        <f>IF(OR(G1661="",H1661="",G1661&lt;=1),"",IF(J1661&lt;IF(D1661="Builder",MinEdgeBuilder,IF(D1661="Player",MinEdgePlayer,MinEdgeSingle)),0,ROUND(MIN(IF(D1661="Single",KellySingle,KellyBuilder)*(StartBank+SUM(P$1:P1660))*J1661/(G1661-1),IF(D1661="Builder",CapBuilder,CapSingle)*Unit),2)))</f>
        <v/>
      </c>
      <c r="L1661" s="10" t="n"/>
      <c r="N1661" s="10" t="n"/>
      <c r="O1661" s="10">
        <f>IF(L1661="","",IF(M1661="Won",L1661*G1661,IF(M1661="Void",L1661,IF(M1661="Cash out",N(N1661),IF(M1661="Lost",0,"")))))</f>
        <v/>
      </c>
      <c r="P1661" s="10">
        <f>IF(OR(L1661="",M1661="",M1661="Pending"),"",O1661-L1661)</f>
        <v/>
      </c>
      <c r="Q1661" s="21" t="n"/>
      <c r="R1661" s="11">
        <f>IF(OR(G1661="",Q1661=""),"",G1661/Q1661-1)</f>
        <v/>
      </c>
      <c r="S1661" s="10">
        <f>IF(OR(L1661="",J1661=""),"",L1661*J1661)</f>
        <v/>
      </c>
      <c r="T1661" s="10">
        <f>IF(P1661="","",StartBank+SUM(P$2:P1661))</f>
        <v/>
      </c>
    </row>
    <row r="1662">
      <c r="A1662" s="22" t="n"/>
      <c r="G1662" s="21" t="n"/>
      <c r="H1662" s="11" t="n"/>
      <c r="I1662" s="21">
        <f>IF(OR(H1662="",H1662=0),"",1/H1662)</f>
        <v/>
      </c>
      <c r="J1662" s="11">
        <f>IF(OR(G1662="",H1662=""),"",H1662*G1662-1)</f>
        <v/>
      </c>
      <c r="K1662" s="10">
        <f>IF(OR(G1662="",H1662="",G1662&lt;=1),"",IF(J1662&lt;IF(D1662="Builder",MinEdgeBuilder,IF(D1662="Player",MinEdgePlayer,MinEdgeSingle)),0,ROUND(MIN(IF(D1662="Single",KellySingle,KellyBuilder)*(StartBank+SUM(P$1:P1661))*J1662/(G1662-1),IF(D1662="Builder",CapBuilder,CapSingle)*Unit),2)))</f>
        <v/>
      </c>
      <c r="L1662" s="10" t="n"/>
      <c r="N1662" s="10" t="n"/>
      <c r="O1662" s="10">
        <f>IF(L1662="","",IF(M1662="Won",L1662*G1662,IF(M1662="Void",L1662,IF(M1662="Cash out",N(N1662),IF(M1662="Lost",0,"")))))</f>
        <v/>
      </c>
      <c r="P1662" s="10">
        <f>IF(OR(L1662="",M1662="",M1662="Pending"),"",O1662-L1662)</f>
        <v/>
      </c>
      <c r="Q1662" s="21" t="n"/>
      <c r="R1662" s="11">
        <f>IF(OR(G1662="",Q1662=""),"",G1662/Q1662-1)</f>
        <v/>
      </c>
      <c r="S1662" s="10">
        <f>IF(OR(L1662="",J1662=""),"",L1662*J1662)</f>
        <v/>
      </c>
      <c r="T1662" s="10">
        <f>IF(P1662="","",StartBank+SUM(P$2:P1662))</f>
        <v/>
      </c>
    </row>
    <row r="1663">
      <c r="A1663" s="22" t="n"/>
      <c r="G1663" s="21" t="n"/>
      <c r="H1663" s="11" t="n"/>
      <c r="I1663" s="21">
        <f>IF(OR(H1663="",H1663=0),"",1/H1663)</f>
        <v/>
      </c>
      <c r="J1663" s="11">
        <f>IF(OR(G1663="",H1663=""),"",H1663*G1663-1)</f>
        <v/>
      </c>
      <c r="K1663" s="10">
        <f>IF(OR(G1663="",H1663="",G1663&lt;=1),"",IF(J1663&lt;IF(D1663="Builder",MinEdgeBuilder,IF(D1663="Player",MinEdgePlayer,MinEdgeSingle)),0,ROUND(MIN(IF(D1663="Single",KellySingle,KellyBuilder)*(StartBank+SUM(P$1:P1662))*J1663/(G1663-1),IF(D1663="Builder",CapBuilder,CapSingle)*Unit),2)))</f>
        <v/>
      </c>
      <c r="L1663" s="10" t="n"/>
      <c r="N1663" s="10" t="n"/>
      <c r="O1663" s="10">
        <f>IF(L1663="","",IF(M1663="Won",L1663*G1663,IF(M1663="Void",L1663,IF(M1663="Cash out",N(N1663),IF(M1663="Lost",0,"")))))</f>
        <v/>
      </c>
      <c r="P1663" s="10">
        <f>IF(OR(L1663="",M1663="",M1663="Pending"),"",O1663-L1663)</f>
        <v/>
      </c>
      <c r="Q1663" s="21" t="n"/>
      <c r="R1663" s="11">
        <f>IF(OR(G1663="",Q1663=""),"",G1663/Q1663-1)</f>
        <v/>
      </c>
      <c r="S1663" s="10">
        <f>IF(OR(L1663="",J1663=""),"",L1663*J1663)</f>
        <v/>
      </c>
      <c r="T1663" s="10">
        <f>IF(P1663="","",StartBank+SUM(P$2:P1663))</f>
        <v/>
      </c>
    </row>
    <row r="1664">
      <c r="A1664" s="22" t="n"/>
      <c r="G1664" s="21" t="n"/>
      <c r="H1664" s="11" t="n"/>
      <c r="I1664" s="21">
        <f>IF(OR(H1664="",H1664=0),"",1/H1664)</f>
        <v/>
      </c>
      <c r="J1664" s="11">
        <f>IF(OR(G1664="",H1664=""),"",H1664*G1664-1)</f>
        <v/>
      </c>
      <c r="K1664" s="10">
        <f>IF(OR(G1664="",H1664="",G1664&lt;=1),"",IF(J1664&lt;IF(D1664="Builder",MinEdgeBuilder,IF(D1664="Player",MinEdgePlayer,MinEdgeSingle)),0,ROUND(MIN(IF(D1664="Single",KellySingle,KellyBuilder)*(StartBank+SUM(P$1:P1663))*J1664/(G1664-1),IF(D1664="Builder",CapBuilder,CapSingle)*Unit),2)))</f>
        <v/>
      </c>
      <c r="L1664" s="10" t="n"/>
      <c r="N1664" s="10" t="n"/>
      <c r="O1664" s="10">
        <f>IF(L1664="","",IF(M1664="Won",L1664*G1664,IF(M1664="Void",L1664,IF(M1664="Cash out",N(N1664),IF(M1664="Lost",0,"")))))</f>
        <v/>
      </c>
      <c r="P1664" s="10">
        <f>IF(OR(L1664="",M1664="",M1664="Pending"),"",O1664-L1664)</f>
        <v/>
      </c>
      <c r="Q1664" s="21" t="n"/>
      <c r="R1664" s="11">
        <f>IF(OR(G1664="",Q1664=""),"",G1664/Q1664-1)</f>
        <v/>
      </c>
      <c r="S1664" s="10">
        <f>IF(OR(L1664="",J1664=""),"",L1664*J1664)</f>
        <v/>
      </c>
      <c r="T1664" s="10">
        <f>IF(P1664="","",StartBank+SUM(P$2:P1664))</f>
        <v/>
      </c>
    </row>
    <row r="1665">
      <c r="A1665" s="22" t="n"/>
      <c r="G1665" s="21" t="n"/>
      <c r="H1665" s="11" t="n"/>
      <c r="I1665" s="21">
        <f>IF(OR(H1665="",H1665=0),"",1/H1665)</f>
        <v/>
      </c>
      <c r="J1665" s="11">
        <f>IF(OR(G1665="",H1665=""),"",H1665*G1665-1)</f>
        <v/>
      </c>
      <c r="K1665" s="10">
        <f>IF(OR(G1665="",H1665="",G1665&lt;=1),"",IF(J1665&lt;IF(D1665="Builder",MinEdgeBuilder,IF(D1665="Player",MinEdgePlayer,MinEdgeSingle)),0,ROUND(MIN(IF(D1665="Single",KellySingle,KellyBuilder)*(StartBank+SUM(P$1:P1664))*J1665/(G1665-1),IF(D1665="Builder",CapBuilder,CapSingle)*Unit),2)))</f>
        <v/>
      </c>
      <c r="L1665" s="10" t="n"/>
      <c r="N1665" s="10" t="n"/>
      <c r="O1665" s="10">
        <f>IF(L1665="","",IF(M1665="Won",L1665*G1665,IF(M1665="Void",L1665,IF(M1665="Cash out",N(N1665),IF(M1665="Lost",0,"")))))</f>
        <v/>
      </c>
      <c r="P1665" s="10">
        <f>IF(OR(L1665="",M1665="",M1665="Pending"),"",O1665-L1665)</f>
        <v/>
      </c>
      <c r="Q1665" s="21" t="n"/>
      <c r="R1665" s="11">
        <f>IF(OR(G1665="",Q1665=""),"",G1665/Q1665-1)</f>
        <v/>
      </c>
      <c r="S1665" s="10">
        <f>IF(OR(L1665="",J1665=""),"",L1665*J1665)</f>
        <v/>
      </c>
      <c r="T1665" s="10">
        <f>IF(P1665="","",StartBank+SUM(P$2:P1665))</f>
        <v/>
      </c>
    </row>
    <row r="1666">
      <c r="A1666" s="22" t="n"/>
      <c r="G1666" s="21" t="n"/>
      <c r="H1666" s="11" t="n"/>
      <c r="I1666" s="21">
        <f>IF(OR(H1666="",H1666=0),"",1/H1666)</f>
        <v/>
      </c>
      <c r="J1666" s="11">
        <f>IF(OR(G1666="",H1666=""),"",H1666*G1666-1)</f>
        <v/>
      </c>
      <c r="K1666" s="10">
        <f>IF(OR(G1666="",H1666="",G1666&lt;=1),"",IF(J1666&lt;IF(D1666="Builder",MinEdgeBuilder,IF(D1666="Player",MinEdgePlayer,MinEdgeSingle)),0,ROUND(MIN(IF(D1666="Single",KellySingle,KellyBuilder)*(StartBank+SUM(P$1:P1665))*J1666/(G1666-1),IF(D1666="Builder",CapBuilder,CapSingle)*Unit),2)))</f>
        <v/>
      </c>
      <c r="L1666" s="10" t="n"/>
      <c r="N1666" s="10" t="n"/>
      <c r="O1666" s="10">
        <f>IF(L1666="","",IF(M1666="Won",L1666*G1666,IF(M1666="Void",L1666,IF(M1666="Cash out",N(N1666),IF(M1666="Lost",0,"")))))</f>
        <v/>
      </c>
      <c r="P1666" s="10">
        <f>IF(OR(L1666="",M1666="",M1666="Pending"),"",O1666-L1666)</f>
        <v/>
      </c>
      <c r="Q1666" s="21" t="n"/>
      <c r="R1666" s="11">
        <f>IF(OR(G1666="",Q1666=""),"",G1666/Q1666-1)</f>
        <v/>
      </c>
      <c r="S1666" s="10">
        <f>IF(OR(L1666="",J1666=""),"",L1666*J1666)</f>
        <v/>
      </c>
      <c r="T1666" s="10">
        <f>IF(P1666="","",StartBank+SUM(P$2:P1666))</f>
        <v/>
      </c>
    </row>
    <row r="1667">
      <c r="A1667" s="22" t="n"/>
      <c r="G1667" s="21" t="n"/>
      <c r="H1667" s="11" t="n"/>
      <c r="I1667" s="21">
        <f>IF(OR(H1667="",H1667=0),"",1/H1667)</f>
        <v/>
      </c>
      <c r="J1667" s="11">
        <f>IF(OR(G1667="",H1667=""),"",H1667*G1667-1)</f>
        <v/>
      </c>
      <c r="K1667" s="10">
        <f>IF(OR(G1667="",H1667="",G1667&lt;=1),"",IF(J1667&lt;IF(D1667="Builder",MinEdgeBuilder,IF(D1667="Player",MinEdgePlayer,MinEdgeSingle)),0,ROUND(MIN(IF(D1667="Single",KellySingle,KellyBuilder)*(StartBank+SUM(P$1:P1666))*J1667/(G1667-1),IF(D1667="Builder",CapBuilder,CapSingle)*Unit),2)))</f>
        <v/>
      </c>
      <c r="L1667" s="10" t="n"/>
      <c r="N1667" s="10" t="n"/>
      <c r="O1667" s="10">
        <f>IF(L1667="","",IF(M1667="Won",L1667*G1667,IF(M1667="Void",L1667,IF(M1667="Cash out",N(N1667),IF(M1667="Lost",0,"")))))</f>
        <v/>
      </c>
      <c r="P1667" s="10">
        <f>IF(OR(L1667="",M1667="",M1667="Pending"),"",O1667-L1667)</f>
        <v/>
      </c>
      <c r="Q1667" s="21" t="n"/>
      <c r="R1667" s="11">
        <f>IF(OR(G1667="",Q1667=""),"",G1667/Q1667-1)</f>
        <v/>
      </c>
      <c r="S1667" s="10">
        <f>IF(OR(L1667="",J1667=""),"",L1667*J1667)</f>
        <v/>
      </c>
      <c r="T1667" s="10">
        <f>IF(P1667="","",StartBank+SUM(P$2:P1667))</f>
        <v/>
      </c>
    </row>
    <row r="1668">
      <c r="A1668" s="22" t="n"/>
      <c r="G1668" s="21" t="n"/>
      <c r="H1668" s="11" t="n"/>
      <c r="I1668" s="21">
        <f>IF(OR(H1668="",H1668=0),"",1/H1668)</f>
        <v/>
      </c>
      <c r="J1668" s="11">
        <f>IF(OR(G1668="",H1668=""),"",H1668*G1668-1)</f>
        <v/>
      </c>
      <c r="K1668" s="10">
        <f>IF(OR(G1668="",H1668="",G1668&lt;=1),"",IF(J1668&lt;IF(D1668="Builder",MinEdgeBuilder,IF(D1668="Player",MinEdgePlayer,MinEdgeSingle)),0,ROUND(MIN(IF(D1668="Single",KellySingle,KellyBuilder)*(StartBank+SUM(P$1:P1667))*J1668/(G1668-1),IF(D1668="Builder",CapBuilder,CapSingle)*Unit),2)))</f>
        <v/>
      </c>
      <c r="L1668" s="10" t="n"/>
      <c r="N1668" s="10" t="n"/>
      <c r="O1668" s="10">
        <f>IF(L1668="","",IF(M1668="Won",L1668*G1668,IF(M1668="Void",L1668,IF(M1668="Cash out",N(N1668),IF(M1668="Lost",0,"")))))</f>
        <v/>
      </c>
      <c r="P1668" s="10">
        <f>IF(OR(L1668="",M1668="",M1668="Pending"),"",O1668-L1668)</f>
        <v/>
      </c>
      <c r="Q1668" s="21" t="n"/>
      <c r="R1668" s="11">
        <f>IF(OR(G1668="",Q1668=""),"",G1668/Q1668-1)</f>
        <v/>
      </c>
      <c r="S1668" s="10">
        <f>IF(OR(L1668="",J1668=""),"",L1668*J1668)</f>
        <v/>
      </c>
      <c r="T1668" s="10">
        <f>IF(P1668="","",StartBank+SUM(P$2:P1668))</f>
        <v/>
      </c>
    </row>
    <row r="1669">
      <c r="A1669" s="22" t="n"/>
      <c r="G1669" s="21" t="n"/>
      <c r="H1669" s="11" t="n"/>
      <c r="I1669" s="21">
        <f>IF(OR(H1669="",H1669=0),"",1/H1669)</f>
        <v/>
      </c>
      <c r="J1669" s="11">
        <f>IF(OR(G1669="",H1669=""),"",H1669*G1669-1)</f>
        <v/>
      </c>
      <c r="K1669" s="10">
        <f>IF(OR(G1669="",H1669="",G1669&lt;=1),"",IF(J1669&lt;IF(D1669="Builder",MinEdgeBuilder,IF(D1669="Player",MinEdgePlayer,MinEdgeSingle)),0,ROUND(MIN(IF(D1669="Single",KellySingle,KellyBuilder)*(StartBank+SUM(P$1:P1668))*J1669/(G1669-1),IF(D1669="Builder",CapBuilder,CapSingle)*Unit),2)))</f>
        <v/>
      </c>
      <c r="L1669" s="10" t="n"/>
      <c r="N1669" s="10" t="n"/>
      <c r="O1669" s="10">
        <f>IF(L1669="","",IF(M1669="Won",L1669*G1669,IF(M1669="Void",L1669,IF(M1669="Cash out",N(N1669),IF(M1669="Lost",0,"")))))</f>
        <v/>
      </c>
      <c r="P1669" s="10">
        <f>IF(OR(L1669="",M1669="",M1669="Pending"),"",O1669-L1669)</f>
        <v/>
      </c>
      <c r="Q1669" s="21" t="n"/>
      <c r="R1669" s="11">
        <f>IF(OR(G1669="",Q1669=""),"",G1669/Q1669-1)</f>
        <v/>
      </c>
      <c r="S1669" s="10">
        <f>IF(OR(L1669="",J1669=""),"",L1669*J1669)</f>
        <v/>
      </c>
      <c r="T1669" s="10">
        <f>IF(P1669="","",StartBank+SUM(P$2:P1669))</f>
        <v/>
      </c>
    </row>
    <row r="1670">
      <c r="A1670" s="22" t="n"/>
      <c r="G1670" s="21" t="n"/>
      <c r="H1670" s="11" t="n"/>
      <c r="I1670" s="21">
        <f>IF(OR(H1670="",H1670=0),"",1/H1670)</f>
        <v/>
      </c>
      <c r="J1670" s="11">
        <f>IF(OR(G1670="",H1670=""),"",H1670*G1670-1)</f>
        <v/>
      </c>
      <c r="K1670" s="10">
        <f>IF(OR(G1670="",H1670="",G1670&lt;=1),"",IF(J1670&lt;IF(D1670="Builder",MinEdgeBuilder,IF(D1670="Player",MinEdgePlayer,MinEdgeSingle)),0,ROUND(MIN(IF(D1670="Single",KellySingle,KellyBuilder)*(StartBank+SUM(P$1:P1669))*J1670/(G1670-1),IF(D1670="Builder",CapBuilder,CapSingle)*Unit),2)))</f>
        <v/>
      </c>
      <c r="L1670" s="10" t="n"/>
      <c r="N1670" s="10" t="n"/>
      <c r="O1670" s="10">
        <f>IF(L1670="","",IF(M1670="Won",L1670*G1670,IF(M1670="Void",L1670,IF(M1670="Cash out",N(N1670),IF(M1670="Lost",0,"")))))</f>
        <v/>
      </c>
      <c r="P1670" s="10">
        <f>IF(OR(L1670="",M1670="",M1670="Pending"),"",O1670-L1670)</f>
        <v/>
      </c>
      <c r="Q1670" s="21" t="n"/>
      <c r="R1670" s="11">
        <f>IF(OR(G1670="",Q1670=""),"",G1670/Q1670-1)</f>
        <v/>
      </c>
      <c r="S1670" s="10">
        <f>IF(OR(L1670="",J1670=""),"",L1670*J1670)</f>
        <v/>
      </c>
      <c r="T1670" s="10">
        <f>IF(P1670="","",StartBank+SUM(P$2:P1670))</f>
        <v/>
      </c>
    </row>
    <row r="1671">
      <c r="A1671" s="22" t="n"/>
      <c r="G1671" s="21" t="n"/>
      <c r="H1671" s="11" t="n"/>
      <c r="I1671" s="21">
        <f>IF(OR(H1671="",H1671=0),"",1/H1671)</f>
        <v/>
      </c>
      <c r="J1671" s="11">
        <f>IF(OR(G1671="",H1671=""),"",H1671*G1671-1)</f>
        <v/>
      </c>
      <c r="K1671" s="10">
        <f>IF(OR(G1671="",H1671="",G1671&lt;=1),"",IF(J1671&lt;IF(D1671="Builder",MinEdgeBuilder,IF(D1671="Player",MinEdgePlayer,MinEdgeSingle)),0,ROUND(MIN(IF(D1671="Single",KellySingle,KellyBuilder)*(StartBank+SUM(P$1:P1670))*J1671/(G1671-1),IF(D1671="Builder",CapBuilder,CapSingle)*Unit),2)))</f>
        <v/>
      </c>
      <c r="L1671" s="10" t="n"/>
      <c r="N1671" s="10" t="n"/>
      <c r="O1671" s="10">
        <f>IF(L1671="","",IF(M1671="Won",L1671*G1671,IF(M1671="Void",L1671,IF(M1671="Cash out",N(N1671),IF(M1671="Lost",0,"")))))</f>
        <v/>
      </c>
      <c r="P1671" s="10">
        <f>IF(OR(L1671="",M1671="",M1671="Pending"),"",O1671-L1671)</f>
        <v/>
      </c>
      <c r="Q1671" s="21" t="n"/>
      <c r="R1671" s="11">
        <f>IF(OR(G1671="",Q1671=""),"",G1671/Q1671-1)</f>
        <v/>
      </c>
      <c r="S1671" s="10">
        <f>IF(OR(L1671="",J1671=""),"",L1671*J1671)</f>
        <v/>
      </c>
      <c r="T1671" s="10">
        <f>IF(P1671="","",StartBank+SUM(P$2:P1671))</f>
        <v/>
      </c>
    </row>
    <row r="1672">
      <c r="A1672" s="22" t="n"/>
      <c r="G1672" s="21" t="n"/>
      <c r="H1672" s="11" t="n"/>
      <c r="I1672" s="21">
        <f>IF(OR(H1672="",H1672=0),"",1/H1672)</f>
        <v/>
      </c>
      <c r="J1672" s="11">
        <f>IF(OR(G1672="",H1672=""),"",H1672*G1672-1)</f>
        <v/>
      </c>
      <c r="K1672" s="10">
        <f>IF(OR(G1672="",H1672="",G1672&lt;=1),"",IF(J1672&lt;IF(D1672="Builder",MinEdgeBuilder,IF(D1672="Player",MinEdgePlayer,MinEdgeSingle)),0,ROUND(MIN(IF(D1672="Single",KellySingle,KellyBuilder)*(StartBank+SUM(P$1:P1671))*J1672/(G1672-1),IF(D1672="Builder",CapBuilder,CapSingle)*Unit),2)))</f>
        <v/>
      </c>
      <c r="L1672" s="10" t="n"/>
      <c r="N1672" s="10" t="n"/>
      <c r="O1672" s="10">
        <f>IF(L1672="","",IF(M1672="Won",L1672*G1672,IF(M1672="Void",L1672,IF(M1672="Cash out",N(N1672),IF(M1672="Lost",0,"")))))</f>
        <v/>
      </c>
      <c r="P1672" s="10">
        <f>IF(OR(L1672="",M1672="",M1672="Pending"),"",O1672-L1672)</f>
        <v/>
      </c>
      <c r="Q1672" s="21" t="n"/>
      <c r="R1672" s="11">
        <f>IF(OR(G1672="",Q1672=""),"",G1672/Q1672-1)</f>
        <v/>
      </c>
      <c r="S1672" s="10">
        <f>IF(OR(L1672="",J1672=""),"",L1672*J1672)</f>
        <v/>
      </c>
      <c r="T1672" s="10">
        <f>IF(P1672="","",StartBank+SUM(P$2:P1672))</f>
        <v/>
      </c>
    </row>
    <row r="1673">
      <c r="A1673" s="22" t="n"/>
      <c r="G1673" s="21" t="n"/>
      <c r="H1673" s="11" t="n"/>
      <c r="I1673" s="21">
        <f>IF(OR(H1673="",H1673=0),"",1/H1673)</f>
        <v/>
      </c>
      <c r="J1673" s="11">
        <f>IF(OR(G1673="",H1673=""),"",H1673*G1673-1)</f>
        <v/>
      </c>
      <c r="K1673" s="10">
        <f>IF(OR(G1673="",H1673="",G1673&lt;=1),"",IF(J1673&lt;IF(D1673="Builder",MinEdgeBuilder,IF(D1673="Player",MinEdgePlayer,MinEdgeSingle)),0,ROUND(MIN(IF(D1673="Single",KellySingle,KellyBuilder)*(StartBank+SUM(P$1:P1672))*J1673/(G1673-1),IF(D1673="Builder",CapBuilder,CapSingle)*Unit),2)))</f>
        <v/>
      </c>
      <c r="L1673" s="10" t="n"/>
      <c r="N1673" s="10" t="n"/>
      <c r="O1673" s="10">
        <f>IF(L1673="","",IF(M1673="Won",L1673*G1673,IF(M1673="Void",L1673,IF(M1673="Cash out",N(N1673),IF(M1673="Lost",0,"")))))</f>
        <v/>
      </c>
      <c r="P1673" s="10">
        <f>IF(OR(L1673="",M1673="",M1673="Pending"),"",O1673-L1673)</f>
        <v/>
      </c>
      <c r="Q1673" s="21" t="n"/>
      <c r="R1673" s="11">
        <f>IF(OR(G1673="",Q1673=""),"",G1673/Q1673-1)</f>
        <v/>
      </c>
      <c r="S1673" s="10">
        <f>IF(OR(L1673="",J1673=""),"",L1673*J1673)</f>
        <v/>
      </c>
      <c r="T1673" s="10">
        <f>IF(P1673="","",StartBank+SUM(P$2:P1673))</f>
        <v/>
      </c>
    </row>
    <row r="1674">
      <c r="A1674" s="22" t="n"/>
      <c r="G1674" s="21" t="n"/>
      <c r="H1674" s="11" t="n"/>
      <c r="I1674" s="21">
        <f>IF(OR(H1674="",H1674=0),"",1/H1674)</f>
        <v/>
      </c>
      <c r="J1674" s="11">
        <f>IF(OR(G1674="",H1674=""),"",H1674*G1674-1)</f>
        <v/>
      </c>
      <c r="K1674" s="10">
        <f>IF(OR(G1674="",H1674="",G1674&lt;=1),"",IF(J1674&lt;IF(D1674="Builder",MinEdgeBuilder,IF(D1674="Player",MinEdgePlayer,MinEdgeSingle)),0,ROUND(MIN(IF(D1674="Single",KellySingle,KellyBuilder)*(StartBank+SUM(P$1:P1673))*J1674/(G1674-1),IF(D1674="Builder",CapBuilder,CapSingle)*Unit),2)))</f>
        <v/>
      </c>
      <c r="L1674" s="10" t="n"/>
      <c r="N1674" s="10" t="n"/>
      <c r="O1674" s="10">
        <f>IF(L1674="","",IF(M1674="Won",L1674*G1674,IF(M1674="Void",L1674,IF(M1674="Cash out",N(N1674),IF(M1674="Lost",0,"")))))</f>
        <v/>
      </c>
      <c r="P1674" s="10">
        <f>IF(OR(L1674="",M1674="",M1674="Pending"),"",O1674-L1674)</f>
        <v/>
      </c>
      <c r="Q1674" s="21" t="n"/>
      <c r="R1674" s="11">
        <f>IF(OR(G1674="",Q1674=""),"",G1674/Q1674-1)</f>
        <v/>
      </c>
      <c r="S1674" s="10">
        <f>IF(OR(L1674="",J1674=""),"",L1674*J1674)</f>
        <v/>
      </c>
      <c r="T1674" s="10">
        <f>IF(P1674="","",StartBank+SUM(P$2:P1674))</f>
        <v/>
      </c>
    </row>
    <row r="1675">
      <c r="A1675" s="22" t="n"/>
      <c r="G1675" s="21" t="n"/>
      <c r="H1675" s="11" t="n"/>
      <c r="I1675" s="21">
        <f>IF(OR(H1675="",H1675=0),"",1/H1675)</f>
        <v/>
      </c>
      <c r="J1675" s="11">
        <f>IF(OR(G1675="",H1675=""),"",H1675*G1675-1)</f>
        <v/>
      </c>
      <c r="K1675" s="10">
        <f>IF(OR(G1675="",H1675="",G1675&lt;=1),"",IF(J1675&lt;IF(D1675="Builder",MinEdgeBuilder,IF(D1675="Player",MinEdgePlayer,MinEdgeSingle)),0,ROUND(MIN(IF(D1675="Single",KellySingle,KellyBuilder)*(StartBank+SUM(P$1:P1674))*J1675/(G1675-1),IF(D1675="Builder",CapBuilder,CapSingle)*Unit),2)))</f>
        <v/>
      </c>
      <c r="L1675" s="10" t="n"/>
      <c r="N1675" s="10" t="n"/>
      <c r="O1675" s="10">
        <f>IF(L1675="","",IF(M1675="Won",L1675*G1675,IF(M1675="Void",L1675,IF(M1675="Cash out",N(N1675),IF(M1675="Lost",0,"")))))</f>
        <v/>
      </c>
      <c r="P1675" s="10">
        <f>IF(OR(L1675="",M1675="",M1675="Pending"),"",O1675-L1675)</f>
        <v/>
      </c>
      <c r="Q1675" s="21" t="n"/>
      <c r="R1675" s="11">
        <f>IF(OR(G1675="",Q1675=""),"",G1675/Q1675-1)</f>
        <v/>
      </c>
      <c r="S1675" s="10">
        <f>IF(OR(L1675="",J1675=""),"",L1675*J1675)</f>
        <v/>
      </c>
      <c r="T1675" s="10">
        <f>IF(P1675="","",StartBank+SUM(P$2:P1675))</f>
        <v/>
      </c>
    </row>
    <row r="1676">
      <c r="A1676" s="22" t="n"/>
      <c r="G1676" s="21" t="n"/>
      <c r="H1676" s="11" t="n"/>
      <c r="I1676" s="21">
        <f>IF(OR(H1676="",H1676=0),"",1/H1676)</f>
        <v/>
      </c>
      <c r="J1676" s="11">
        <f>IF(OR(G1676="",H1676=""),"",H1676*G1676-1)</f>
        <v/>
      </c>
      <c r="K1676" s="10">
        <f>IF(OR(G1676="",H1676="",G1676&lt;=1),"",IF(J1676&lt;IF(D1676="Builder",MinEdgeBuilder,IF(D1676="Player",MinEdgePlayer,MinEdgeSingle)),0,ROUND(MIN(IF(D1676="Single",KellySingle,KellyBuilder)*(StartBank+SUM(P$1:P1675))*J1676/(G1676-1),IF(D1676="Builder",CapBuilder,CapSingle)*Unit),2)))</f>
        <v/>
      </c>
      <c r="L1676" s="10" t="n"/>
      <c r="N1676" s="10" t="n"/>
      <c r="O1676" s="10">
        <f>IF(L1676="","",IF(M1676="Won",L1676*G1676,IF(M1676="Void",L1676,IF(M1676="Cash out",N(N1676),IF(M1676="Lost",0,"")))))</f>
        <v/>
      </c>
      <c r="P1676" s="10">
        <f>IF(OR(L1676="",M1676="",M1676="Pending"),"",O1676-L1676)</f>
        <v/>
      </c>
      <c r="Q1676" s="21" t="n"/>
      <c r="R1676" s="11">
        <f>IF(OR(G1676="",Q1676=""),"",G1676/Q1676-1)</f>
        <v/>
      </c>
      <c r="S1676" s="10">
        <f>IF(OR(L1676="",J1676=""),"",L1676*J1676)</f>
        <v/>
      </c>
      <c r="T1676" s="10">
        <f>IF(P1676="","",StartBank+SUM(P$2:P1676))</f>
        <v/>
      </c>
    </row>
    <row r="1677">
      <c r="A1677" s="22" t="n"/>
      <c r="G1677" s="21" t="n"/>
      <c r="H1677" s="11" t="n"/>
      <c r="I1677" s="21">
        <f>IF(OR(H1677="",H1677=0),"",1/H1677)</f>
        <v/>
      </c>
      <c r="J1677" s="11">
        <f>IF(OR(G1677="",H1677=""),"",H1677*G1677-1)</f>
        <v/>
      </c>
      <c r="K1677" s="10">
        <f>IF(OR(G1677="",H1677="",G1677&lt;=1),"",IF(J1677&lt;IF(D1677="Builder",MinEdgeBuilder,IF(D1677="Player",MinEdgePlayer,MinEdgeSingle)),0,ROUND(MIN(IF(D1677="Single",KellySingle,KellyBuilder)*(StartBank+SUM(P$1:P1676))*J1677/(G1677-1),IF(D1677="Builder",CapBuilder,CapSingle)*Unit),2)))</f>
        <v/>
      </c>
      <c r="L1677" s="10" t="n"/>
      <c r="N1677" s="10" t="n"/>
      <c r="O1677" s="10">
        <f>IF(L1677="","",IF(M1677="Won",L1677*G1677,IF(M1677="Void",L1677,IF(M1677="Cash out",N(N1677),IF(M1677="Lost",0,"")))))</f>
        <v/>
      </c>
      <c r="P1677" s="10">
        <f>IF(OR(L1677="",M1677="",M1677="Pending"),"",O1677-L1677)</f>
        <v/>
      </c>
      <c r="Q1677" s="21" t="n"/>
      <c r="R1677" s="11">
        <f>IF(OR(G1677="",Q1677=""),"",G1677/Q1677-1)</f>
        <v/>
      </c>
      <c r="S1677" s="10">
        <f>IF(OR(L1677="",J1677=""),"",L1677*J1677)</f>
        <v/>
      </c>
      <c r="T1677" s="10">
        <f>IF(P1677="","",StartBank+SUM(P$2:P1677))</f>
        <v/>
      </c>
    </row>
    <row r="1678">
      <c r="A1678" s="22" t="n"/>
      <c r="G1678" s="21" t="n"/>
      <c r="H1678" s="11" t="n"/>
      <c r="I1678" s="21">
        <f>IF(OR(H1678="",H1678=0),"",1/H1678)</f>
        <v/>
      </c>
      <c r="J1678" s="11">
        <f>IF(OR(G1678="",H1678=""),"",H1678*G1678-1)</f>
        <v/>
      </c>
      <c r="K1678" s="10">
        <f>IF(OR(G1678="",H1678="",G1678&lt;=1),"",IF(J1678&lt;IF(D1678="Builder",MinEdgeBuilder,IF(D1678="Player",MinEdgePlayer,MinEdgeSingle)),0,ROUND(MIN(IF(D1678="Single",KellySingle,KellyBuilder)*(StartBank+SUM(P$1:P1677))*J1678/(G1678-1),IF(D1678="Builder",CapBuilder,CapSingle)*Unit),2)))</f>
        <v/>
      </c>
      <c r="L1678" s="10" t="n"/>
      <c r="N1678" s="10" t="n"/>
      <c r="O1678" s="10">
        <f>IF(L1678="","",IF(M1678="Won",L1678*G1678,IF(M1678="Void",L1678,IF(M1678="Cash out",N(N1678),IF(M1678="Lost",0,"")))))</f>
        <v/>
      </c>
      <c r="P1678" s="10">
        <f>IF(OR(L1678="",M1678="",M1678="Pending"),"",O1678-L1678)</f>
        <v/>
      </c>
      <c r="Q1678" s="21" t="n"/>
      <c r="R1678" s="11">
        <f>IF(OR(G1678="",Q1678=""),"",G1678/Q1678-1)</f>
        <v/>
      </c>
      <c r="S1678" s="10">
        <f>IF(OR(L1678="",J1678=""),"",L1678*J1678)</f>
        <v/>
      </c>
      <c r="T1678" s="10">
        <f>IF(P1678="","",StartBank+SUM(P$2:P1678))</f>
        <v/>
      </c>
    </row>
    <row r="1679">
      <c r="A1679" s="22" t="n"/>
      <c r="G1679" s="21" t="n"/>
      <c r="H1679" s="11" t="n"/>
      <c r="I1679" s="21">
        <f>IF(OR(H1679="",H1679=0),"",1/H1679)</f>
        <v/>
      </c>
      <c r="J1679" s="11">
        <f>IF(OR(G1679="",H1679=""),"",H1679*G1679-1)</f>
        <v/>
      </c>
      <c r="K1679" s="10">
        <f>IF(OR(G1679="",H1679="",G1679&lt;=1),"",IF(J1679&lt;IF(D1679="Builder",MinEdgeBuilder,IF(D1679="Player",MinEdgePlayer,MinEdgeSingle)),0,ROUND(MIN(IF(D1679="Single",KellySingle,KellyBuilder)*(StartBank+SUM(P$1:P1678))*J1679/(G1679-1),IF(D1679="Builder",CapBuilder,CapSingle)*Unit),2)))</f>
        <v/>
      </c>
      <c r="L1679" s="10" t="n"/>
      <c r="N1679" s="10" t="n"/>
      <c r="O1679" s="10">
        <f>IF(L1679="","",IF(M1679="Won",L1679*G1679,IF(M1679="Void",L1679,IF(M1679="Cash out",N(N1679),IF(M1679="Lost",0,"")))))</f>
        <v/>
      </c>
      <c r="P1679" s="10">
        <f>IF(OR(L1679="",M1679="",M1679="Pending"),"",O1679-L1679)</f>
        <v/>
      </c>
      <c r="Q1679" s="21" t="n"/>
      <c r="R1679" s="11">
        <f>IF(OR(G1679="",Q1679=""),"",G1679/Q1679-1)</f>
        <v/>
      </c>
      <c r="S1679" s="10">
        <f>IF(OR(L1679="",J1679=""),"",L1679*J1679)</f>
        <v/>
      </c>
      <c r="T1679" s="10">
        <f>IF(P1679="","",StartBank+SUM(P$2:P1679))</f>
        <v/>
      </c>
    </row>
    <row r="1680">
      <c r="A1680" s="22" t="n"/>
      <c r="G1680" s="21" t="n"/>
      <c r="H1680" s="11" t="n"/>
      <c r="I1680" s="21">
        <f>IF(OR(H1680="",H1680=0),"",1/H1680)</f>
        <v/>
      </c>
      <c r="J1680" s="11">
        <f>IF(OR(G1680="",H1680=""),"",H1680*G1680-1)</f>
        <v/>
      </c>
      <c r="K1680" s="10">
        <f>IF(OR(G1680="",H1680="",G1680&lt;=1),"",IF(J1680&lt;IF(D1680="Builder",MinEdgeBuilder,IF(D1680="Player",MinEdgePlayer,MinEdgeSingle)),0,ROUND(MIN(IF(D1680="Single",KellySingle,KellyBuilder)*(StartBank+SUM(P$1:P1679))*J1680/(G1680-1),IF(D1680="Builder",CapBuilder,CapSingle)*Unit),2)))</f>
        <v/>
      </c>
      <c r="L1680" s="10" t="n"/>
      <c r="N1680" s="10" t="n"/>
      <c r="O1680" s="10">
        <f>IF(L1680="","",IF(M1680="Won",L1680*G1680,IF(M1680="Void",L1680,IF(M1680="Cash out",N(N1680),IF(M1680="Lost",0,"")))))</f>
        <v/>
      </c>
      <c r="P1680" s="10">
        <f>IF(OR(L1680="",M1680="",M1680="Pending"),"",O1680-L1680)</f>
        <v/>
      </c>
      <c r="Q1680" s="21" t="n"/>
      <c r="R1680" s="11">
        <f>IF(OR(G1680="",Q1680=""),"",G1680/Q1680-1)</f>
        <v/>
      </c>
      <c r="S1680" s="10">
        <f>IF(OR(L1680="",J1680=""),"",L1680*J1680)</f>
        <v/>
      </c>
      <c r="T1680" s="10">
        <f>IF(P1680="","",StartBank+SUM(P$2:P1680))</f>
        <v/>
      </c>
    </row>
    <row r="1681">
      <c r="A1681" s="22" t="n"/>
      <c r="G1681" s="21" t="n"/>
      <c r="H1681" s="11" t="n"/>
      <c r="I1681" s="21">
        <f>IF(OR(H1681="",H1681=0),"",1/H1681)</f>
        <v/>
      </c>
      <c r="J1681" s="11">
        <f>IF(OR(G1681="",H1681=""),"",H1681*G1681-1)</f>
        <v/>
      </c>
      <c r="K1681" s="10">
        <f>IF(OR(G1681="",H1681="",G1681&lt;=1),"",IF(J1681&lt;IF(D1681="Builder",MinEdgeBuilder,IF(D1681="Player",MinEdgePlayer,MinEdgeSingle)),0,ROUND(MIN(IF(D1681="Single",KellySingle,KellyBuilder)*(StartBank+SUM(P$1:P1680))*J1681/(G1681-1),IF(D1681="Builder",CapBuilder,CapSingle)*Unit),2)))</f>
        <v/>
      </c>
      <c r="L1681" s="10" t="n"/>
      <c r="N1681" s="10" t="n"/>
      <c r="O1681" s="10">
        <f>IF(L1681="","",IF(M1681="Won",L1681*G1681,IF(M1681="Void",L1681,IF(M1681="Cash out",N(N1681),IF(M1681="Lost",0,"")))))</f>
        <v/>
      </c>
      <c r="P1681" s="10">
        <f>IF(OR(L1681="",M1681="",M1681="Pending"),"",O1681-L1681)</f>
        <v/>
      </c>
      <c r="Q1681" s="21" t="n"/>
      <c r="R1681" s="11">
        <f>IF(OR(G1681="",Q1681=""),"",G1681/Q1681-1)</f>
        <v/>
      </c>
      <c r="S1681" s="10">
        <f>IF(OR(L1681="",J1681=""),"",L1681*J1681)</f>
        <v/>
      </c>
      <c r="T1681" s="10">
        <f>IF(P1681="","",StartBank+SUM(P$2:P1681))</f>
        <v/>
      </c>
    </row>
    <row r="1682">
      <c r="A1682" s="22" t="n"/>
      <c r="G1682" s="21" t="n"/>
      <c r="H1682" s="11" t="n"/>
      <c r="I1682" s="21">
        <f>IF(OR(H1682="",H1682=0),"",1/H1682)</f>
        <v/>
      </c>
      <c r="J1682" s="11">
        <f>IF(OR(G1682="",H1682=""),"",H1682*G1682-1)</f>
        <v/>
      </c>
      <c r="K1682" s="10">
        <f>IF(OR(G1682="",H1682="",G1682&lt;=1),"",IF(J1682&lt;IF(D1682="Builder",MinEdgeBuilder,IF(D1682="Player",MinEdgePlayer,MinEdgeSingle)),0,ROUND(MIN(IF(D1682="Single",KellySingle,KellyBuilder)*(StartBank+SUM(P$1:P1681))*J1682/(G1682-1),IF(D1682="Builder",CapBuilder,CapSingle)*Unit),2)))</f>
        <v/>
      </c>
      <c r="L1682" s="10" t="n"/>
      <c r="N1682" s="10" t="n"/>
      <c r="O1682" s="10">
        <f>IF(L1682="","",IF(M1682="Won",L1682*G1682,IF(M1682="Void",L1682,IF(M1682="Cash out",N(N1682),IF(M1682="Lost",0,"")))))</f>
        <v/>
      </c>
      <c r="P1682" s="10">
        <f>IF(OR(L1682="",M1682="",M1682="Pending"),"",O1682-L1682)</f>
        <v/>
      </c>
      <c r="Q1682" s="21" t="n"/>
      <c r="R1682" s="11">
        <f>IF(OR(G1682="",Q1682=""),"",G1682/Q1682-1)</f>
        <v/>
      </c>
      <c r="S1682" s="10">
        <f>IF(OR(L1682="",J1682=""),"",L1682*J1682)</f>
        <v/>
      </c>
      <c r="T1682" s="10">
        <f>IF(P1682="","",StartBank+SUM(P$2:P1682))</f>
        <v/>
      </c>
    </row>
    <row r="1683">
      <c r="A1683" s="22" t="n"/>
      <c r="G1683" s="21" t="n"/>
      <c r="H1683" s="11" t="n"/>
      <c r="I1683" s="21">
        <f>IF(OR(H1683="",H1683=0),"",1/H1683)</f>
        <v/>
      </c>
      <c r="J1683" s="11">
        <f>IF(OR(G1683="",H1683=""),"",H1683*G1683-1)</f>
        <v/>
      </c>
      <c r="K1683" s="10">
        <f>IF(OR(G1683="",H1683="",G1683&lt;=1),"",IF(J1683&lt;IF(D1683="Builder",MinEdgeBuilder,IF(D1683="Player",MinEdgePlayer,MinEdgeSingle)),0,ROUND(MIN(IF(D1683="Single",KellySingle,KellyBuilder)*(StartBank+SUM(P$1:P1682))*J1683/(G1683-1),IF(D1683="Builder",CapBuilder,CapSingle)*Unit),2)))</f>
        <v/>
      </c>
      <c r="L1683" s="10" t="n"/>
      <c r="N1683" s="10" t="n"/>
      <c r="O1683" s="10">
        <f>IF(L1683="","",IF(M1683="Won",L1683*G1683,IF(M1683="Void",L1683,IF(M1683="Cash out",N(N1683),IF(M1683="Lost",0,"")))))</f>
        <v/>
      </c>
      <c r="P1683" s="10">
        <f>IF(OR(L1683="",M1683="",M1683="Pending"),"",O1683-L1683)</f>
        <v/>
      </c>
      <c r="Q1683" s="21" t="n"/>
      <c r="R1683" s="11">
        <f>IF(OR(G1683="",Q1683=""),"",G1683/Q1683-1)</f>
        <v/>
      </c>
      <c r="S1683" s="10">
        <f>IF(OR(L1683="",J1683=""),"",L1683*J1683)</f>
        <v/>
      </c>
      <c r="T1683" s="10">
        <f>IF(P1683="","",StartBank+SUM(P$2:P1683))</f>
        <v/>
      </c>
    </row>
    <row r="1684">
      <c r="A1684" s="22" t="n"/>
      <c r="G1684" s="21" t="n"/>
      <c r="H1684" s="11" t="n"/>
      <c r="I1684" s="21">
        <f>IF(OR(H1684="",H1684=0),"",1/H1684)</f>
        <v/>
      </c>
      <c r="J1684" s="11">
        <f>IF(OR(G1684="",H1684=""),"",H1684*G1684-1)</f>
        <v/>
      </c>
      <c r="K1684" s="10">
        <f>IF(OR(G1684="",H1684="",G1684&lt;=1),"",IF(J1684&lt;IF(D1684="Builder",MinEdgeBuilder,IF(D1684="Player",MinEdgePlayer,MinEdgeSingle)),0,ROUND(MIN(IF(D1684="Single",KellySingle,KellyBuilder)*(StartBank+SUM(P$1:P1683))*J1684/(G1684-1),IF(D1684="Builder",CapBuilder,CapSingle)*Unit),2)))</f>
        <v/>
      </c>
      <c r="L1684" s="10" t="n"/>
      <c r="N1684" s="10" t="n"/>
      <c r="O1684" s="10">
        <f>IF(L1684="","",IF(M1684="Won",L1684*G1684,IF(M1684="Void",L1684,IF(M1684="Cash out",N(N1684),IF(M1684="Lost",0,"")))))</f>
        <v/>
      </c>
      <c r="P1684" s="10">
        <f>IF(OR(L1684="",M1684="",M1684="Pending"),"",O1684-L1684)</f>
        <v/>
      </c>
      <c r="Q1684" s="21" t="n"/>
      <c r="R1684" s="11">
        <f>IF(OR(G1684="",Q1684=""),"",G1684/Q1684-1)</f>
        <v/>
      </c>
      <c r="S1684" s="10">
        <f>IF(OR(L1684="",J1684=""),"",L1684*J1684)</f>
        <v/>
      </c>
      <c r="T1684" s="10">
        <f>IF(P1684="","",StartBank+SUM(P$2:P1684))</f>
        <v/>
      </c>
    </row>
    <row r="1685">
      <c r="A1685" s="22" t="n"/>
      <c r="G1685" s="21" t="n"/>
      <c r="H1685" s="11" t="n"/>
      <c r="I1685" s="21">
        <f>IF(OR(H1685="",H1685=0),"",1/H1685)</f>
        <v/>
      </c>
      <c r="J1685" s="11">
        <f>IF(OR(G1685="",H1685=""),"",H1685*G1685-1)</f>
        <v/>
      </c>
      <c r="K1685" s="10">
        <f>IF(OR(G1685="",H1685="",G1685&lt;=1),"",IF(J1685&lt;IF(D1685="Builder",MinEdgeBuilder,IF(D1685="Player",MinEdgePlayer,MinEdgeSingle)),0,ROUND(MIN(IF(D1685="Single",KellySingle,KellyBuilder)*(StartBank+SUM(P$1:P1684))*J1685/(G1685-1),IF(D1685="Builder",CapBuilder,CapSingle)*Unit),2)))</f>
        <v/>
      </c>
      <c r="L1685" s="10" t="n"/>
      <c r="N1685" s="10" t="n"/>
      <c r="O1685" s="10">
        <f>IF(L1685="","",IF(M1685="Won",L1685*G1685,IF(M1685="Void",L1685,IF(M1685="Cash out",N(N1685),IF(M1685="Lost",0,"")))))</f>
        <v/>
      </c>
      <c r="P1685" s="10">
        <f>IF(OR(L1685="",M1685="",M1685="Pending"),"",O1685-L1685)</f>
        <v/>
      </c>
      <c r="Q1685" s="21" t="n"/>
      <c r="R1685" s="11">
        <f>IF(OR(G1685="",Q1685=""),"",G1685/Q1685-1)</f>
        <v/>
      </c>
      <c r="S1685" s="10">
        <f>IF(OR(L1685="",J1685=""),"",L1685*J1685)</f>
        <v/>
      </c>
      <c r="T1685" s="10">
        <f>IF(P1685="","",StartBank+SUM(P$2:P1685))</f>
        <v/>
      </c>
    </row>
    <row r="1686">
      <c r="A1686" s="22" t="n"/>
      <c r="G1686" s="21" t="n"/>
      <c r="H1686" s="11" t="n"/>
      <c r="I1686" s="21">
        <f>IF(OR(H1686="",H1686=0),"",1/H1686)</f>
        <v/>
      </c>
      <c r="J1686" s="11">
        <f>IF(OR(G1686="",H1686=""),"",H1686*G1686-1)</f>
        <v/>
      </c>
      <c r="K1686" s="10">
        <f>IF(OR(G1686="",H1686="",G1686&lt;=1),"",IF(J1686&lt;IF(D1686="Builder",MinEdgeBuilder,IF(D1686="Player",MinEdgePlayer,MinEdgeSingle)),0,ROUND(MIN(IF(D1686="Single",KellySingle,KellyBuilder)*(StartBank+SUM(P$1:P1685))*J1686/(G1686-1),IF(D1686="Builder",CapBuilder,CapSingle)*Unit),2)))</f>
        <v/>
      </c>
      <c r="L1686" s="10" t="n"/>
      <c r="N1686" s="10" t="n"/>
      <c r="O1686" s="10">
        <f>IF(L1686="","",IF(M1686="Won",L1686*G1686,IF(M1686="Void",L1686,IF(M1686="Cash out",N(N1686),IF(M1686="Lost",0,"")))))</f>
        <v/>
      </c>
      <c r="P1686" s="10">
        <f>IF(OR(L1686="",M1686="",M1686="Pending"),"",O1686-L1686)</f>
        <v/>
      </c>
      <c r="Q1686" s="21" t="n"/>
      <c r="R1686" s="11">
        <f>IF(OR(G1686="",Q1686=""),"",G1686/Q1686-1)</f>
        <v/>
      </c>
      <c r="S1686" s="10">
        <f>IF(OR(L1686="",J1686=""),"",L1686*J1686)</f>
        <v/>
      </c>
      <c r="T1686" s="10">
        <f>IF(P1686="","",StartBank+SUM(P$2:P1686))</f>
        <v/>
      </c>
    </row>
    <row r="1687">
      <c r="A1687" s="22" t="n"/>
      <c r="G1687" s="21" t="n"/>
      <c r="H1687" s="11" t="n"/>
      <c r="I1687" s="21">
        <f>IF(OR(H1687="",H1687=0),"",1/H1687)</f>
        <v/>
      </c>
      <c r="J1687" s="11">
        <f>IF(OR(G1687="",H1687=""),"",H1687*G1687-1)</f>
        <v/>
      </c>
      <c r="K1687" s="10">
        <f>IF(OR(G1687="",H1687="",G1687&lt;=1),"",IF(J1687&lt;IF(D1687="Builder",MinEdgeBuilder,IF(D1687="Player",MinEdgePlayer,MinEdgeSingle)),0,ROUND(MIN(IF(D1687="Single",KellySingle,KellyBuilder)*(StartBank+SUM(P$1:P1686))*J1687/(G1687-1),IF(D1687="Builder",CapBuilder,CapSingle)*Unit),2)))</f>
        <v/>
      </c>
      <c r="L1687" s="10" t="n"/>
      <c r="N1687" s="10" t="n"/>
      <c r="O1687" s="10">
        <f>IF(L1687="","",IF(M1687="Won",L1687*G1687,IF(M1687="Void",L1687,IF(M1687="Cash out",N(N1687),IF(M1687="Lost",0,"")))))</f>
        <v/>
      </c>
      <c r="P1687" s="10">
        <f>IF(OR(L1687="",M1687="",M1687="Pending"),"",O1687-L1687)</f>
        <v/>
      </c>
      <c r="Q1687" s="21" t="n"/>
      <c r="R1687" s="11">
        <f>IF(OR(G1687="",Q1687=""),"",G1687/Q1687-1)</f>
        <v/>
      </c>
      <c r="S1687" s="10">
        <f>IF(OR(L1687="",J1687=""),"",L1687*J1687)</f>
        <v/>
      </c>
      <c r="T1687" s="10">
        <f>IF(P1687="","",StartBank+SUM(P$2:P1687))</f>
        <v/>
      </c>
    </row>
    <row r="1688">
      <c r="A1688" s="22" t="n"/>
      <c r="G1688" s="21" t="n"/>
      <c r="H1688" s="11" t="n"/>
      <c r="I1688" s="21">
        <f>IF(OR(H1688="",H1688=0),"",1/H1688)</f>
        <v/>
      </c>
      <c r="J1688" s="11">
        <f>IF(OR(G1688="",H1688=""),"",H1688*G1688-1)</f>
        <v/>
      </c>
      <c r="K1688" s="10">
        <f>IF(OR(G1688="",H1688="",G1688&lt;=1),"",IF(J1688&lt;IF(D1688="Builder",MinEdgeBuilder,IF(D1688="Player",MinEdgePlayer,MinEdgeSingle)),0,ROUND(MIN(IF(D1688="Single",KellySingle,KellyBuilder)*(StartBank+SUM(P$1:P1687))*J1688/(G1688-1),IF(D1688="Builder",CapBuilder,CapSingle)*Unit),2)))</f>
        <v/>
      </c>
      <c r="L1688" s="10" t="n"/>
      <c r="N1688" s="10" t="n"/>
      <c r="O1688" s="10">
        <f>IF(L1688="","",IF(M1688="Won",L1688*G1688,IF(M1688="Void",L1688,IF(M1688="Cash out",N(N1688),IF(M1688="Lost",0,"")))))</f>
        <v/>
      </c>
      <c r="P1688" s="10">
        <f>IF(OR(L1688="",M1688="",M1688="Pending"),"",O1688-L1688)</f>
        <v/>
      </c>
      <c r="Q1688" s="21" t="n"/>
      <c r="R1688" s="11">
        <f>IF(OR(G1688="",Q1688=""),"",G1688/Q1688-1)</f>
        <v/>
      </c>
      <c r="S1688" s="10">
        <f>IF(OR(L1688="",J1688=""),"",L1688*J1688)</f>
        <v/>
      </c>
      <c r="T1688" s="10">
        <f>IF(P1688="","",StartBank+SUM(P$2:P1688))</f>
        <v/>
      </c>
    </row>
    <row r="1689">
      <c r="A1689" s="22" t="n"/>
      <c r="G1689" s="21" t="n"/>
      <c r="H1689" s="11" t="n"/>
      <c r="I1689" s="21">
        <f>IF(OR(H1689="",H1689=0),"",1/H1689)</f>
        <v/>
      </c>
      <c r="J1689" s="11">
        <f>IF(OR(G1689="",H1689=""),"",H1689*G1689-1)</f>
        <v/>
      </c>
      <c r="K1689" s="10">
        <f>IF(OR(G1689="",H1689="",G1689&lt;=1),"",IF(J1689&lt;IF(D1689="Builder",MinEdgeBuilder,IF(D1689="Player",MinEdgePlayer,MinEdgeSingle)),0,ROUND(MIN(IF(D1689="Single",KellySingle,KellyBuilder)*(StartBank+SUM(P$1:P1688))*J1689/(G1689-1),IF(D1689="Builder",CapBuilder,CapSingle)*Unit),2)))</f>
        <v/>
      </c>
      <c r="L1689" s="10" t="n"/>
      <c r="N1689" s="10" t="n"/>
      <c r="O1689" s="10">
        <f>IF(L1689="","",IF(M1689="Won",L1689*G1689,IF(M1689="Void",L1689,IF(M1689="Cash out",N(N1689),IF(M1689="Lost",0,"")))))</f>
        <v/>
      </c>
      <c r="P1689" s="10">
        <f>IF(OR(L1689="",M1689="",M1689="Pending"),"",O1689-L1689)</f>
        <v/>
      </c>
      <c r="Q1689" s="21" t="n"/>
      <c r="R1689" s="11">
        <f>IF(OR(G1689="",Q1689=""),"",G1689/Q1689-1)</f>
        <v/>
      </c>
      <c r="S1689" s="10">
        <f>IF(OR(L1689="",J1689=""),"",L1689*J1689)</f>
        <v/>
      </c>
      <c r="T1689" s="10">
        <f>IF(P1689="","",StartBank+SUM(P$2:P1689))</f>
        <v/>
      </c>
    </row>
    <row r="1690">
      <c r="A1690" s="22" t="n"/>
      <c r="G1690" s="21" t="n"/>
      <c r="H1690" s="11" t="n"/>
      <c r="I1690" s="21">
        <f>IF(OR(H1690="",H1690=0),"",1/H1690)</f>
        <v/>
      </c>
      <c r="J1690" s="11">
        <f>IF(OR(G1690="",H1690=""),"",H1690*G1690-1)</f>
        <v/>
      </c>
      <c r="K1690" s="10">
        <f>IF(OR(G1690="",H1690="",G1690&lt;=1),"",IF(J1690&lt;IF(D1690="Builder",MinEdgeBuilder,IF(D1690="Player",MinEdgePlayer,MinEdgeSingle)),0,ROUND(MIN(IF(D1690="Single",KellySingle,KellyBuilder)*(StartBank+SUM(P$1:P1689))*J1690/(G1690-1),IF(D1690="Builder",CapBuilder,CapSingle)*Unit),2)))</f>
        <v/>
      </c>
      <c r="L1690" s="10" t="n"/>
      <c r="N1690" s="10" t="n"/>
      <c r="O1690" s="10">
        <f>IF(L1690="","",IF(M1690="Won",L1690*G1690,IF(M1690="Void",L1690,IF(M1690="Cash out",N(N1690),IF(M1690="Lost",0,"")))))</f>
        <v/>
      </c>
      <c r="P1690" s="10">
        <f>IF(OR(L1690="",M1690="",M1690="Pending"),"",O1690-L1690)</f>
        <v/>
      </c>
      <c r="Q1690" s="21" t="n"/>
      <c r="R1690" s="11">
        <f>IF(OR(G1690="",Q1690=""),"",G1690/Q1690-1)</f>
        <v/>
      </c>
      <c r="S1690" s="10">
        <f>IF(OR(L1690="",J1690=""),"",L1690*J1690)</f>
        <v/>
      </c>
      <c r="T1690" s="10">
        <f>IF(P1690="","",StartBank+SUM(P$2:P1690))</f>
        <v/>
      </c>
    </row>
    <row r="1691">
      <c r="A1691" s="22" t="n"/>
      <c r="G1691" s="21" t="n"/>
      <c r="H1691" s="11" t="n"/>
      <c r="I1691" s="21">
        <f>IF(OR(H1691="",H1691=0),"",1/H1691)</f>
        <v/>
      </c>
      <c r="J1691" s="11">
        <f>IF(OR(G1691="",H1691=""),"",H1691*G1691-1)</f>
        <v/>
      </c>
      <c r="K1691" s="10">
        <f>IF(OR(G1691="",H1691="",G1691&lt;=1),"",IF(J1691&lt;IF(D1691="Builder",MinEdgeBuilder,IF(D1691="Player",MinEdgePlayer,MinEdgeSingle)),0,ROUND(MIN(IF(D1691="Single",KellySingle,KellyBuilder)*(StartBank+SUM(P$1:P1690))*J1691/(G1691-1),IF(D1691="Builder",CapBuilder,CapSingle)*Unit),2)))</f>
        <v/>
      </c>
      <c r="L1691" s="10" t="n"/>
      <c r="N1691" s="10" t="n"/>
      <c r="O1691" s="10">
        <f>IF(L1691="","",IF(M1691="Won",L1691*G1691,IF(M1691="Void",L1691,IF(M1691="Cash out",N(N1691),IF(M1691="Lost",0,"")))))</f>
        <v/>
      </c>
      <c r="P1691" s="10">
        <f>IF(OR(L1691="",M1691="",M1691="Pending"),"",O1691-L1691)</f>
        <v/>
      </c>
      <c r="Q1691" s="21" t="n"/>
      <c r="R1691" s="11">
        <f>IF(OR(G1691="",Q1691=""),"",G1691/Q1691-1)</f>
        <v/>
      </c>
      <c r="S1691" s="10">
        <f>IF(OR(L1691="",J1691=""),"",L1691*J1691)</f>
        <v/>
      </c>
      <c r="T1691" s="10">
        <f>IF(P1691="","",StartBank+SUM(P$2:P1691))</f>
        <v/>
      </c>
    </row>
    <row r="1692">
      <c r="A1692" s="22" t="n"/>
      <c r="G1692" s="21" t="n"/>
      <c r="H1692" s="11" t="n"/>
      <c r="I1692" s="21">
        <f>IF(OR(H1692="",H1692=0),"",1/H1692)</f>
        <v/>
      </c>
      <c r="J1692" s="11">
        <f>IF(OR(G1692="",H1692=""),"",H1692*G1692-1)</f>
        <v/>
      </c>
      <c r="K1692" s="10">
        <f>IF(OR(G1692="",H1692="",G1692&lt;=1),"",IF(J1692&lt;IF(D1692="Builder",MinEdgeBuilder,IF(D1692="Player",MinEdgePlayer,MinEdgeSingle)),0,ROUND(MIN(IF(D1692="Single",KellySingle,KellyBuilder)*(StartBank+SUM(P$1:P1691))*J1692/(G1692-1),IF(D1692="Builder",CapBuilder,CapSingle)*Unit),2)))</f>
        <v/>
      </c>
      <c r="L1692" s="10" t="n"/>
      <c r="N1692" s="10" t="n"/>
      <c r="O1692" s="10">
        <f>IF(L1692="","",IF(M1692="Won",L1692*G1692,IF(M1692="Void",L1692,IF(M1692="Cash out",N(N1692),IF(M1692="Lost",0,"")))))</f>
        <v/>
      </c>
      <c r="P1692" s="10">
        <f>IF(OR(L1692="",M1692="",M1692="Pending"),"",O1692-L1692)</f>
        <v/>
      </c>
      <c r="Q1692" s="21" t="n"/>
      <c r="R1692" s="11">
        <f>IF(OR(G1692="",Q1692=""),"",G1692/Q1692-1)</f>
        <v/>
      </c>
      <c r="S1692" s="10">
        <f>IF(OR(L1692="",J1692=""),"",L1692*J1692)</f>
        <v/>
      </c>
      <c r="T1692" s="10">
        <f>IF(P1692="","",StartBank+SUM(P$2:P1692))</f>
        <v/>
      </c>
    </row>
    <row r="1693">
      <c r="A1693" s="22" t="n"/>
      <c r="G1693" s="21" t="n"/>
      <c r="H1693" s="11" t="n"/>
      <c r="I1693" s="21">
        <f>IF(OR(H1693="",H1693=0),"",1/H1693)</f>
        <v/>
      </c>
      <c r="J1693" s="11">
        <f>IF(OR(G1693="",H1693=""),"",H1693*G1693-1)</f>
        <v/>
      </c>
      <c r="K1693" s="10">
        <f>IF(OR(G1693="",H1693="",G1693&lt;=1),"",IF(J1693&lt;IF(D1693="Builder",MinEdgeBuilder,IF(D1693="Player",MinEdgePlayer,MinEdgeSingle)),0,ROUND(MIN(IF(D1693="Single",KellySingle,KellyBuilder)*(StartBank+SUM(P$1:P1692))*J1693/(G1693-1),IF(D1693="Builder",CapBuilder,CapSingle)*Unit),2)))</f>
        <v/>
      </c>
      <c r="L1693" s="10" t="n"/>
      <c r="N1693" s="10" t="n"/>
      <c r="O1693" s="10">
        <f>IF(L1693="","",IF(M1693="Won",L1693*G1693,IF(M1693="Void",L1693,IF(M1693="Cash out",N(N1693),IF(M1693="Lost",0,"")))))</f>
        <v/>
      </c>
      <c r="P1693" s="10">
        <f>IF(OR(L1693="",M1693="",M1693="Pending"),"",O1693-L1693)</f>
        <v/>
      </c>
      <c r="Q1693" s="21" t="n"/>
      <c r="R1693" s="11">
        <f>IF(OR(G1693="",Q1693=""),"",G1693/Q1693-1)</f>
        <v/>
      </c>
      <c r="S1693" s="10">
        <f>IF(OR(L1693="",J1693=""),"",L1693*J1693)</f>
        <v/>
      </c>
      <c r="T1693" s="10">
        <f>IF(P1693="","",StartBank+SUM(P$2:P1693))</f>
        <v/>
      </c>
    </row>
    <row r="1694">
      <c r="A1694" s="22" t="n"/>
      <c r="G1694" s="21" t="n"/>
      <c r="H1694" s="11" t="n"/>
      <c r="I1694" s="21">
        <f>IF(OR(H1694="",H1694=0),"",1/H1694)</f>
        <v/>
      </c>
      <c r="J1694" s="11">
        <f>IF(OR(G1694="",H1694=""),"",H1694*G1694-1)</f>
        <v/>
      </c>
      <c r="K1694" s="10">
        <f>IF(OR(G1694="",H1694="",G1694&lt;=1),"",IF(J1694&lt;IF(D1694="Builder",MinEdgeBuilder,IF(D1694="Player",MinEdgePlayer,MinEdgeSingle)),0,ROUND(MIN(IF(D1694="Single",KellySingle,KellyBuilder)*(StartBank+SUM(P$1:P1693))*J1694/(G1694-1),IF(D1694="Builder",CapBuilder,CapSingle)*Unit),2)))</f>
        <v/>
      </c>
      <c r="L1694" s="10" t="n"/>
      <c r="N1694" s="10" t="n"/>
      <c r="O1694" s="10">
        <f>IF(L1694="","",IF(M1694="Won",L1694*G1694,IF(M1694="Void",L1694,IF(M1694="Cash out",N(N1694),IF(M1694="Lost",0,"")))))</f>
        <v/>
      </c>
      <c r="P1694" s="10">
        <f>IF(OR(L1694="",M1694="",M1694="Pending"),"",O1694-L1694)</f>
        <v/>
      </c>
      <c r="Q1694" s="21" t="n"/>
      <c r="R1694" s="11">
        <f>IF(OR(G1694="",Q1694=""),"",G1694/Q1694-1)</f>
        <v/>
      </c>
      <c r="S1694" s="10">
        <f>IF(OR(L1694="",J1694=""),"",L1694*J1694)</f>
        <v/>
      </c>
      <c r="T1694" s="10">
        <f>IF(P1694="","",StartBank+SUM(P$2:P1694))</f>
        <v/>
      </c>
    </row>
    <row r="1695">
      <c r="A1695" s="22" t="n"/>
      <c r="G1695" s="21" t="n"/>
      <c r="H1695" s="11" t="n"/>
      <c r="I1695" s="21">
        <f>IF(OR(H1695="",H1695=0),"",1/H1695)</f>
        <v/>
      </c>
      <c r="J1695" s="11">
        <f>IF(OR(G1695="",H1695=""),"",H1695*G1695-1)</f>
        <v/>
      </c>
      <c r="K1695" s="10">
        <f>IF(OR(G1695="",H1695="",G1695&lt;=1),"",IF(J1695&lt;IF(D1695="Builder",MinEdgeBuilder,IF(D1695="Player",MinEdgePlayer,MinEdgeSingle)),0,ROUND(MIN(IF(D1695="Single",KellySingle,KellyBuilder)*(StartBank+SUM(P$1:P1694))*J1695/(G1695-1),IF(D1695="Builder",CapBuilder,CapSingle)*Unit),2)))</f>
        <v/>
      </c>
      <c r="L1695" s="10" t="n"/>
      <c r="N1695" s="10" t="n"/>
      <c r="O1695" s="10">
        <f>IF(L1695="","",IF(M1695="Won",L1695*G1695,IF(M1695="Void",L1695,IF(M1695="Cash out",N(N1695),IF(M1695="Lost",0,"")))))</f>
        <v/>
      </c>
      <c r="P1695" s="10">
        <f>IF(OR(L1695="",M1695="",M1695="Pending"),"",O1695-L1695)</f>
        <v/>
      </c>
      <c r="Q1695" s="21" t="n"/>
      <c r="R1695" s="11">
        <f>IF(OR(G1695="",Q1695=""),"",G1695/Q1695-1)</f>
        <v/>
      </c>
      <c r="S1695" s="10">
        <f>IF(OR(L1695="",J1695=""),"",L1695*J1695)</f>
        <v/>
      </c>
      <c r="T1695" s="10">
        <f>IF(P1695="","",StartBank+SUM(P$2:P1695))</f>
        <v/>
      </c>
    </row>
    <row r="1696">
      <c r="A1696" s="22" t="n"/>
      <c r="G1696" s="21" t="n"/>
      <c r="H1696" s="11" t="n"/>
      <c r="I1696" s="21">
        <f>IF(OR(H1696="",H1696=0),"",1/H1696)</f>
        <v/>
      </c>
      <c r="J1696" s="11">
        <f>IF(OR(G1696="",H1696=""),"",H1696*G1696-1)</f>
        <v/>
      </c>
      <c r="K1696" s="10">
        <f>IF(OR(G1696="",H1696="",G1696&lt;=1),"",IF(J1696&lt;IF(D1696="Builder",MinEdgeBuilder,IF(D1696="Player",MinEdgePlayer,MinEdgeSingle)),0,ROUND(MIN(IF(D1696="Single",KellySingle,KellyBuilder)*(StartBank+SUM(P$1:P1695))*J1696/(G1696-1),IF(D1696="Builder",CapBuilder,CapSingle)*Unit),2)))</f>
        <v/>
      </c>
      <c r="L1696" s="10" t="n"/>
      <c r="N1696" s="10" t="n"/>
      <c r="O1696" s="10">
        <f>IF(L1696="","",IF(M1696="Won",L1696*G1696,IF(M1696="Void",L1696,IF(M1696="Cash out",N(N1696),IF(M1696="Lost",0,"")))))</f>
        <v/>
      </c>
      <c r="P1696" s="10">
        <f>IF(OR(L1696="",M1696="",M1696="Pending"),"",O1696-L1696)</f>
        <v/>
      </c>
      <c r="Q1696" s="21" t="n"/>
      <c r="R1696" s="11">
        <f>IF(OR(G1696="",Q1696=""),"",G1696/Q1696-1)</f>
        <v/>
      </c>
      <c r="S1696" s="10">
        <f>IF(OR(L1696="",J1696=""),"",L1696*J1696)</f>
        <v/>
      </c>
      <c r="T1696" s="10">
        <f>IF(P1696="","",StartBank+SUM(P$2:P1696))</f>
        <v/>
      </c>
    </row>
    <row r="1697">
      <c r="A1697" s="22" t="n"/>
      <c r="G1697" s="21" t="n"/>
      <c r="H1697" s="11" t="n"/>
      <c r="I1697" s="21">
        <f>IF(OR(H1697="",H1697=0),"",1/H1697)</f>
        <v/>
      </c>
      <c r="J1697" s="11">
        <f>IF(OR(G1697="",H1697=""),"",H1697*G1697-1)</f>
        <v/>
      </c>
      <c r="K1697" s="10">
        <f>IF(OR(G1697="",H1697="",G1697&lt;=1),"",IF(J1697&lt;IF(D1697="Builder",MinEdgeBuilder,IF(D1697="Player",MinEdgePlayer,MinEdgeSingle)),0,ROUND(MIN(IF(D1697="Single",KellySingle,KellyBuilder)*(StartBank+SUM(P$1:P1696))*J1697/(G1697-1),IF(D1697="Builder",CapBuilder,CapSingle)*Unit),2)))</f>
        <v/>
      </c>
      <c r="L1697" s="10" t="n"/>
      <c r="N1697" s="10" t="n"/>
      <c r="O1697" s="10">
        <f>IF(L1697="","",IF(M1697="Won",L1697*G1697,IF(M1697="Void",L1697,IF(M1697="Cash out",N(N1697),IF(M1697="Lost",0,"")))))</f>
        <v/>
      </c>
      <c r="P1697" s="10">
        <f>IF(OR(L1697="",M1697="",M1697="Pending"),"",O1697-L1697)</f>
        <v/>
      </c>
      <c r="Q1697" s="21" t="n"/>
      <c r="R1697" s="11">
        <f>IF(OR(G1697="",Q1697=""),"",G1697/Q1697-1)</f>
        <v/>
      </c>
      <c r="S1697" s="10">
        <f>IF(OR(L1697="",J1697=""),"",L1697*J1697)</f>
        <v/>
      </c>
      <c r="T1697" s="10">
        <f>IF(P1697="","",StartBank+SUM(P$2:P1697))</f>
        <v/>
      </c>
    </row>
    <row r="1698">
      <c r="A1698" s="22" t="n"/>
      <c r="G1698" s="21" t="n"/>
      <c r="H1698" s="11" t="n"/>
      <c r="I1698" s="21">
        <f>IF(OR(H1698="",H1698=0),"",1/H1698)</f>
        <v/>
      </c>
      <c r="J1698" s="11">
        <f>IF(OR(G1698="",H1698=""),"",H1698*G1698-1)</f>
        <v/>
      </c>
      <c r="K1698" s="10">
        <f>IF(OR(G1698="",H1698="",G1698&lt;=1),"",IF(J1698&lt;IF(D1698="Builder",MinEdgeBuilder,IF(D1698="Player",MinEdgePlayer,MinEdgeSingle)),0,ROUND(MIN(IF(D1698="Single",KellySingle,KellyBuilder)*(StartBank+SUM(P$1:P1697))*J1698/(G1698-1),IF(D1698="Builder",CapBuilder,CapSingle)*Unit),2)))</f>
        <v/>
      </c>
      <c r="L1698" s="10" t="n"/>
      <c r="N1698" s="10" t="n"/>
      <c r="O1698" s="10">
        <f>IF(L1698="","",IF(M1698="Won",L1698*G1698,IF(M1698="Void",L1698,IF(M1698="Cash out",N(N1698),IF(M1698="Lost",0,"")))))</f>
        <v/>
      </c>
      <c r="P1698" s="10">
        <f>IF(OR(L1698="",M1698="",M1698="Pending"),"",O1698-L1698)</f>
        <v/>
      </c>
      <c r="Q1698" s="21" t="n"/>
      <c r="R1698" s="11">
        <f>IF(OR(G1698="",Q1698=""),"",G1698/Q1698-1)</f>
        <v/>
      </c>
      <c r="S1698" s="10">
        <f>IF(OR(L1698="",J1698=""),"",L1698*J1698)</f>
        <v/>
      </c>
      <c r="T1698" s="10">
        <f>IF(P1698="","",StartBank+SUM(P$2:P1698))</f>
        <v/>
      </c>
    </row>
    <row r="1699">
      <c r="A1699" s="22" t="n"/>
      <c r="G1699" s="21" t="n"/>
      <c r="H1699" s="11" t="n"/>
      <c r="I1699" s="21">
        <f>IF(OR(H1699="",H1699=0),"",1/H1699)</f>
        <v/>
      </c>
      <c r="J1699" s="11">
        <f>IF(OR(G1699="",H1699=""),"",H1699*G1699-1)</f>
        <v/>
      </c>
      <c r="K1699" s="10">
        <f>IF(OR(G1699="",H1699="",G1699&lt;=1),"",IF(J1699&lt;IF(D1699="Builder",MinEdgeBuilder,IF(D1699="Player",MinEdgePlayer,MinEdgeSingle)),0,ROUND(MIN(IF(D1699="Single",KellySingle,KellyBuilder)*(StartBank+SUM(P$1:P1698))*J1699/(G1699-1),IF(D1699="Builder",CapBuilder,CapSingle)*Unit),2)))</f>
        <v/>
      </c>
      <c r="L1699" s="10" t="n"/>
      <c r="N1699" s="10" t="n"/>
      <c r="O1699" s="10">
        <f>IF(L1699="","",IF(M1699="Won",L1699*G1699,IF(M1699="Void",L1699,IF(M1699="Cash out",N(N1699),IF(M1699="Lost",0,"")))))</f>
        <v/>
      </c>
      <c r="P1699" s="10">
        <f>IF(OR(L1699="",M1699="",M1699="Pending"),"",O1699-L1699)</f>
        <v/>
      </c>
      <c r="Q1699" s="21" t="n"/>
      <c r="R1699" s="11">
        <f>IF(OR(G1699="",Q1699=""),"",G1699/Q1699-1)</f>
        <v/>
      </c>
      <c r="S1699" s="10">
        <f>IF(OR(L1699="",J1699=""),"",L1699*J1699)</f>
        <v/>
      </c>
      <c r="T1699" s="10">
        <f>IF(P1699="","",StartBank+SUM(P$2:P1699))</f>
        <v/>
      </c>
    </row>
    <row r="1700">
      <c r="A1700" s="22" t="n"/>
      <c r="G1700" s="21" t="n"/>
      <c r="H1700" s="11" t="n"/>
      <c r="I1700" s="21">
        <f>IF(OR(H1700="",H1700=0),"",1/H1700)</f>
        <v/>
      </c>
      <c r="J1700" s="11">
        <f>IF(OR(G1700="",H1700=""),"",H1700*G1700-1)</f>
        <v/>
      </c>
      <c r="K1700" s="10">
        <f>IF(OR(G1700="",H1700="",G1700&lt;=1),"",IF(J1700&lt;IF(D1700="Builder",MinEdgeBuilder,IF(D1700="Player",MinEdgePlayer,MinEdgeSingle)),0,ROUND(MIN(IF(D1700="Single",KellySingle,KellyBuilder)*(StartBank+SUM(P$1:P1699))*J1700/(G1700-1),IF(D1700="Builder",CapBuilder,CapSingle)*Unit),2)))</f>
        <v/>
      </c>
      <c r="L1700" s="10" t="n"/>
      <c r="N1700" s="10" t="n"/>
      <c r="O1700" s="10">
        <f>IF(L1700="","",IF(M1700="Won",L1700*G1700,IF(M1700="Void",L1700,IF(M1700="Cash out",N(N1700),IF(M1700="Lost",0,"")))))</f>
        <v/>
      </c>
      <c r="P1700" s="10">
        <f>IF(OR(L1700="",M1700="",M1700="Pending"),"",O1700-L1700)</f>
        <v/>
      </c>
      <c r="Q1700" s="21" t="n"/>
      <c r="R1700" s="11">
        <f>IF(OR(G1700="",Q1700=""),"",G1700/Q1700-1)</f>
        <v/>
      </c>
      <c r="S1700" s="10">
        <f>IF(OR(L1700="",J1700=""),"",L1700*J1700)</f>
        <v/>
      </c>
      <c r="T1700" s="10">
        <f>IF(P1700="","",StartBank+SUM(P$2:P1700))</f>
        <v/>
      </c>
    </row>
    <row r="1701">
      <c r="A1701" s="22" t="n"/>
      <c r="G1701" s="21" t="n"/>
      <c r="H1701" s="11" t="n"/>
      <c r="I1701" s="21">
        <f>IF(OR(H1701="",H1701=0),"",1/H1701)</f>
        <v/>
      </c>
      <c r="J1701" s="11">
        <f>IF(OR(G1701="",H1701=""),"",H1701*G1701-1)</f>
        <v/>
      </c>
      <c r="K1701" s="10">
        <f>IF(OR(G1701="",H1701="",G1701&lt;=1),"",IF(J1701&lt;IF(D1701="Builder",MinEdgeBuilder,IF(D1701="Player",MinEdgePlayer,MinEdgeSingle)),0,ROUND(MIN(IF(D1701="Single",KellySingle,KellyBuilder)*(StartBank+SUM(P$1:P1700))*J1701/(G1701-1),IF(D1701="Builder",CapBuilder,CapSingle)*Unit),2)))</f>
        <v/>
      </c>
      <c r="L1701" s="10" t="n"/>
      <c r="N1701" s="10" t="n"/>
      <c r="O1701" s="10">
        <f>IF(L1701="","",IF(M1701="Won",L1701*G1701,IF(M1701="Void",L1701,IF(M1701="Cash out",N(N1701),IF(M1701="Lost",0,"")))))</f>
        <v/>
      </c>
      <c r="P1701" s="10">
        <f>IF(OR(L1701="",M1701="",M1701="Pending"),"",O1701-L1701)</f>
        <v/>
      </c>
      <c r="Q1701" s="21" t="n"/>
      <c r="R1701" s="11">
        <f>IF(OR(G1701="",Q1701=""),"",G1701/Q1701-1)</f>
        <v/>
      </c>
      <c r="S1701" s="10">
        <f>IF(OR(L1701="",J1701=""),"",L1701*J1701)</f>
        <v/>
      </c>
      <c r="T1701" s="10">
        <f>IF(P1701="","",StartBank+SUM(P$2:P1701))</f>
        <v/>
      </c>
    </row>
    <row r="1702">
      <c r="A1702" s="22" t="n"/>
      <c r="G1702" s="21" t="n"/>
      <c r="H1702" s="11" t="n"/>
      <c r="I1702" s="21">
        <f>IF(OR(H1702="",H1702=0),"",1/H1702)</f>
        <v/>
      </c>
      <c r="J1702" s="11">
        <f>IF(OR(G1702="",H1702=""),"",H1702*G1702-1)</f>
        <v/>
      </c>
      <c r="K1702" s="10">
        <f>IF(OR(G1702="",H1702="",G1702&lt;=1),"",IF(J1702&lt;IF(D1702="Builder",MinEdgeBuilder,IF(D1702="Player",MinEdgePlayer,MinEdgeSingle)),0,ROUND(MIN(IF(D1702="Single",KellySingle,KellyBuilder)*(StartBank+SUM(P$1:P1701))*J1702/(G1702-1),IF(D1702="Builder",CapBuilder,CapSingle)*Unit),2)))</f>
        <v/>
      </c>
      <c r="L1702" s="10" t="n"/>
      <c r="N1702" s="10" t="n"/>
      <c r="O1702" s="10">
        <f>IF(L1702="","",IF(M1702="Won",L1702*G1702,IF(M1702="Void",L1702,IF(M1702="Cash out",N(N1702),IF(M1702="Lost",0,"")))))</f>
        <v/>
      </c>
      <c r="P1702" s="10">
        <f>IF(OR(L1702="",M1702="",M1702="Pending"),"",O1702-L1702)</f>
        <v/>
      </c>
      <c r="Q1702" s="21" t="n"/>
      <c r="R1702" s="11">
        <f>IF(OR(G1702="",Q1702=""),"",G1702/Q1702-1)</f>
        <v/>
      </c>
      <c r="S1702" s="10">
        <f>IF(OR(L1702="",J1702=""),"",L1702*J1702)</f>
        <v/>
      </c>
      <c r="T1702" s="10">
        <f>IF(P1702="","",StartBank+SUM(P$2:P1702))</f>
        <v/>
      </c>
    </row>
    <row r="1703">
      <c r="A1703" s="22" t="n"/>
      <c r="G1703" s="21" t="n"/>
      <c r="H1703" s="11" t="n"/>
      <c r="I1703" s="21">
        <f>IF(OR(H1703="",H1703=0),"",1/H1703)</f>
        <v/>
      </c>
      <c r="J1703" s="11">
        <f>IF(OR(G1703="",H1703=""),"",H1703*G1703-1)</f>
        <v/>
      </c>
      <c r="K1703" s="10">
        <f>IF(OR(G1703="",H1703="",G1703&lt;=1),"",IF(J1703&lt;IF(D1703="Builder",MinEdgeBuilder,IF(D1703="Player",MinEdgePlayer,MinEdgeSingle)),0,ROUND(MIN(IF(D1703="Single",KellySingle,KellyBuilder)*(StartBank+SUM(P$1:P1702))*J1703/(G1703-1),IF(D1703="Builder",CapBuilder,CapSingle)*Unit),2)))</f>
        <v/>
      </c>
      <c r="L1703" s="10" t="n"/>
      <c r="N1703" s="10" t="n"/>
      <c r="O1703" s="10">
        <f>IF(L1703="","",IF(M1703="Won",L1703*G1703,IF(M1703="Void",L1703,IF(M1703="Cash out",N(N1703),IF(M1703="Lost",0,"")))))</f>
        <v/>
      </c>
      <c r="P1703" s="10">
        <f>IF(OR(L1703="",M1703="",M1703="Pending"),"",O1703-L1703)</f>
        <v/>
      </c>
      <c r="Q1703" s="21" t="n"/>
      <c r="R1703" s="11">
        <f>IF(OR(G1703="",Q1703=""),"",G1703/Q1703-1)</f>
        <v/>
      </c>
      <c r="S1703" s="10">
        <f>IF(OR(L1703="",J1703=""),"",L1703*J1703)</f>
        <v/>
      </c>
      <c r="T1703" s="10">
        <f>IF(P1703="","",StartBank+SUM(P$2:P1703))</f>
        <v/>
      </c>
    </row>
    <row r="1704">
      <c r="A1704" s="22" t="n"/>
      <c r="G1704" s="21" t="n"/>
      <c r="H1704" s="11" t="n"/>
      <c r="I1704" s="21">
        <f>IF(OR(H1704="",H1704=0),"",1/H1704)</f>
        <v/>
      </c>
      <c r="J1704" s="11">
        <f>IF(OR(G1704="",H1704=""),"",H1704*G1704-1)</f>
        <v/>
      </c>
      <c r="K1704" s="10">
        <f>IF(OR(G1704="",H1704="",G1704&lt;=1),"",IF(J1704&lt;IF(D1704="Builder",MinEdgeBuilder,IF(D1704="Player",MinEdgePlayer,MinEdgeSingle)),0,ROUND(MIN(IF(D1704="Single",KellySingle,KellyBuilder)*(StartBank+SUM(P$1:P1703))*J1704/(G1704-1),IF(D1704="Builder",CapBuilder,CapSingle)*Unit),2)))</f>
        <v/>
      </c>
      <c r="L1704" s="10" t="n"/>
      <c r="N1704" s="10" t="n"/>
      <c r="O1704" s="10">
        <f>IF(L1704="","",IF(M1704="Won",L1704*G1704,IF(M1704="Void",L1704,IF(M1704="Cash out",N(N1704),IF(M1704="Lost",0,"")))))</f>
        <v/>
      </c>
      <c r="P1704" s="10">
        <f>IF(OR(L1704="",M1704="",M1704="Pending"),"",O1704-L1704)</f>
        <v/>
      </c>
      <c r="Q1704" s="21" t="n"/>
      <c r="R1704" s="11">
        <f>IF(OR(G1704="",Q1704=""),"",G1704/Q1704-1)</f>
        <v/>
      </c>
      <c r="S1704" s="10">
        <f>IF(OR(L1704="",J1704=""),"",L1704*J1704)</f>
        <v/>
      </c>
      <c r="T1704" s="10">
        <f>IF(P1704="","",StartBank+SUM(P$2:P1704))</f>
        <v/>
      </c>
    </row>
    <row r="1705">
      <c r="A1705" s="22" t="n"/>
      <c r="G1705" s="21" t="n"/>
      <c r="H1705" s="11" t="n"/>
      <c r="I1705" s="21">
        <f>IF(OR(H1705="",H1705=0),"",1/H1705)</f>
        <v/>
      </c>
      <c r="J1705" s="11">
        <f>IF(OR(G1705="",H1705=""),"",H1705*G1705-1)</f>
        <v/>
      </c>
      <c r="K1705" s="10">
        <f>IF(OR(G1705="",H1705="",G1705&lt;=1),"",IF(J1705&lt;IF(D1705="Builder",MinEdgeBuilder,IF(D1705="Player",MinEdgePlayer,MinEdgeSingle)),0,ROUND(MIN(IF(D1705="Single",KellySingle,KellyBuilder)*(StartBank+SUM(P$1:P1704))*J1705/(G1705-1),IF(D1705="Builder",CapBuilder,CapSingle)*Unit),2)))</f>
        <v/>
      </c>
      <c r="L1705" s="10" t="n"/>
      <c r="N1705" s="10" t="n"/>
      <c r="O1705" s="10">
        <f>IF(L1705="","",IF(M1705="Won",L1705*G1705,IF(M1705="Void",L1705,IF(M1705="Cash out",N(N1705),IF(M1705="Lost",0,"")))))</f>
        <v/>
      </c>
      <c r="P1705" s="10">
        <f>IF(OR(L1705="",M1705="",M1705="Pending"),"",O1705-L1705)</f>
        <v/>
      </c>
      <c r="Q1705" s="21" t="n"/>
      <c r="R1705" s="11">
        <f>IF(OR(G1705="",Q1705=""),"",G1705/Q1705-1)</f>
        <v/>
      </c>
      <c r="S1705" s="10">
        <f>IF(OR(L1705="",J1705=""),"",L1705*J1705)</f>
        <v/>
      </c>
      <c r="T1705" s="10">
        <f>IF(P1705="","",StartBank+SUM(P$2:P1705))</f>
        <v/>
      </c>
    </row>
    <row r="1706">
      <c r="A1706" s="22" t="n"/>
      <c r="G1706" s="21" t="n"/>
      <c r="H1706" s="11" t="n"/>
      <c r="I1706" s="21">
        <f>IF(OR(H1706="",H1706=0),"",1/H1706)</f>
        <v/>
      </c>
      <c r="J1706" s="11">
        <f>IF(OR(G1706="",H1706=""),"",H1706*G1706-1)</f>
        <v/>
      </c>
      <c r="K1706" s="10">
        <f>IF(OR(G1706="",H1706="",G1706&lt;=1),"",IF(J1706&lt;IF(D1706="Builder",MinEdgeBuilder,IF(D1706="Player",MinEdgePlayer,MinEdgeSingle)),0,ROUND(MIN(IF(D1706="Single",KellySingle,KellyBuilder)*(StartBank+SUM(P$1:P1705))*J1706/(G1706-1),IF(D1706="Builder",CapBuilder,CapSingle)*Unit),2)))</f>
        <v/>
      </c>
      <c r="L1706" s="10" t="n"/>
      <c r="N1706" s="10" t="n"/>
      <c r="O1706" s="10">
        <f>IF(L1706="","",IF(M1706="Won",L1706*G1706,IF(M1706="Void",L1706,IF(M1706="Cash out",N(N1706),IF(M1706="Lost",0,"")))))</f>
        <v/>
      </c>
      <c r="P1706" s="10">
        <f>IF(OR(L1706="",M1706="",M1706="Pending"),"",O1706-L1706)</f>
        <v/>
      </c>
      <c r="Q1706" s="21" t="n"/>
      <c r="R1706" s="11">
        <f>IF(OR(G1706="",Q1706=""),"",G1706/Q1706-1)</f>
        <v/>
      </c>
      <c r="S1706" s="10">
        <f>IF(OR(L1706="",J1706=""),"",L1706*J1706)</f>
        <v/>
      </c>
      <c r="T1706" s="10">
        <f>IF(P1706="","",StartBank+SUM(P$2:P1706))</f>
        <v/>
      </c>
    </row>
    <row r="1707">
      <c r="A1707" s="22" t="n"/>
      <c r="G1707" s="21" t="n"/>
      <c r="H1707" s="11" t="n"/>
      <c r="I1707" s="21">
        <f>IF(OR(H1707="",H1707=0),"",1/H1707)</f>
        <v/>
      </c>
      <c r="J1707" s="11">
        <f>IF(OR(G1707="",H1707=""),"",H1707*G1707-1)</f>
        <v/>
      </c>
      <c r="K1707" s="10">
        <f>IF(OR(G1707="",H1707="",G1707&lt;=1),"",IF(J1707&lt;IF(D1707="Builder",MinEdgeBuilder,IF(D1707="Player",MinEdgePlayer,MinEdgeSingle)),0,ROUND(MIN(IF(D1707="Single",KellySingle,KellyBuilder)*(StartBank+SUM(P$1:P1706))*J1707/(G1707-1),IF(D1707="Builder",CapBuilder,CapSingle)*Unit),2)))</f>
        <v/>
      </c>
      <c r="L1707" s="10" t="n"/>
      <c r="N1707" s="10" t="n"/>
      <c r="O1707" s="10">
        <f>IF(L1707="","",IF(M1707="Won",L1707*G1707,IF(M1707="Void",L1707,IF(M1707="Cash out",N(N1707),IF(M1707="Lost",0,"")))))</f>
        <v/>
      </c>
      <c r="P1707" s="10">
        <f>IF(OR(L1707="",M1707="",M1707="Pending"),"",O1707-L1707)</f>
        <v/>
      </c>
      <c r="Q1707" s="21" t="n"/>
      <c r="R1707" s="11">
        <f>IF(OR(G1707="",Q1707=""),"",G1707/Q1707-1)</f>
        <v/>
      </c>
      <c r="S1707" s="10">
        <f>IF(OR(L1707="",J1707=""),"",L1707*J1707)</f>
        <v/>
      </c>
      <c r="T1707" s="10">
        <f>IF(P1707="","",StartBank+SUM(P$2:P1707))</f>
        <v/>
      </c>
    </row>
    <row r="1708">
      <c r="A1708" s="22" t="n"/>
      <c r="G1708" s="21" t="n"/>
      <c r="H1708" s="11" t="n"/>
      <c r="I1708" s="21">
        <f>IF(OR(H1708="",H1708=0),"",1/H1708)</f>
        <v/>
      </c>
      <c r="J1708" s="11">
        <f>IF(OR(G1708="",H1708=""),"",H1708*G1708-1)</f>
        <v/>
      </c>
      <c r="K1708" s="10">
        <f>IF(OR(G1708="",H1708="",G1708&lt;=1),"",IF(J1708&lt;IF(D1708="Builder",MinEdgeBuilder,IF(D1708="Player",MinEdgePlayer,MinEdgeSingle)),0,ROUND(MIN(IF(D1708="Single",KellySingle,KellyBuilder)*(StartBank+SUM(P$1:P1707))*J1708/(G1708-1),IF(D1708="Builder",CapBuilder,CapSingle)*Unit),2)))</f>
        <v/>
      </c>
      <c r="L1708" s="10" t="n"/>
      <c r="N1708" s="10" t="n"/>
      <c r="O1708" s="10">
        <f>IF(L1708="","",IF(M1708="Won",L1708*G1708,IF(M1708="Void",L1708,IF(M1708="Cash out",N(N1708),IF(M1708="Lost",0,"")))))</f>
        <v/>
      </c>
      <c r="P1708" s="10">
        <f>IF(OR(L1708="",M1708="",M1708="Pending"),"",O1708-L1708)</f>
        <v/>
      </c>
      <c r="Q1708" s="21" t="n"/>
      <c r="R1708" s="11">
        <f>IF(OR(G1708="",Q1708=""),"",G1708/Q1708-1)</f>
        <v/>
      </c>
      <c r="S1708" s="10">
        <f>IF(OR(L1708="",J1708=""),"",L1708*J1708)</f>
        <v/>
      </c>
      <c r="T1708" s="10">
        <f>IF(P1708="","",StartBank+SUM(P$2:P1708))</f>
        <v/>
      </c>
    </row>
    <row r="1709">
      <c r="A1709" s="22" t="n"/>
      <c r="G1709" s="21" t="n"/>
      <c r="H1709" s="11" t="n"/>
      <c r="I1709" s="21">
        <f>IF(OR(H1709="",H1709=0),"",1/H1709)</f>
        <v/>
      </c>
      <c r="J1709" s="11">
        <f>IF(OR(G1709="",H1709=""),"",H1709*G1709-1)</f>
        <v/>
      </c>
      <c r="K1709" s="10">
        <f>IF(OR(G1709="",H1709="",G1709&lt;=1),"",IF(J1709&lt;IF(D1709="Builder",MinEdgeBuilder,IF(D1709="Player",MinEdgePlayer,MinEdgeSingle)),0,ROUND(MIN(IF(D1709="Single",KellySingle,KellyBuilder)*(StartBank+SUM(P$1:P1708))*J1709/(G1709-1),IF(D1709="Builder",CapBuilder,CapSingle)*Unit),2)))</f>
        <v/>
      </c>
      <c r="L1709" s="10" t="n"/>
      <c r="N1709" s="10" t="n"/>
      <c r="O1709" s="10">
        <f>IF(L1709="","",IF(M1709="Won",L1709*G1709,IF(M1709="Void",L1709,IF(M1709="Cash out",N(N1709),IF(M1709="Lost",0,"")))))</f>
        <v/>
      </c>
      <c r="P1709" s="10">
        <f>IF(OR(L1709="",M1709="",M1709="Pending"),"",O1709-L1709)</f>
        <v/>
      </c>
      <c r="Q1709" s="21" t="n"/>
      <c r="R1709" s="11">
        <f>IF(OR(G1709="",Q1709=""),"",G1709/Q1709-1)</f>
        <v/>
      </c>
      <c r="S1709" s="10">
        <f>IF(OR(L1709="",J1709=""),"",L1709*J1709)</f>
        <v/>
      </c>
      <c r="T1709" s="10">
        <f>IF(P1709="","",StartBank+SUM(P$2:P1709))</f>
        <v/>
      </c>
    </row>
    <row r="1710">
      <c r="A1710" s="22" t="n"/>
      <c r="G1710" s="21" t="n"/>
      <c r="H1710" s="11" t="n"/>
      <c r="I1710" s="21">
        <f>IF(OR(H1710="",H1710=0),"",1/H1710)</f>
        <v/>
      </c>
      <c r="J1710" s="11">
        <f>IF(OR(G1710="",H1710=""),"",H1710*G1710-1)</f>
        <v/>
      </c>
      <c r="K1710" s="10">
        <f>IF(OR(G1710="",H1710="",G1710&lt;=1),"",IF(J1710&lt;IF(D1710="Builder",MinEdgeBuilder,IF(D1710="Player",MinEdgePlayer,MinEdgeSingle)),0,ROUND(MIN(IF(D1710="Single",KellySingle,KellyBuilder)*(StartBank+SUM(P$1:P1709))*J1710/(G1710-1),IF(D1710="Builder",CapBuilder,CapSingle)*Unit),2)))</f>
        <v/>
      </c>
      <c r="L1710" s="10" t="n"/>
      <c r="N1710" s="10" t="n"/>
      <c r="O1710" s="10">
        <f>IF(L1710="","",IF(M1710="Won",L1710*G1710,IF(M1710="Void",L1710,IF(M1710="Cash out",N(N1710),IF(M1710="Lost",0,"")))))</f>
        <v/>
      </c>
      <c r="P1710" s="10">
        <f>IF(OR(L1710="",M1710="",M1710="Pending"),"",O1710-L1710)</f>
        <v/>
      </c>
      <c r="Q1710" s="21" t="n"/>
      <c r="R1710" s="11">
        <f>IF(OR(G1710="",Q1710=""),"",G1710/Q1710-1)</f>
        <v/>
      </c>
      <c r="S1710" s="10">
        <f>IF(OR(L1710="",J1710=""),"",L1710*J1710)</f>
        <v/>
      </c>
      <c r="T1710" s="10">
        <f>IF(P1710="","",StartBank+SUM(P$2:P1710))</f>
        <v/>
      </c>
    </row>
    <row r="1711">
      <c r="A1711" s="22" t="n"/>
      <c r="G1711" s="21" t="n"/>
      <c r="H1711" s="11" t="n"/>
      <c r="I1711" s="21">
        <f>IF(OR(H1711="",H1711=0),"",1/H1711)</f>
        <v/>
      </c>
      <c r="J1711" s="11">
        <f>IF(OR(G1711="",H1711=""),"",H1711*G1711-1)</f>
        <v/>
      </c>
      <c r="K1711" s="10">
        <f>IF(OR(G1711="",H1711="",G1711&lt;=1),"",IF(J1711&lt;IF(D1711="Builder",MinEdgeBuilder,IF(D1711="Player",MinEdgePlayer,MinEdgeSingle)),0,ROUND(MIN(IF(D1711="Single",KellySingle,KellyBuilder)*(StartBank+SUM(P$1:P1710))*J1711/(G1711-1),IF(D1711="Builder",CapBuilder,CapSingle)*Unit),2)))</f>
        <v/>
      </c>
      <c r="L1711" s="10" t="n"/>
      <c r="N1711" s="10" t="n"/>
      <c r="O1711" s="10">
        <f>IF(L1711="","",IF(M1711="Won",L1711*G1711,IF(M1711="Void",L1711,IF(M1711="Cash out",N(N1711),IF(M1711="Lost",0,"")))))</f>
        <v/>
      </c>
      <c r="P1711" s="10">
        <f>IF(OR(L1711="",M1711="",M1711="Pending"),"",O1711-L1711)</f>
        <v/>
      </c>
      <c r="Q1711" s="21" t="n"/>
      <c r="R1711" s="11">
        <f>IF(OR(G1711="",Q1711=""),"",G1711/Q1711-1)</f>
        <v/>
      </c>
      <c r="S1711" s="10">
        <f>IF(OR(L1711="",J1711=""),"",L1711*J1711)</f>
        <v/>
      </c>
      <c r="T1711" s="10">
        <f>IF(P1711="","",StartBank+SUM(P$2:P1711))</f>
        <v/>
      </c>
    </row>
    <row r="1712">
      <c r="A1712" s="22" t="n"/>
      <c r="G1712" s="21" t="n"/>
      <c r="H1712" s="11" t="n"/>
      <c r="I1712" s="21">
        <f>IF(OR(H1712="",H1712=0),"",1/H1712)</f>
        <v/>
      </c>
      <c r="J1712" s="11">
        <f>IF(OR(G1712="",H1712=""),"",H1712*G1712-1)</f>
        <v/>
      </c>
      <c r="K1712" s="10">
        <f>IF(OR(G1712="",H1712="",G1712&lt;=1),"",IF(J1712&lt;IF(D1712="Builder",MinEdgeBuilder,IF(D1712="Player",MinEdgePlayer,MinEdgeSingle)),0,ROUND(MIN(IF(D1712="Single",KellySingle,KellyBuilder)*(StartBank+SUM(P$1:P1711))*J1712/(G1712-1),IF(D1712="Builder",CapBuilder,CapSingle)*Unit),2)))</f>
        <v/>
      </c>
      <c r="L1712" s="10" t="n"/>
      <c r="N1712" s="10" t="n"/>
      <c r="O1712" s="10">
        <f>IF(L1712="","",IF(M1712="Won",L1712*G1712,IF(M1712="Void",L1712,IF(M1712="Cash out",N(N1712),IF(M1712="Lost",0,"")))))</f>
        <v/>
      </c>
      <c r="P1712" s="10">
        <f>IF(OR(L1712="",M1712="",M1712="Pending"),"",O1712-L1712)</f>
        <v/>
      </c>
      <c r="Q1712" s="21" t="n"/>
      <c r="R1712" s="11">
        <f>IF(OR(G1712="",Q1712=""),"",G1712/Q1712-1)</f>
        <v/>
      </c>
      <c r="S1712" s="10">
        <f>IF(OR(L1712="",J1712=""),"",L1712*J1712)</f>
        <v/>
      </c>
      <c r="T1712" s="10">
        <f>IF(P1712="","",StartBank+SUM(P$2:P1712))</f>
        <v/>
      </c>
    </row>
    <row r="1713">
      <c r="A1713" s="22" t="n"/>
      <c r="G1713" s="21" t="n"/>
      <c r="H1713" s="11" t="n"/>
      <c r="I1713" s="21">
        <f>IF(OR(H1713="",H1713=0),"",1/H1713)</f>
        <v/>
      </c>
      <c r="J1713" s="11">
        <f>IF(OR(G1713="",H1713=""),"",H1713*G1713-1)</f>
        <v/>
      </c>
      <c r="K1713" s="10">
        <f>IF(OR(G1713="",H1713="",G1713&lt;=1),"",IF(J1713&lt;IF(D1713="Builder",MinEdgeBuilder,IF(D1713="Player",MinEdgePlayer,MinEdgeSingle)),0,ROUND(MIN(IF(D1713="Single",KellySingle,KellyBuilder)*(StartBank+SUM(P$1:P1712))*J1713/(G1713-1),IF(D1713="Builder",CapBuilder,CapSingle)*Unit),2)))</f>
        <v/>
      </c>
      <c r="L1713" s="10" t="n"/>
      <c r="N1713" s="10" t="n"/>
      <c r="O1713" s="10">
        <f>IF(L1713="","",IF(M1713="Won",L1713*G1713,IF(M1713="Void",L1713,IF(M1713="Cash out",N(N1713),IF(M1713="Lost",0,"")))))</f>
        <v/>
      </c>
      <c r="P1713" s="10">
        <f>IF(OR(L1713="",M1713="",M1713="Pending"),"",O1713-L1713)</f>
        <v/>
      </c>
      <c r="Q1713" s="21" t="n"/>
      <c r="R1713" s="11">
        <f>IF(OR(G1713="",Q1713=""),"",G1713/Q1713-1)</f>
        <v/>
      </c>
      <c r="S1713" s="10">
        <f>IF(OR(L1713="",J1713=""),"",L1713*J1713)</f>
        <v/>
      </c>
      <c r="T1713" s="10">
        <f>IF(P1713="","",StartBank+SUM(P$2:P1713))</f>
        <v/>
      </c>
    </row>
    <row r="1714">
      <c r="A1714" s="22" t="n"/>
      <c r="G1714" s="21" t="n"/>
      <c r="H1714" s="11" t="n"/>
      <c r="I1714" s="21">
        <f>IF(OR(H1714="",H1714=0),"",1/H1714)</f>
        <v/>
      </c>
      <c r="J1714" s="11">
        <f>IF(OR(G1714="",H1714=""),"",H1714*G1714-1)</f>
        <v/>
      </c>
      <c r="K1714" s="10">
        <f>IF(OR(G1714="",H1714="",G1714&lt;=1),"",IF(J1714&lt;IF(D1714="Builder",MinEdgeBuilder,IF(D1714="Player",MinEdgePlayer,MinEdgeSingle)),0,ROUND(MIN(IF(D1714="Single",KellySingle,KellyBuilder)*(StartBank+SUM(P$1:P1713))*J1714/(G1714-1),IF(D1714="Builder",CapBuilder,CapSingle)*Unit),2)))</f>
        <v/>
      </c>
      <c r="L1714" s="10" t="n"/>
      <c r="N1714" s="10" t="n"/>
      <c r="O1714" s="10">
        <f>IF(L1714="","",IF(M1714="Won",L1714*G1714,IF(M1714="Void",L1714,IF(M1714="Cash out",N(N1714),IF(M1714="Lost",0,"")))))</f>
        <v/>
      </c>
      <c r="P1714" s="10">
        <f>IF(OR(L1714="",M1714="",M1714="Pending"),"",O1714-L1714)</f>
        <v/>
      </c>
      <c r="Q1714" s="21" t="n"/>
      <c r="R1714" s="11">
        <f>IF(OR(G1714="",Q1714=""),"",G1714/Q1714-1)</f>
        <v/>
      </c>
      <c r="S1714" s="10">
        <f>IF(OR(L1714="",J1714=""),"",L1714*J1714)</f>
        <v/>
      </c>
      <c r="T1714" s="10">
        <f>IF(P1714="","",StartBank+SUM(P$2:P1714))</f>
        <v/>
      </c>
    </row>
    <row r="1715">
      <c r="A1715" s="22" t="n"/>
      <c r="G1715" s="21" t="n"/>
      <c r="H1715" s="11" t="n"/>
      <c r="I1715" s="21">
        <f>IF(OR(H1715="",H1715=0),"",1/H1715)</f>
        <v/>
      </c>
      <c r="J1715" s="11">
        <f>IF(OR(G1715="",H1715=""),"",H1715*G1715-1)</f>
        <v/>
      </c>
      <c r="K1715" s="10">
        <f>IF(OR(G1715="",H1715="",G1715&lt;=1),"",IF(J1715&lt;IF(D1715="Builder",MinEdgeBuilder,IF(D1715="Player",MinEdgePlayer,MinEdgeSingle)),0,ROUND(MIN(IF(D1715="Single",KellySingle,KellyBuilder)*(StartBank+SUM(P$1:P1714))*J1715/(G1715-1),IF(D1715="Builder",CapBuilder,CapSingle)*Unit),2)))</f>
        <v/>
      </c>
      <c r="L1715" s="10" t="n"/>
      <c r="N1715" s="10" t="n"/>
      <c r="O1715" s="10">
        <f>IF(L1715="","",IF(M1715="Won",L1715*G1715,IF(M1715="Void",L1715,IF(M1715="Cash out",N(N1715),IF(M1715="Lost",0,"")))))</f>
        <v/>
      </c>
      <c r="P1715" s="10">
        <f>IF(OR(L1715="",M1715="",M1715="Pending"),"",O1715-L1715)</f>
        <v/>
      </c>
      <c r="Q1715" s="21" t="n"/>
      <c r="R1715" s="11">
        <f>IF(OR(G1715="",Q1715=""),"",G1715/Q1715-1)</f>
        <v/>
      </c>
      <c r="S1715" s="10">
        <f>IF(OR(L1715="",J1715=""),"",L1715*J1715)</f>
        <v/>
      </c>
      <c r="T1715" s="10">
        <f>IF(P1715="","",StartBank+SUM(P$2:P1715))</f>
        <v/>
      </c>
    </row>
    <row r="1716">
      <c r="A1716" s="22" t="n"/>
      <c r="G1716" s="21" t="n"/>
      <c r="H1716" s="11" t="n"/>
      <c r="I1716" s="21">
        <f>IF(OR(H1716="",H1716=0),"",1/H1716)</f>
        <v/>
      </c>
      <c r="J1716" s="11">
        <f>IF(OR(G1716="",H1716=""),"",H1716*G1716-1)</f>
        <v/>
      </c>
      <c r="K1716" s="10">
        <f>IF(OR(G1716="",H1716="",G1716&lt;=1),"",IF(J1716&lt;IF(D1716="Builder",MinEdgeBuilder,IF(D1716="Player",MinEdgePlayer,MinEdgeSingle)),0,ROUND(MIN(IF(D1716="Single",KellySingle,KellyBuilder)*(StartBank+SUM(P$1:P1715))*J1716/(G1716-1),IF(D1716="Builder",CapBuilder,CapSingle)*Unit),2)))</f>
        <v/>
      </c>
      <c r="L1716" s="10" t="n"/>
      <c r="N1716" s="10" t="n"/>
      <c r="O1716" s="10">
        <f>IF(L1716="","",IF(M1716="Won",L1716*G1716,IF(M1716="Void",L1716,IF(M1716="Cash out",N(N1716),IF(M1716="Lost",0,"")))))</f>
        <v/>
      </c>
      <c r="P1716" s="10">
        <f>IF(OR(L1716="",M1716="",M1716="Pending"),"",O1716-L1716)</f>
        <v/>
      </c>
      <c r="Q1716" s="21" t="n"/>
      <c r="R1716" s="11">
        <f>IF(OR(G1716="",Q1716=""),"",G1716/Q1716-1)</f>
        <v/>
      </c>
      <c r="S1716" s="10">
        <f>IF(OR(L1716="",J1716=""),"",L1716*J1716)</f>
        <v/>
      </c>
      <c r="T1716" s="10">
        <f>IF(P1716="","",StartBank+SUM(P$2:P1716))</f>
        <v/>
      </c>
    </row>
    <row r="1717">
      <c r="A1717" s="22" t="n"/>
      <c r="G1717" s="21" t="n"/>
      <c r="H1717" s="11" t="n"/>
      <c r="I1717" s="21">
        <f>IF(OR(H1717="",H1717=0),"",1/H1717)</f>
        <v/>
      </c>
      <c r="J1717" s="11">
        <f>IF(OR(G1717="",H1717=""),"",H1717*G1717-1)</f>
        <v/>
      </c>
      <c r="K1717" s="10">
        <f>IF(OR(G1717="",H1717="",G1717&lt;=1),"",IF(J1717&lt;IF(D1717="Builder",MinEdgeBuilder,IF(D1717="Player",MinEdgePlayer,MinEdgeSingle)),0,ROUND(MIN(IF(D1717="Single",KellySingle,KellyBuilder)*(StartBank+SUM(P$1:P1716))*J1717/(G1717-1),IF(D1717="Builder",CapBuilder,CapSingle)*Unit),2)))</f>
        <v/>
      </c>
      <c r="L1717" s="10" t="n"/>
      <c r="N1717" s="10" t="n"/>
      <c r="O1717" s="10">
        <f>IF(L1717="","",IF(M1717="Won",L1717*G1717,IF(M1717="Void",L1717,IF(M1717="Cash out",N(N1717),IF(M1717="Lost",0,"")))))</f>
        <v/>
      </c>
      <c r="P1717" s="10">
        <f>IF(OR(L1717="",M1717="",M1717="Pending"),"",O1717-L1717)</f>
        <v/>
      </c>
      <c r="Q1717" s="21" t="n"/>
      <c r="R1717" s="11">
        <f>IF(OR(G1717="",Q1717=""),"",G1717/Q1717-1)</f>
        <v/>
      </c>
      <c r="S1717" s="10">
        <f>IF(OR(L1717="",J1717=""),"",L1717*J1717)</f>
        <v/>
      </c>
      <c r="T1717" s="10">
        <f>IF(P1717="","",StartBank+SUM(P$2:P1717))</f>
        <v/>
      </c>
    </row>
    <row r="1718">
      <c r="A1718" s="22" t="n"/>
      <c r="G1718" s="21" t="n"/>
      <c r="H1718" s="11" t="n"/>
      <c r="I1718" s="21">
        <f>IF(OR(H1718="",H1718=0),"",1/H1718)</f>
        <v/>
      </c>
      <c r="J1718" s="11">
        <f>IF(OR(G1718="",H1718=""),"",H1718*G1718-1)</f>
        <v/>
      </c>
      <c r="K1718" s="10">
        <f>IF(OR(G1718="",H1718="",G1718&lt;=1),"",IF(J1718&lt;IF(D1718="Builder",MinEdgeBuilder,IF(D1718="Player",MinEdgePlayer,MinEdgeSingle)),0,ROUND(MIN(IF(D1718="Single",KellySingle,KellyBuilder)*(StartBank+SUM(P$1:P1717))*J1718/(G1718-1),IF(D1718="Builder",CapBuilder,CapSingle)*Unit),2)))</f>
        <v/>
      </c>
      <c r="L1718" s="10" t="n"/>
      <c r="N1718" s="10" t="n"/>
      <c r="O1718" s="10">
        <f>IF(L1718="","",IF(M1718="Won",L1718*G1718,IF(M1718="Void",L1718,IF(M1718="Cash out",N(N1718),IF(M1718="Lost",0,"")))))</f>
        <v/>
      </c>
      <c r="P1718" s="10">
        <f>IF(OR(L1718="",M1718="",M1718="Pending"),"",O1718-L1718)</f>
        <v/>
      </c>
      <c r="Q1718" s="21" t="n"/>
      <c r="R1718" s="11">
        <f>IF(OR(G1718="",Q1718=""),"",G1718/Q1718-1)</f>
        <v/>
      </c>
      <c r="S1718" s="10">
        <f>IF(OR(L1718="",J1718=""),"",L1718*J1718)</f>
        <v/>
      </c>
      <c r="T1718" s="10">
        <f>IF(P1718="","",StartBank+SUM(P$2:P1718))</f>
        <v/>
      </c>
    </row>
    <row r="1719">
      <c r="A1719" s="22" t="n"/>
      <c r="G1719" s="21" t="n"/>
      <c r="H1719" s="11" t="n"/>
      <c r="I1719" s="21">
        <f>IF(OR(H1719="",H1719=0),"",1/H1719)</f>
        <v/>
      </c>
      <c r="J1719" s="11">
        <f>IF(OR(G1719="",H1719=""),"",H1719*G1719-1)</f>
        <v/>
      </c>
      <c r="K1719" s="10">
        <f>IF(OR(G1719="",H1719="",G1719&lt;=1),"",IF(J1719&lt;IF(D1719="Builder",MinEdgeBuilder,IF(D1719="Player",MinEdgePlayer,MinEdgeSingle)),0,ROUND(MIN(IF(D1719="Single",KellySingle,KellyBuilder)*(StartBank+SUM(P$1:P1718))*J1719/(G1719-1),IF(D1719="Builder",CapBuilder,CapSingle)*Unit),2)))</f>
        <v/>
      </c>
      <c r="L1719" s="10" t="n"/>
      <c r="N1719" s="10" t="n"/>
      <c r="O1719" s="10">
        <f>IF(L1719="","",IF(M1719="Won",L1719*G1719,IF(M1719="Void",L1719,IF(M1719="Cash out",N(N1719),IF(M1719="Lost",0,"")))))</f>
        <v/>
      </c>
      <c r="P1719" s="10">
        <f>IF(OR(L1719="",M1719="",M1719="Pending"),"",O1719-L1719)</f>
        <v/>
      </c>
      <c r="Q1719" s="21" t="n"/>
      <c r="R1719" s="11">
        <f>IF(OR(G1719="",Q1719=""),"",G1719/Q1719-1)</f>
        <v/>
      </c>
      <c r="S1719" s="10">
        <f>IF(OR(L1719="",J1719=""),"",L1719*J1719)</f>
        <v/>
      </c>
      <c r="T1719" s="10">
        <f>IF(P1719="","",StartBank+SUM(P$2:P1719))</f>
        <v/>
      </c>
    </row>
    <row r="1720">
      <c r="A1720" s="22" t="n"/>
      <c r="G1720" s="21" t="n"/>
      <c r="H1720" s="11" t="n"/>
      <c r="I1720" s="21">
        <f>IF(OR(H1720="",H1720=0),"",1/H1720)</f>
        <v/>
      </c>
      <c r="J1720" s="11">
        <f>IF(OR(G1720="",H1720=""),"",H1720*G1720-1)</f>
        <v/>
      </c>
      <c r="K1720" s="10">
        <f>IF(OR(G1720="",H1720="",G1720&lt;=1),"",IF(J1720&lt;IF(D1720="Builder",MinEdgeBuilder,IF(D1720="Player",MinEdgePlayer,MinEdgeSingle)),0,ROUND(MIN(IF(D1720="Single",KellySingle,KellyBuilder)*(StartBank+SUM(P$1:P1719))*J1720/(G1720-1),IF(D1720="Builder",CapBuilder,CapSingle)*Unit),2)))</f>
        <v/>
      </c>
      <c r="L1720" s="10" t="n"/>
      <c r="N1720" s="10" t="n"/>
      <c r="O1720" s="10">
        <f>IF(L1720="","",IF(M1720="Won",L1720*G1720,IF(M1720="Void",L1720,IF(M1720="Cash out",N(N1720),IF(M1720="Lost",0,"")))))</f>
        <v/>
      </c>
      <c r="P1720" s="10">
        <f>IF(OR(L1720="",M1720="",M1720="Pending"),"",O1720-L1720)</f>
        <v/>
      </c>
      <c r="Q1720" s="21" t="n"/>
      <c r="R1720" s="11">
        <f>IF(OR(G1720="",Q1720=""),"",G1720/Q1720-1)</f>
        <v/>
      </c>
      <c r="S1720" s="10">
        <f>IF(OR(L1720="",J1720=""),"",L1720*J1720)</f>
        <v/>
      </c>
      <c r="T1720" s="10">
        <f>IF(P1720="","",StartBank+SUM(P$2:P1720))</f>
        <v/>
      </c>
    </row>
    <row r="1721">
      <c r="A1721" s="22" t="n"/>
      <c r="G1721" s="21" t="n"/>
      <c r="H1721" s="11" t="n"/>
      <c r="I1721" s="21">
        <f>IF(OR(H1721="",H1721=0),"",1/H1721)</f>
        <v/>
      </c>
      <c r="J1721" s="11">
        <f>IF(OR(G1721="",H1721=""),"",H1721*G1721-1)</f>
        <v/>
      </c>
      <c r="K1721" s="10">
        <f>IF(OR(G1721="",H1721="",G1721&lt;=1),"",IF(J1721&lt;IF(D1721="Builder",MinEdgeBuilder,IF(D1721="Player",MinEdgePlayer,MinEdgeSingle)),0,ROUND(MIN(IF(D1721="Single",KellySingle,KellyBuilder)*(StartBank+SUM(P$1:P1720))*J1721/(G1721-1),IF(D1721="Builder",CapBuilder,CapSingle)*Unit),2)))</f>
        <v/>
      </c>
      <c r="L1721" s="10" t="n"/>
      <c r="N1721" s="10" t="n"/>
      <c r="O1721" s="10">
        <f>IF(L1721="","",IF(M1721="Won",L1721*G1721,IF(M1721="Void",L1721,IF(M1721="Cash out",N(N1721),IF(M1721="Lost",0,"")))))</f>
        <v/>
      </c>
      <c r="P1721" s="10">
        <f>IF(OR(L1721="",M1721="",M1721="Pending"),"",O1721-L1721)</f>
        <v/>
      </c>
      <c r="Q1721" s="21" t="n"/>
      <c r="R1721" s="11">
        <f>IF(OR(G1721="",Q1721=""),"",G1721/Q1721-1)</f>
        <v/>
      </c>
      <c r="S1721" s="10">
        <f>IF(OR(L1721="",J1721=""),"",L1721*J1721)</f>
        <v/>
      </c>
      <c r="T1721" s="10">
        <f>IF(P1721="","",StartBank+SUM(P$2:P1721))</f>
        <v/>
      </c>
    </row>
    <row r="1722">
      <c r="A1722" s="22" t="n"/>
      <c r="G1722" s="21" t="n"/>
      <c r="H1722" s="11" t="n"/>
      <c r="I1722" s="21">
        <f>IF(OR(H1722="",H1722=0),"",1/H1722)</f>
        <v/>
      </c>
      <c r="J1722" s="11">
        <f>IF(OR(G1722="",H1722=""),"",H1722*G1722-1)</f>
        <v/>
      </c>
      <c r="K1722" s="10">
        <f>IF(OR(G1722="",H1722="",G1722&lt;=1),"",IF(J1722&lt;IF(D1722="Builder",MinEdgeBuilder,IF(D1722="Player",MinEdgePlayer,MinEdgeSingle)),0,ROUND(MIN(IF(D1722="Single",KellySingle,KellyBuilder)*(StartBank+SUM(P$1:P1721))*J1722/(G1722-1),IF(D1722="Builder",CapBuilder,CapSingle)*Unit),2)))</f>
        <v/>
      </c>
      <c r="L1722" s="10" t="n"/>
      <c r="N1722" s="10" t="n"/>
      <c r="O1722" s="10">
        <f>IF(L1722="","",IF(M1722="Won",L1722*G1722,IF(M1722="Void",L1722,IF(M1722="Cash out",N(N1722),IF(M1722="Lost",0,"")))))</f>
        <v/>
      </c>
      <c r="P1722" s="10">
        <f>IF(OR(L1722="",M1722="",M1722="Pending"),"",O1722-L1722)</f>
        <v/>
      </c>
      <c r="Q1722" s="21" t="n"/>
      <c r="R1722" s="11">
        <f>IF(OR(G1722="",Q1722=""),"",G1722/Q1722-1)</f>
        <v/>
      </c>
      <c r="S1722" s="10">
        <f>IF(OR(L1722="",J1722=""),"",L1722*J1722)</f>
        <v/>
      </c>
      <c r="T1722" s="10">
        <f>IF(P1722="","",StartBank+SUM(P$2:P1722))</f>
        <v/>
      </c>
    </row>
    <row r="1723">
      <c r="A1723" s="22" t="n"/>
      <c r="G1723" s="21" t="n"/>
      <c r="H1723" s="11" t="n"/>
      <c r="I1723" s="21">
        <f>IF(OR(H1723="",H1723=0),"",1/H1723)</f>
        <v/>
      </c>
      <c r="J1723" s="11">
        <f>IF(OR(G1723="",H1723=""),"",H1723*G1723-1)</f>
        <v/>
      </c>
      <c r="K1723" s="10">
        <f>IF(OR(G1723="",H1723="",G1723&lt;=1),"",IF(J1723&lt;IF(D1723="Builder",MinEdgeBuilder,IF(D1723="Player",MinEdgePlayer,MinEdgeSingle)),0,ROUND(MIN(IF(D1723="Single",KellySingle,KellyBuilder)*(StartBank+SUM(P$1:P1722))*J1723/(G1723-1),IF(D1723="Builder",CapBuilder,CapSingle)*Unit),2)))</f>
        <v/>
      </c>
      <c r="L1723" s="10" t="n"/>
      <c r="N1723" s="10" t="n"/>
      <c r="O1723" s="10">
        <f>IF(L1723="","",IF(M1723="Won",L1723*G1723,IF(M1723="Void",L1723,IF(M1723="Cash out",N(N1723),IF(M1723="Lost",0,"")))))</f>
        <v/>
      </c>
      <c r="P1723" s="10">
        <f>IF(OR(L1723="",M1723="",M1723="Pending"),"",O1723-L1723)</f>
        <v/>
      </c>
      <c r="Q1723" s="21" t="n"/>
      <c r="R1723" s="11">
        <f>IF(OR(G1723="",Q1723=""),"",G1723/Q1723-1)</f>
        <v/>
      </c>
      <c r="S1723" s="10">
        <f>IF(OR(L1723="",J1723=""),"",L1723*J1723)</f>
        <v/>
      </c>
      <c r="T1723" s="10">
        <f>IF(P1723="","",StartBank+SUM(P$2:P1723))</f>
        <v/>
      </c>
    </row>
    <row r="1724">
      <c r="A1724" s="22" t="n"/>
      <c r="G1724" s="21" t="n"/>
      <c r="H1724" s="11" t="n"/>
      <c r="I1724" s="21">
        <f>IF(OR(H1724="",H1724=0),"",1/H1724)</f>
        <v/>
      </c>
      <c r="J1724" s="11">
        <f>IF(OR(G1724="",H1724=""),"",H1724*G1724-1)</f>
        <v/>
      </c>
      <c r="K1724" s="10">
        <f>IF(OR(G1724="",H1724="",G1724&lt;=1),"",IF(J1724&lt;IF(D1724="Builder",MinEdgeBuilder,IF(D1724="Player",MinEdgePlayer,MinEdgeSingle)),0,ROUND(MIN(IF(D1724="Single",KellySingle,KellyBuilder)*(StartBank+SUM(P$1:P1723))*J1724/(G1724-1),IF(D1724="Builder",CapBuilder,CapSingle)*Unit),2)))</f>
        <v/>
      </c>
      <c r="L1724" s="10" t="n"/>
      <c r="N1724" s="10" t="n"/>
      <c r="O1724" s="10">
        <f>IF(L1724="","",IF(M1724="Won",L1724*G1724,IF(M1724="Void",L1724,IF(M1724="Cash out",N(N1724),IF(M1724="Lost",0,"")))))</f>
        <v/>
      </c>
      <c r="P1724" s="10">
        <f>IF(OR(L1724="",M1724="",M1724="Pending"),"",O1724-L1724)</f>
        <v/>
      </c>
      <c r="Q1724" s="21" t="n"/>
      <c r="R1724" s="11">
        <f>IF(OR(G1724="",Q1724=""),"",G1724/Q1724-1)</f>
        <v/>
      </c>
      <c r="S1724" s="10">
        <f>IF(OR(L1724="",J1724=""),"",L1724*J1724)</f>
        <v/>
      </c>
      <c r="T1724" s="10">
        <f>IF(P1724="","",StartBank+SUM(P$2:P1724))</f>
        <v/>
      </c>
    </row>
    <row r="1725">
      <c r="A1725" s="22" t="n"/>
      <c r="G1725" s="21" t="n"/>
      <c r="H1725" s="11" t="n"/>
      <c r="I1725" s="21">
        <f>IF(OR(H1725="",H1725=0),"",1/H1725)</f>
        <v/>
      </c>
      <c r="J1725" s="11">
        <f>IF(OR(G1725="",H1725=""),"",H1725*G1725-1)</f>
        <v/>
      </c>
      <c r="K1725" s="10">
        <f>IF(OR(G1725="",H1725="",G1725&lt;=1),"",IF(J1725&lt;IF(D1725="Builder",MinEdgeBuilder,IF(D1725="Player",MinEdgePlayer,MinEdgeSingle)),0,ROUND(MIN(IF(D1725="Single",KellySingle,KellyBuilder)*(StartBank+SUM(P$1:P1724))*J1725/(G1725-1),IF(D1725="Builder",CapBuilder,CapSingle)*Unit),2)))</f>
        <v/>
      </c>
      <c r="L1725" s="10" t="n"/>
      <c r="N1725" s="10" t="n"/>
      <c r="O1725" s="10">
        <f>IF(L1725="","",IF(M1725="Won",L1725*G1725,IF(M1725="Void",L1725,IF(M1725="Cash out",N(N1725),IF(M1725="Lost",0,"")))))</f>
        <v/>
      </c>
      <c r="P1725" s="10">
        <f>IF(OR(L1725="",M1725="",M1725="Pending"),"",O1725-L1725)</f>
        <v/>
      </c>
      <c r="Q1725" s="21" t="n"/>
      <c r="R1725" s="11">
        <f>IF(OR(G1725="",Q1725=""),"",G1725/Q1725-1)</f>
        <v/>
      </c>
      <c r="S1725" s="10">
        <f>IF(OR(L1725="",J1725=""),"",L1725*J1725)</f>
        <v/>
      </c>
      <c r="T1725" s="10">
        <f>IF(P1725="","",StartBank+SUM(P$2:P1725))</f>
        <v/>
      </c>
    </row>
    <row r="1726">
      <c r="A1726" s="22" t="n"/>
      <c r="G1726" s="21" t="n"/>
      <c r="H1726" s="11" t="n"/>
      <c r="I1726" s="21">
        <f>IF(OR(H1726="",H1726=0),"",1/H1726)</f>
        <v/>
      </c>
      <c r="J1726" s="11">
        <f>IF(OR(G1726="",H1726=""),"",H1726*G1726-1)</f>
        <v/>
      </c>
      <c r="K1726" s="10">
        <f>IF(OR(G1726="",H1726="",G1726&lt;=1),"",IF(J1726&lt;IF(D1726="Builder",MinEdgeBuilder,IF(D1726="Player",MinEdgePlayer,MinEdgeSingle)),0,ROUND(MIN(IF(D1726="Single",KellySingle,KellyBuilder)*(StartBank+SUM(P$1:P1725))*J1726/(G1726-1),IF(D1726="Builder",CapBuilder,CapSingle)*Unit),2)))</f>
        <v/>
      </c>
      <c r="L1726" s="10" t="n"/>
      <c r="N1726" s="10" t="n"/>
      <c r="O1726" s="10">
        <f>IF(L1726="","",IF(M1726="Won",L1726*G1726,IF(M1726="Void",L1726,IF(M1726="Cash out",N(N1726),IF(M1726="Lost",0,"")))))</f>
        <v/>
      </c>
      <c r="P1726" s="10">
        <f>IF(OR(L1726="",M1726="",M1726="Pending"),"",O1726-L1726)</f>
        <v/>
      </c>
      <c r="Q1726" s="21" t="n"/>
      <c r="R1726" s="11">
        <f>IF(OR(G1726="",Q1726=""),"",G1726/Q1726-1)</f>
        <v/>
      </c>
      <c r="S1726" s="10">
        <f>IF(OR(L1726="",J1726=""),"",L1726*J1726)</f>
        <v/>
      </c>
      <c r="T1726" s="10">
        <f>IF(P1726="","",StartBank+SUM(P$2:P1726))</f>
        <v/>
      </c>
    </row>
    <row r="1727">
      <c r="A1727" s="22" t="n"/>
      <c r="G1727" s="21" t="n"/>
      <c r="H1727" s="11" t="n"/>
      <c r="I1727" s="21">
        <f>IF(OR(H1727="",H1727=0),"",1/H1727)</f>
        <v/>
      </c>
      <c r="J1727" s="11">
        <f>IF(OR(G1727="",H1727=""),"",H1727*G1727-1)</f>
        <v/>
      </c>
      <c r="K1727" s="10">
        <f>IF(OR(G1727="",H1727="",G1727&lt;=1),"",IF(J1727&lt;IF(D1727="Builder",MinEdgeBuilder,IF(D1727="Player",MinEdgePlayer,MinEdgeSingle)),0,ROUND(MIN(IF(D1727="Single",KellySingle,KellyBuilder)*(StartBank+SUM(P$1:P1726))*J1727/(G1727-1),IF(D1727="Builder",CapBuilder,CapSingle)*Unit),2)))</f>
        <v/>
      </c>
      <c r="L1727" s="10" t="n"/>
      <c r="N1727" s="10" t="n"/>
      <c r="O1727" s="10">
        <f>IF(L1727="","",IF(M1727="Won",L1727*G1727,IF(M1727="Void",L1727,IF(M1727="Cash out",N(N1727),IF(M1727="Lost",0,"")))))</f>
        <v/>
      </c>
      <c r="P1727" s="10">
        <f>IF(OR(L1727="",M1727="",M1727="Pending"),"",O1727-L1727)</f>
        <v/>
      </c>
      <c r="Q1727" s="21" t="n"/>
      <c r="R1727" s="11">
        <f>IF(OR(G1727="",Q1727=""),"",G1727/Q1727-1)</f>
        <v/>
      </c>
      <c r="S1727" s="10">
        <f>IF(OR(L1727="",J1727=""),"",L1727*J1727)</f>
        <v/>
      </c>
      <c r="T1727" s="10">
        <f>IF(P1727="","",StartBank+SUM(P$2:P1727))</f>
        <v/>
      </c>
    </row>
    <row r="1728">
      <c r="A1728" s="22" t="n"/>
      <c r="G1728" s="21" t="n"/>
      <c r="H1728" s="11" t="n"/>
      <c r="I1728" s="21">
        <f>IF(OR(H1728="",H1728=0),"",1/H1728)</f>
        <v/>
      </c>
      <c r="J1728" s="11">
        <f>IF(OR(G1728="",H1728=""),"",H1728*G1728-1)</f>
        <v/>
      </c>
      <c r="K1728" s="10">
        <f>IF(OR(G1728="",H1728="",G1728&lt;=1),"",IF(J1728&lt;IF(D1728="Builder",MinEdgeBuilder,IF(D1728="Player",MinEdgePlayer,MinEdgeSingle)),0,ROUND(MIN(IF(D1728="Single",KellySingle,KellyBuilder)*(StartBank+SUM(P$1:P1727))*J1728/(G1728-1),IF(D1728="Builder",CapBuilder,CapSingle)*Unit),2)))</f>
        <v/>
      </c>
      <c r="L1728" s="10" t="n"/>
      <c r="N1728" s="10" t="n"/>
      <c r="O1728" s="10">
        <f>IF(L1728="","",IF(M1728="Won",L1728*G1728,IF(M1728="Void",L1728,IF(M1728="Cash out",N(N1728),IF(M1728="Lost",0,"")))))</f>
        <v/>
      </c>
      <c r="P1728" s="10">
        <f>IF(OR(L1728="",M1728="",M1728="Pending"),"",O1728-L1728)</f>
        <v/>
      </c>
      <c r="Q1728" s="21" t="n"/>
      <c r="R1728" s="11">
        <f>IF(OR(G1728="",Q1728=""),"",G1728/Q1728-1)</f>
        <v/>
      </c>
      <c r="S1728" s="10">
        <f>IF(OR(L1728="",J1728=""),"",L1728*J1728)</f>
        <v/>
      </c>
      <c r="T1728" s="10">
        <f>IF(P1728="","",StartBank+SUM(P$2:P1728))</f>
        <v/>
      </c>
    </row>
    <row r="1729">
      <c r="A1729" s="22" t="n"/>
      <c r="G1729" s="21" t="n"/>
      <c r="H1729" s="11" t="n"/>
      <c r="I1729" s="21">
        <f>IF(OR(H1729="",H1729=0),"",1/H1729)</f>
        <v/>
      </c>
      <c r="J1729" s="11">
        <f>IF(OR(G1729="",H1729=""),"",H1729*G1729-1)</f>
        <v/>
      </c>
      <c r="K1729" s="10">
        <f>IF(OR(G1729="",H1729="",G1729&lt;=1),"",IF(J1729&lt;IF(D1729="Builder",MinEdgeBuilder,IF(D1729="Player",MinEdgePlayer,MinEdgeSingle)),0,ROUND(MIN(IF(D1729="Single",KellySingle,KellyBuilder)*(StartBank+SUM(P$1:P1728))*J1729/(G1729-1),IF(D1729="Builder",CapBuilder,CapSingle)*Unit),2)))</f>
        <v/>
      </c>
      <c r="L1729" s="10" t="n"/>
      <c r="N1729" s="10" t="n"/>
      <c r="O1729" s="10">
        <f>IF(L1729="","",IF(M1729="Won",L1729*G1729,IF(M1729="Void",L1729,IF(M1729="Cash out",N(N1729),IF(M1729="Lost",0,"")))))</f>
        <v/>
      </c>
      <c r="P1729" s="10">
        <f>IF(OR(L1729="",M1729="",M1729="Pending"),"",O1729-L1729)</f>
        <v/>
      </c>
      <c r="Q1729" s="21" t="n"/>
      <c r="R1729" s="11">
        <f>IF(OR(G1729="",Q1729=""),"",G1729/Q1729-1)</f>
        <v/>
      </c>
      <c r="S1729" s="10">
        <f>IF(OR(L1729="",J1729=""),"",L1729*J1729)</f>
        <v/>
      </c>
      <c r="T1729" s="10">
        <f>IF(P1729="","",StartBank+SUM(P$2:P1729))</f>
        <v/>
      </c>
    </row>
    <row r="1730">
      <c r="A1730" s="22" t="n"/>
      <c r="G1730" s="21" t="n"/>
      <c r="H1730" s="11" t="n"/>
      <c r="I1730" s="21">
        <f>IF(OR(H1730="",H1730=0),"",1/H1730)</f>
        <v/>
      </c>
      <c r="J1730" s="11">
        <f>IF(OR(G1730="",H1730=""),"",H1730*G1730-1)</f>
        <v/>
      </c>
      <c r="K1730" s="10">
        <f>IF(OR(G1730="",H1730="",G1730&lt;=1),"",IF(J1730&lt;IF(D1730="Builder",MinEdgeBuilder,IF(D1730="Player",MinEdgePlayer,MinEdgeSingle)),0,ROUND(MIN(IF(D1730="Single",KellySingle,KellyBuilder)*(StartBank+SUM(P$1:P1729))*J1730/(G1730-1),IF(D1730="Builder",CapBuilder,CapSingle)*Unit),2)))</f>
        <v/>
      </c>
      <c r="L1730" s="10" t="n"/>
      <c r="N1730" s="10" t="n"/>
      <c r="O1730" s="10">
        <f>IF(L1730="","",IF(M1730="Won",L1730*G1730,IF(M1730="Void",L1730,IF(M1730="Cash out",N(N1730),IF(M1730="Lost",0,"")))))</f>
        <v/>
      </c>
      <c r="P1730" s="10">
        <f>IF(OR(L1730="",M1730="",M1730="Pending"),"",O1730-L1730)</f>
        <v/>
      </c>
      <c r="Q1730" s="21" t="n"/>
      <c r="R1730" s="11">
        <f>IF(OR(G1730="",Q1730=""),"",G1730/Q1730-1)</f>
        <v/>
      </c>
      <c r="S1730" s="10">
        <f>IF(OR(L1730="",J1730=""),"",L1730*J1730)</f>
        <v/>
      </c>
      <c r="T1730" s="10">
        <f>IF(P1730="","",StartBank+SUM(P$2:P1730))</f>
        <v/>
      </c>
    </row>
    <row r="1731">
      <c r="A1731" s="22" t="n"/>
      <c r="G1731" s="21" t="n"/>
      <c r="H1731" s="11" t="n"/>
      <c r="I1731" s="21">
        <f>IF(OR(H1731="",H1731=0),"",1/H1731)</f>
        <v/>
      </c>
      <c r="J1731" s="11">
        <f>IF(OR(G1731="",H1731=""),"",H1731*G1731-1)</f>
        <v/>
      </c>
      <c r="K1731" s="10">
        <f>IF(OR(G1731="",H1731="",G1731&lt;=1),"",IF(J1731&lt;IF(D1731="Builder",MinEdgeBuilder,IF(D1731="Player",MinEdgePlayer,MinEdgeSingle)),0,ROUND(MIN(IF(D1731="Single",KellySingle,KellyBuilder)*(StartBank+SUM(P$1:P1730))*J1731/(G1731-1),IF(D1731="Builder",CapBuilder,CapSingle)*Unit),2)))</f>
        <v/>
      </c>
      <c r="L1731" s="10" t="n"/>
      <c r="N1731" s="10" t="n"/>
      <c r="O1731" s="10">
        <f>IF(L1731="","",IF(M1731="Won",L1731*G1731,IF(M1731="Void",L1731,IF(M1731="Cash out",N(N1731),IF(M1731="Lost",0,"")))))</f>
        <v/>
      </c>
      <c r="P1731" s="10">
        <f>IF(OR(L1731="",M1731="",M1731="Pending"),"",O1731-L1731)</f>
        <v/>
      </c>
      <c r="Q1731" s="21" t="n"/>
      <c r="R1731" s="11">
        <f>IF(OR(G1731="",Q1731=""),"",G1731/Q1731-1)</f>
        <v/>
      </c>
      <c r="S1731" s="10">
        <f>IF(OR(L1731="",J1731=""),"",L1731*J1731)</f>
        <v/>
      </c>
      <c r="T1731" s="10">
        <f>IF(P1731="","",StartBank+SUM(P$2:P1731))</f>
        <v/>
      </c>
    </row>
    <row r="1732">
      <c r="A1732" s="22" t="n"/>
      <c r="G1732" s="21" t="n"/>
      <c r="H1732" s="11" t="n"/>
      <c r="I1732" s="21">
        <f>IF(OR(H1732="",H1732=0),"",1/H1732)</f>
        <v/>
      </c>
      <c r="J1732" s="11">
        <f>IF(OR(G1732="",H1732=""),"",H1732*G1732-1)</f>
        <v/>
      </c>
      <c r="K1732" s="10">
        <f>IF(OR(G1732="",H1732="",G1732&lt;=1),"",IF(J1732&lt;IF(D1732="Builder",MinEdgeBuilder,IF(D1732="Player",MinEdgePlayer,MinEdgeSingle)),0,ROUND(MIN(IF(D1732="Single",KellySingle,KellyBuilder)*(StartBank+SUM(P$1:P1731))*J1732/(G1732-1),IF(D1732="Builder",CapBuilder,CapSingle)*Unit),2)))</f>
        <v/>
      </c>
      <c r="L1732" s="10" t="n"/>
      <c r="N1732" s="10" t="n"/>
      <c r="O1732" s="10">
        <f>IF(L1732="","",IF(M1732="Won",L1732*G1732,IF(M1732="Void",L1732,IF(M1732="Cash out",N(N1732),IF(M1732="Lost",0,"")))))</f>
        <v/>
      </c>
      <c r="P1732" s="10">
        <f>IF(OR(L1732="",M1732="",M1732="Pending"),"",O1732-L1732)</f>
        <v/>
      </c>
      <c r="Q1732" s="21" t="n"/>
      <c r="R1732" s="11">
        <f>IF(OR(G1732="",Q1732=""),"",G1732/Q1732-1)</f>
        <v/>
      </c>
      <c r="S1732" s="10">
        <f>IF(OR(L1732="",J1732=""),"",L1732*J1732)</f>
        <v/>
      </c>
      <c r="T1732" s="10">
        <f>IF(P1732="","",StartBank+SUM(P$2:P1732))</f>
        <v/>
      </c>
    </row>
    <row r="1733">
      <c r="A1733" s="22" t="n"/>
      <c r="G1733" s="21" t="n"/>
      <c r="H1733" s="11" t="n"/>
      <c r="I1733" s="21">
        <f>IF(OR(H1733="",H1733=0),"",1/H1733)</f>
        <v/>
      </c>
      <c r="J1733" s="11">
        <f>IF(OR(G1733="",H1733=""),"",H1733*G1733-1)</f>
        <v/>
      </c>
      <c r="K1733" s="10">
        <f>IF(OR(G1733="",H1733="",G1733&lt;=1),"",IF(J1733&lt;IF(D1733="Builder",MinEdgeBuilder,IF(D1733="Player",MinEdgePlayer,MinEdgeSingle)),0,ROUND(MIN(IF(D1733="Single",KellySingle,KellyBuilder)*(StartBank+SUM(P$1:P1732))*J1733/(G1733-1),IF(D1733="Builder",CapBuilder,CapSingle)*Unit),2)))</f>
        <v/>
      </c>
      <c r="L1733" s="10" t="n"/>
      <c r="N1733" s="10" t="n"/>
      <c r="O1733" s="10">
        <f>IF(L1733="","",IF(M1733="Won",L1733*G1733,IF(M1733="Void",L1733,IF(M1733="Cash out",N(N1733),IF(M1733="Lost",0,"")))))</f>
        <v/>
      </c>
      <c r="P1733" s="10">
        <f>IF(OR(L1733="",M1733="",M1733="Pending"),"",O1733-L1733)</f>
        <v/>
      </c>
      <c r="Q1733" s="21" t="n"/>
      <c r="R1733" s="11">
        <f>IF(OR(G1733="",Q1733=""),"",G1733/Q1733-1)</f>
        <v/>
      </c>
      <c r="S1733" s="10">
        <f>IF(OR(L1733="",J1733=""),"",L1733*J1733)</f>
        <v/>
      </c>
      <c r="T1733" s="10">
        <f>IF(P1733="","",StartBank+SUM(P$2:P1733))</f>
        <v/>
      </c>
    </row>
    <row r="1734">
      <c r="A1734" s="22" t="n"/>
      <c r="G1734" s="21" t="n"/>
      <c r="H1734" s="11" t="n"/>
      <c r="I1734" s="21">
        <f>IF(OR(H1734="",H1734=0),"",1/H1734)</f>
        <v/>
      </c>
      <c r="J1734" s="11">
        <f>IF(OR(G1734="",H1734=""),"",H1734*G1734-1)</f>
        <v/>
      </c>
      <c r="K1734" s="10">
        <f>IF(OR(G1734="",H1734="",G1734&lt;=1),"",IF(J1734&lt;IF(D1734="Builder",MinEdgeBuilder,IF(D1734="Player",MinEdgePlayer,MinEdgeSingle)),0,ROUND(MIN(IF(D1734="Single",KellySingle,KellyBuilder)*(StartBank+SUM(P$1:P1733))*J1734/(G1734-1),IF(D1734="Builder",CapBuilder,CapSingle)*Unit),2)))</f>
        <v/>
      </c>
      <c r="L1734" s="10" t="n"/>
      <c r="N1734" s="10" t="n"/>
      <c r="O1734" s="10">
        <f>IF(L1734="","",IF(M1734="Won",L1734*G1734,IF(M1734="Void",L1734,IF(M1734="Cash out",N(N1734),IF(M1734="Lost",0,"")))))</f>
        <v/>
      </c>
      <c r="P1734" s="10">
        <f>IF(OR(L1734="",M1734="",M1734="Pending"),"",O1734-L1734)</f>
        <v/>
      </c>
      <c r="Q1734" s="21" t="n"/>
      <c r="R1734" s="11">
        <f>IF(OR(G1734="",Q1734=""),"",G1734/Q1734-1)</f>
        <v/>
      </c>
      <c r="S1734" s="10">
        <f>IF(OR(L1734="",J1734=""),"",L1734*J1734)</f>
        <v/>
      </c>
      <c r="T1734" s="10">
        <f>IF(P1734="","",StartBank+SUM(P$2:P1734))</f>
        <v/>
      </c>
    </row>
    <row r="1735">
      <c r="A1735" s="22" t="n"/>
      <c r="G1735" s="21" t="n"/>
      <c r="H1735" s="11" t="n"/>
      <c r="I1735" s="21">
        <f>IF(OR(H1735="",H1735=0),"",1/H1735)</f>
        <v/>
      </c>
      <c r="J1735" s="11">
        <f>IF(OR(G1735="",H1735=""),"",H1735*G1735-1)</f>
        <v/>
      </c>
      <c r="K1735" s="10">
        <f>IF(OR(G1735="",H1735="",G1735&lt;=1),"",IF(J1735&lt;IF(D1735="Builder",MinEdgeBuilder,IF(D1735="Player",MinEdgePlayer,MinEdgeSingle)),0,ROUND(MIN(IF(D1735="Single",KellySingle,KellyBuilder)*(StartBank+SUM(P$1:P1734))*J1735/(G1735-1),IF(D1735="Builder",CapBuilder,CapSingle)*Unit),2)))</f>
        <v/>
      </c>
      <c r="L1735" s="10" t="n"/>
      <c r="N1735" s="10" t="n"/>
      <c r="O1735" s="10">
        <f>IF(L1735="","",IF(M1735="Won",L1735*G1735,IF(M1735="Void",L1735,IF(M1735="Cash out",N(N1735),IF(M1735="Lost",0,"")))))</f>
        <v/>
      </c>
      <c r="P1735" s="10">
        <f>IF(OR(L1735="",M1735="",M1735="Pending"),"",O1735-L1735)</f>
        <v/>
      </c>
      <c r="Q1735" s="21" t="n"/>
      <c r="R1735" s="11">
        <f>IF(OR(G1735="",Q1735=""),"",G1735/Q1735-1)</f>
        <v/>
      </c>
      <c r="S1735" s="10">
        <f>IF(OR(L1735="",J1735=""),"",L1735*J1735)</f>
        <v/>
      </c>
      <c r="T1735" s="10">
        <f>IF(P1735="","",StartBank+SUM(P$2:P1735))</f>
        <v/>
      </c>
    </row>
    <row r="1736">
      <c r="A1736" s="22" t="n"/>
      <c r="G1736" s="21" t="n"/>
      <c r="H1736" s="11" t="n"/>
      <c r="I1736" s="21">
        <f>IF(OR(H1736="",H1736=0),"",1/H1736)</f>
        <v/>
      </c>
      <c r="J1736" s="11">
        <f>IF(OR(G1736="",H1736=""),"",H1736*G1736-1)</f>
        <v/>
      </c>
      <c r="K1736" s="10">
        <f>IF(OR(G1736="",H1736="",G1736&lt;=1),"",IF(J1736&lt;IF(D1736="Builder",MinEdgeBuilder,IF(D1736="Player",MinEdgePlayer,MinEdgeSingle)),0,ROUND(MIN(IF(D1736="Single",KellySingle,KellyBuilder)*(StartBank+SUM(P$1:P1735))*J1736/(G1736-1),IF(D1736="Builder",CapBuilder,CapSingle)*Unit),2)))</f>
        <v/>
      </c>
      <c r="L1736" s="10" t="n"/>
      <c r="N1736" s="10" t="n"/>
      <c r="O1736" s="10">
        <f>IF(L1736="","",IF(M1736="Won",L1736*G1736,IF(M1736="Void",L1736,IF(M1736="Cash out",N(N1736),IF(M1736="Lost",0,"")))))</f>
        <v/>
      </c>
      <c r="P1736" s="10">
        <f>IF(OR(L1736="",M1736="",M1736="Pending"),"",O1736-L1736)</f>
        <v/>
      </c>
      <c r="Q1736" s="21" t="n"/>
      <c r="R1736" s="11">
        <f>IF(OR(G1736="",Q1736=""),"",G1736/Q1736-1)</f>
        <v/>
      </c>
      <c r="S1736" s="10">
        <f>IF(OR(L1736="",J1736=""),"",L1736*J1736)</f>
        <v/>
      </c>
      <c r="T1736" s="10">
        <f>IF(P1736="","",StartBank+SUM(P$2:P1736))</f>
        <v/>
      </c>
    </row>
    <row r="1737">
      <c r="A1737" s="22" t="n"/>
      <c r="G1737" s="21" t="n"/>
      <c r="H1737" s="11" t="n"/>
      <c r="I1737" s="21">
        <f>IF(OR(H1737="",H1737=0),"",1/H1737)</f>
        <v/>
      </c>
      <c r="J1737" s="11">
        <f>IF(OR(G1737="",H1737=""),"",H1737*G1737-1)</f>
        <v/>
      </c>
      <c r="K1737" s="10">
        <f>IF(OR(G1737="",H1737="",G1737&lt;=1),"",IF(J1737&lt;IF(D1737="Builder",MinEdgeBuilder,IF(D1737="Player",MinEdgePlayer,MinEdgeSingle)),0,ROUND(MIN(IF(D1737="Single",KellySingle,KellyBuilder)*(StartBank+SUM(P$1:P1736))*J1737/(G1737-1),IF(D1737="Builder",CapBuilder,CapSingle)*Unit),2)))</f>
        <v/>
      </c>
      <c r="L1737" s="10" t="n"/>
      <c r="N1737" s="10" t="n"/>
      <c r="O1737" s="10">
        <f>IF(L1737="","",IF(M1737="Won",L1737*G1737,IF(M1737="Void",L1737,IF(M1737="Cash out",N(N1737),IF(M1737="Lost",0,"")))))</f>
        <v/>
      </c>
      <c r="P1737" s="10">
        <f>IF(OR(L1737="",M1737="",M1737="Pending"),"",O1737-L1737)</f>
        <v/>
      </c>
      <c r="Q1737" s="21" t="n"/>
      <c r="R1737" s="11">
        <f>IF(OR(G1737="",Q1737=""),"",G1737/Q1737-1)</f>
        <v/>
      </c>
      <c r="S1737" s="10">
        <f>IF(OR(L1737="",J1737=""),"",L1737*J1737)</f>
        <v/>
      </c>
      <c r="T1737" s="10">
        <f>IF(P1737="","",StartBank+SUM(P$2:P1737))</f>
        <v/>
      </c>
    </row>
    <row r="1738">
      <c r="A1738" s="22" t="n"/>
      <c r="G1738" s="21" t="n"/>
      <c r="H1738" s="11" t="n"/>
      <c r="I1738" s="21">
        <f>IF(OR(H1738="",H1738=0),"",1/H1738)</f>
        <v/>
      </c>
      <c r="J1738" s="11">
        <f>IF(OR(G1738="",H1738=""),"",H1738*G1738-1)</f>
        <v/>
      </c>
      <c r="K1738" s="10">
        <f>IF(OR(G1738="",H1738="",G1738&lt;=1),"",IF(J1738&lt;IF(D1738="Builder",MinEdgeBuilder,IF(D1738="Player",MinEdgePlayer,MinEdgeSingle)),0,ROUND(MIN(IF(D1738="Single",KellySingle,KellyBuilder)*(StartBank+SUM(P$1:P1737))*J1738/(G1738-1),IF(D1738="Builder",CapBuilder,CapSingle)*Unit),2)))</f>
        <v/>
      </c>
      <c r="L1738" s="10" t="n"/>
      <c r="N1738" s="10" t="n"/>
      <c r="O1738" s="10">
        <f>IF(L1738="","",IF(M1738="Won",L1738*G1738,IF(M1738="Void",L1738,IF(M1738="Cash out",N(N1738),IF(M1738="Lost",0,"")))))</f>
        <v/>
      </c>
      <c r="P1738" s="10">
        <f>IF(OR(L1738="",M1738="",M1738="Pending"),"",O1738-L1738)</f>
        <v/>
      </c>
      <c r="Q1738" s="21" t="n"/>
      <c r="R1738" s="11">
        <f>IF(OR(G1738="",Q1738=""),"",G1738/Q1738-1)</f>
        <v/>
      </c>
      <c r="S1738" s="10">
        <f>IF(OR(L1738="",J1738=""),"",L1738*J1738)</f>
        <v/>
      </c>
      <c r="T1738" s="10">
        <f>IF(P1738="","",StartBank+SUM(P$2:P1738))</f>
        <v/>
      </c>
    </row>
    <row r="1739">
      <c r="A1739" s="22" t="n"/>
      <c r="G1739" s="21" t="n"/>
      <c r="H1739" s="11" t="n"/>
      <c r="I1739" s="21">
        <f>IF(OR(H1739="",H1739=0),"",1/H1739)</f>
        <v/>
      </c>
      <c r="J1739" s="11">
        <f>IF(OR(G1739="",H1739=""),"",H1739*G1739-1)</f>
        <v/>
      </c>
      <c r="K1739" s="10">
        <f>IF(OR(G1739="",H1739="",G1739&lt;=1),"",IF(J1739&lt;IF(D1739="Builder",MinEdgeBuilder,IF(D1739="Player",MinEdgePlayer,MinEdgeSingle)),0,ROUND(MIN(IF(D1739="Single",KellySingle,KellyBuilder)*(StartBank+SUM(P$1:P1738))*J1739/(G1739-1),IF(D1739="Builder",CapBuilder,CapSingle)*Unit),2)))</f>
        <v/>
      </c>
      <c r="L1739" s="10" t="n"/>
      <c r="N1739" s="10" t="n"/>
      <c r="O1739" s="10">
        <f>IF(L1739="","",IF(M1739="Won",L1739*G1739,IF(M1739="Void",L1739,IF(M1739="Cash out",N(N1739),IF(M1739="Lost",0,"")))))</f>
        <v/>
      </c>
      <c r="P1739" s="10">
        <f>IF(OR(L1739="",M1739="",M1739="Pending"),"",O1739-L1739)</f>
        <v/>
      </c>
      <c r="Q1739" s="21" t="n"/>
      <c r="R1739" s="11">
        <f>IF(OR(G1739="",Q1739=""),"",G1739/Q1739-1)</f>
        <v/>
      </c>
      <c r="S1739" s="10">
        <f>IF(OR(L1739="",J1739=""),"",L1739*J1739)</f>
        <v/>
      </c>
      <c r="T1739" s="10">
        <f>IF(P1739="","",StartBank+SUM(P$2:P1739))</f>
        <v/>
      </c>
    </row>
    <row r="1740">
      <c r="A1740" s="22" t="n"/>
      <c r="G1740" s="21" t="n"/>
      <c r="H1740" s="11" t="n"/>
      <c r="I1740" s="21">
        <f>IF(OR(H1740="",H1740=0),"",1/H1740)</f>
        <v/>
      </c>
      <c r="J1740" s="11">
        <f>IF(OR(G1740="",H1740=""),"",H1740*G1740-1)</f>
        <v/>
      </c>
      <c r="K1740" s="10">
        <f>IF(OR(G1740="",H1740="",G1740&lt;=1),"",IF(J1740&lt;IF(D1740="Builder",MinEdgeBuilder,IF(D1740="Player",MinEdgePlayer,MinEdgeSingle)),0,ROUND(MIN(IF(D1740="Single",KellySingle,KellyBuilder)*(StartBank+SUM(P$1:P1739))*J1740/(G1740-1),IF(D1740="Builder",CapBuilder,CapSingle)*Unit),2)))</f>
        <v/>
      </c>
      <c r="L1740" s="10" t="n"/>
      <c r="N1740" s="10" t="n"/>
      <c r="O1740" s="10">
        <f>IF(L1740="","",IF(M1740="Won",L1740*G1740,IF(M1740="Void",L1740,IF(M1740="Cash out",N(N1740),IF(M1740="Lost",0,"")))))</f>
        <v/>
      </c>
      <c r="P1740" s="10">
        <f>IF(OR(L1740="",M1740="",M1740="Pending"),"",O1740-L1740)</f>
        <v/>
      </c>
      <c r="Q1740" s="21" t="n"/>
      <c r="R1740" s="11">
        <f>IF(OR(G1740="",Q1740=""),"",G1740/Q1740-1)</f>
        <v/>
      </c>
      <c r="S1740" s="10">
        <f>IF(OR(L1740="",J1740=""),"",L1740*J1740)</f>
        <v/>
      </c>
      <c r="T1740" s="10">
        <f>IF(P1740="","",StartBank+SUM(P$2:P1740))</f>
        <v/>
      </c>
    </row>
    <row r="1741">
      <c r="A1741" s="22" t="n"/>
      <c r="G1741" s="21" t="n"/>
      <c r="H1741" s="11" t="n"/>
      <c r="I1741" s="21">
        <f>IF(OR(H1741="",H1741=0),"",1/H1741)</f>
        <v/>
      </c>
      <c r="J1741" s="11">
        <f>IF(OR(G1741="",H1741=""),"",H1741*G1741-1)</f>
        <v/>
      </c>
      <c r="K1741" s="10">
        <f>IF(OR(G1741="",H1741="",G1741&lt;=1),"",IF(J1741&lt;IF(D1741="Builder",MinEdgeBuilder,IF(D1741="Player",MinEdgePlayer,MinEdgeSingle)),0,ROUND(MIN(IF(D1741="Single",KellySingle,KellyBuilder)*(StartBank+SUM(P$1:P1740))*J1741/(G1741-1),IF(D1741="Builder",CapBuilder,CapSingle)*Unit),2)))</f>
        <v/>
      </c>
      <c r="L1741" s="10" t="n"/>
      <c r="N1741" s="10" t="n"/>
      <c r="O1741" s="10">
        <f>IF(L1741="","",IF(M1741="Won",L1741*G1741,IF(M1741="Void",L1741,IF(M1741="Cash out",N(N1741),IF(M1741="Lost",0,"")))))</f>
        <v/>
      </c>
      <c r="P1741" s="10">
        <f>IF(OR(L1741="",M1741="",M1741="Pending"),"",O1741-L1741)</f>
        <v/>
      </c>
      <c r="Q1741" s="21" t="n"/>
      <c r="R1741" s="11">
        <f>IF(OR(G1741="",Q1741=""),"",G1741/Q1741-1)</f>
        <v/>
      </c>
      <c r="S1741" s="10">
        <f>IF(OR(L1741="",J1741=""),"",L1741*J1741)</f>
        <v/>
      </c>
      <c r="T1741" s="10">
        <f>IF(P1741="","",StartBank+SUM(P$2:P1741))</f>
        <v/>
      </c>
    </row>
    <row r="1742">
      <c r="A1742" s="22" t="n"/>
      <c r="G1742" s="21" t="n"/>
      <c r="H1742" s="11" t="n"/>
      <c r="I1742" s="21">
        <f>IF(OR(H1742="",H1742=0),"",1/H1742)</f>
        <v/>
      </c>
      <c r="J1742" s="11">
        <f>IF(OR(G1742="",H1742=""),"",H1742*G1742-1)</f>
        <v/>
      </c>
      <c r="K1742" s="10">
        <f>IF(OR(G1742="",H1742="",G1742&lt;=1),"",IF(J1742&lt;IF(D1742="Builder",MinEdgeBuilder,IF(D1742="Player",MinEdgePlayer,MinEdgeSingle)),0,ROUND(MIN(IF(D1742="Single",KellySingle,KellyBuilder)*(StartBank+SUM(P$1:P1741))*J1742/(G1742-1),IF(D1742="Builder",CapBuilder,CapSingle)*Unit),2)))</f>
        <v/>
      </c>
      <c r="L1742" s="10" t="n"/>
      <c r="N1742" s="10" t="n"/>
      <c r="O1742" s="10">
        <f>IF(L1742="","",IF(M1742="Won",L1742*G1742,IF(M1742="Void",L1742,IF(M1742="Cash out",N(N1742),IF(M1742="Lost",0,"")))))</f>
        <v/>
      </c>
      <c r="P1742" s="10">
        <f>IF(OR(L1742="",M1742="",M1742="Pending"),"",O1742-L1742)</f>
        <v/>
      </c>
      <c r="Q1742" s="21" t="n"/>
      <c r="R1742" s="11">
        <f>IF(OR(G1742="",Q1742=""),"",G1742/Q1742-1)</f>
        <v/>
      </c>
      <c r="S1742" s="10">
        <f>IF(OR(L1742="",J1742=""),"",L1742*J1742)</f>
        <v/>
      </c>
      <c r="T1742" s="10">
        <f>IF(P1742="","",StartBank+SUM(P$2:P1742))</f>
        <v/>
      </c>
    </row>
    <row r="1743">
      <c r="A1743" s="22" t="n"/>
      <c r="G1743" s="21" t="n"/>
      <c r="H1743" s="11" t="n"/>
      <c r="I1743" s="21">
        <f>IF(OR(H1743="",H1743=0),"",1/H1743)</f>
        <v/>
      </c>
      <c r="J1743" s="11">
        <f>IF(OR(G1743="",H1743=""),"",H1743*G1743-1)</f>
        <v/>
      </c>
      <c r="K1743" s="10">
        <f>IF(OR(G1743="",H1743="",G1743&lt;=1),"",IF(J1743&lt;IF(D1743="Builder",MinEdgeBuilder,IF(D1743="Player",MinEdgePlayer,MinEdgeSingle)),0,ROUND(MIN(IF(D1743="Single",KellySingle,KellyBuilder)*(StartBank+SUM(P$1:P1742))*J1743/(G1743-1),IF(D1743="Builder",CapBuilder,CapSingle)*Unit),2)))</f>
        <v/>
      </c>
      <c r="L1743" s="10" t="n"/>
      <c r="N1743" s="10" t="n"/>
      <c r="O1743" s="10">
        <f>IF(L1743="","",IF(M1743="Won",L1743*G1743,IF(M1743="Void",L1743,IF(M1743="Cash out",N(N1743),IF(M1743="Lost",0,"")))))</f>
        <v/>
      </c>
      <c r="P1743" s="10">
        <f>IF(OR(L1743="",M1743="",M1743="Pending"),"",O1743-L1743)</f>
        <v/>
      </c>
      <c r="Q1743" s="21" t="n"/>
      <c r="R1743" s="11">
        <f>IF(OR(G1743="",Q1743=""),"",G1743/Q1743-1)</f>
        <v/>
      </c>
      <c r="S1743" s="10">
        <f>IF(OR(L1743="",J1743=""),"",L1743*J1743)</f>
        <v/>
      </c>
      <c r="T1743" s="10">
        <f>IF(P1743="","",StartBank+SUM(P$2:P1743))</f>
        <v/>
      </c>
    </row>
    <row r="1744">
      <c r="A1744" s="22" t="n"/>
      <c r="G1744" s="21" t="n"/>
      <c r="H1744" s="11" t="n"/>
      <c r="I1744" s="21">
        <f>IF(OR(H1744="",H1744=0),"",1/H1744)</f>
        <v/>
      </c>
      <c r="J1744" s="11">
        <f>IF(OR(G1744="",H1744=""),"",H1744*G1744-1)</f>
        <v/>
      </c>
      <c r="K1744" s="10">
        <f>IF(OR(G1744="",H1744="",G1744&lt;=1),"",IF(J1744&lt;IF(D1744="Builder",MinEdgeBuilder,IF(D1744="Player",MinEdgePlayer,MinEdgeSingle)),0,ROUND(MIN(IF(D1744="Single",KellySingle,KellyBuilder)*(StartBank+SUM(P$1:P1743))*J1744/(G1744-1),IF(D1744="Builder",CapBuilder,CapSingle)*Unit),2)))</f>
        <v/>
      </c>
      <c r="L1744" s="10" t="n"/>
      <c r="N1744" s="10" t="n"/>
      <c r="O1744" s="10">
        <f>IF(L1744="","",IF(M1744="Won",L1744*G1744,IF(M1744="Void",L1744,IF(M1744="Cash out",N(N1744),IF(M1744="Lost",0,"")))))</f>
        <v/>
      </c>
      <c r="P1744" s="10">
        <f>IF(OR(L1744="",M1744="",M1744="Pending"),"",O1744-L1744)</f>
        <v/>
      </c>
      <c r="Q1744" s="21" t="n"/>
      <c r="R1744" s="11">
        <f>IF(OR(G1744="",Q1744=""),"",G1744/Q1744-1)</f>
        <v/>
      </c>
      <c r="S1744" s="10">
        <f>IF(OR(L1744="",J1744=""),"",L1744*J1744)</f>
        <v/>
      </c>
      <c r="T1744" s="10">
        <f>IF(P1744="","",StartBank+SUM(P$2:P1744))</f>
        <v/>
      </c>
    </row>
    <row r="1745">
      <c r="A1745" s="22" t="n"/>
      <c r="G1745" s="21" t="n"/>
      <c r="H1745" s="11" t="n"/>
      <c r="I1745" s="21">
        <f>IF(OR(H1745="",H1745=0),"",1/H1745)</f>
        <v/>
      </c>
      <c r="J1745" s="11">
        <f>IF(OR(G1745="",H1745=""),"",H1745*G1745-1)</f>
        <v/>
      </c>
      <c r="K1745" s="10">
        <f>IF(OR(G1745="",H1745="",G1745&lt;=1),"",IF(J1745&lt;IF(D1745="Builder",MinEdgeBuilder,IF(D1745="Player",MinEdgePlayer,MinEdgeSingle)),0,ROUND(MIN(IF(D1745="Single",KellySingle,KellyBuilder)*(StartBank+SUM(P$1:P1744))*J1745/(G1745-1),IF(D1745="Builder",CapBuilder,CapSingle)*Unit),2)))</f>
        <v/>
      </c>
      <c r="L1745" s="10" t="n"/>
      <c r="N1745" s="10" t="n"/>
      <c r="O1745" s="10">
        <f>IF(L1745="","",IF(M1745="Won",L1745*G1745,IF(M1745="Void",L1745,IF(M1745="Cash out",N(N1745),IF(M1745="Lost",0,"")))))</f>
        <v/>
      </c>
      <c r="P1745" s="10">
        <f>IF(OR(L1745="",M1745="",M1745="Pending"),"",O1745-L1745)</f>
        <v/>
      </c>
      <c r="Q1745" s="21" t="n"/>
      <c r="R1745" s="11">
        <f>IF(OR(G1745="",Q1745=""),"",G1745/Q1745-1)</f>
        <v/>
      </c>
      <c r="S1745" s="10">
        <f>IF(OR(L1745="",J1745=""),"",L1745*J1745)</f>
        <v/>
      </c>
      <c r="T1745" s="10">
        <f>IF(P1745="","",StartBank+SUM(P$2:P1745))</f>
        <v/>
      </c>
    </row>
    <row r="1746">
      <c r="A1746" s="22" t="n"/>
      <c r="G1746" s="21" t="n"/>
      <c r="H1746" s="11" t="n"/>
      <c r="I1746" s="21">
        <f>IF(OR(H1746="",H1746=0),"",1/H1746)</f>
        <v/>
      </c>
      <c r="J1746" s="11">
        <f>IF(OR(G1746="",H1746=""),"",H1746*G1746-1)</f>
        <v/>
      </c>
      <c r="K1746" s="10">
        <f>IF(OR(G1746="",H1746="",G1746&lt;=1),"",IF(J1746&lt;IF(D1746="Builder",MinEdgeBuilder,IF(D1746="Player",MinEdgePlayer,MinEdgeSingle)),0,ROUND(MIN(IF(D1746="Single",KellySingle,KellyBuilder)*(StartBank+SUM(P$1:P1745))*J1746/(G1746-1),IF(D1746="Builder",CapBuilder,CapSingle)*Unit),2)))</f>
        <v/>
      </c>
      <c r="L1746" s="10" t="n"/>
      <c r="N1746" s="10" t="n"/>
      <c r="O1746" s="10">
        <f>IF(L1746="","",IF(M1746="Won",L1746*G1746,IF(M1746="Void",L1746,IF(M1746="Cash out",N(N1746),IF(M1746="Lost",0,"")))))</f>
        <v/>
      </c>
      <c r="P1746" s="10">
        <f>IF(OR(L1746="",M1746="",M1746="Pending"),"",O1746-L1746)</f>
        <v/>
      </c>
      <c r="Q1746" s="21" t="n"/>
      <c r="R1746" s="11">
        <f>IF(OR(G1746="",Q1746=""),"",G1746/Q1746-1)</f>
        <v/>
      </c>
      <c r="S1746" s="10">
        <f>IF(OR(L1746="",J1746=""),"",L1746*J1746)</f>
        <v/>
      </c>
      <c r="T1746" s="10">
        <f>IF(P1746="","",StartBank+SUM(P$2:P1746))</f>
        <v/>
      </c>
    </row>
    <row r="1747">
      <c r="A1747" s="22" t="n"/>
      <c r="G1747" s="21" t="n"/>
      <c r="H1747" s="11" t="n"/>
      <c r="I1747" s="21">
        <f>IF(OR(H1747="",H1747=0),"",1/H1747)</f>
        <v/>
      </c>
      <c r="J1747" s="11">
        <f>IF(OR(G1747="",H1747=""),"",H1747*G1747-1)</f>
        <v/>
      </c>
      <c r="K1747" s="10">
        <f>IF(OR(G1747="",H1747="",G1747&lt;=1),"",IF(J1747&lt;IF(D1747="Builder",MinEdgeBuilder,IF(D1747="Player",MinEdgePlayer,MinEdgeSingle)),0,ROUND(MIN(IF(D1747="Single",KellySingle,KellyBuilder)*(StartBank+SUM(P$1:P1746))*J1747/(G1747-1),IF(D1747="Builder",CapBuilder,CapSingle)*Unit),2)))</f>
        <v/>
      </c>
      <c r="L1747" s="10" t="n"/>
      <c r="N1747" s="10" t="n"/>
      <c r="O1747" s="10">
        <f>IF(L1747="","",IF(M1747="Won",L1747*G1747,IF(M1747="Void",L1747,IF(M1747="Cash out",N(N1747),IF(M1747="Lost",0,"")))))</f>
        <v/>
      </c>
      <c r="P1747" s="10">
        <f>IF(OR(L1747="",M1747="",M1747="Pending"),"",O1747-L1747)</f>
        <v/>
      </c>
      <c r="Q1747" s="21" t="n"/>
      <c r="R1747" s="11">
        <f>IF(OR(G1747="",Q1747=""),"",G1747/Q1747-1)</f>
        <v/>
      </c>
      <c r="S1747" s="10">
        <f>IF(OR(L1747="",J1747=""),"",L1747*J1747)</f>
        <v/>
      </c>
      <c r="T1747" s="10">
        <f>IF(P1747="","",StartBank+SUM(P$2:P1747))</f>
        <v/>
      </c>
    </row>
    <row r="1748">
      <c r="A1748" s="22" t="n"/>
      <c r="G1748" s="21" t="n"/>
      <c r="H1748" s="11" t="n"/>
      <c r="I1748" s="21">
        <f>IF(OR(H1748="",H1748=0),"",1/H1748)</f>
        <v/>
      </c>
      <c r="J1748" s="11">
        <f>IF(OR(G1748="",H1748=""),"",H1748*G1748-1)</f>
        <v/>
      </c>
      <c r="K1748" s="10">
        <f>IF(OR(G1748="",H1748="",G1748&lt;=1),"",IF(J1748&lt;IF(D1748="Builder",MinEdgeBuilder,IF(D1748="Player",MinEdgePlayer,MinEdgeSingle)),0,ROUND(MIN(IF(D1748="Single",KellySingle,KellyBuilder)*(StartBank+SUM(P$1:P1747))*J1748/(G1748-1),IF(D1748="Builder",CapBuilder,CapSingle)*Unit),2)))</f>
        <v/>
      </c>
      <c r="L1748" s="10" t="n"/>
      <c r="N1748" s="10" t="n"/>
      <c r="O1748" s="10">
        <f>IF(L1748="","",IF(M1748="Won",L1748*G1748,IF(M1748="Void",L1748,IF(M1748="Cash out",N(N1748),IF(M1748="Lost",0,"")))))</f>
        <v/>
      </c>
      <c r="P1748" s="10">
        <f>IF(OR(L1748="",M1748="",M1748="Pending"),"",O1748-L1748)</f>
        <v/>
      </c>
      <c r="Q1748" s="21" t="n"/>
      <c r="R1748" s="11">
        <f>IF(OR(G1748="",Q1748=""),"",G1748/Q1748-1)</f>
        <v/>
      </c>
      <c r="S1748" s="10">
        <f>IF(OR(L1748="",J1748=""),"",L1748*J1748)</f>
        <v/>
      </c>
      <c r="T1748" s="10">
        <f>IF(P1748="","",StartBank+SUM(P$2:P1748))</f>
        <v/>
      </c>
    </row>
    <row r="1749">
      <c r="A1749" s="22" t="n"/>
      <c r="G1749" s="21" t="n"/>
      <c r="H1749" s="11" t="n"/>
      <c r="I1749" s="21">
        <f>IF(OR(H1749="",H1749=0),"",1/H1749)</f>
        <v/>
      </c>
      <c r="J1749" s="11">
        <f>IF(OR(G1749="",H1749=""),"",H1749*G1749-1)</f>
        <v/>
      </c>
      <c r="K1749" s="10">
        <f>IF(OR(G1749="",H1749="",G1749&lt;=1),"",IF(J1749&lt;IF(D1749="Builder",MinEdgeBuilder,IF(D1749="Player",MinEdgePlayer,MinEdgeSingle)),0,ROUND(MIN(IF(D1749="Single",KellySingle,KellyBuilder)*(StartBank+SUM(P$1:P1748))*J1749/(G1749-1),IF(D1749="Builder",CapBuilder,CapSingle)*Unit),2)))</f>
        <v/>
      </c>
      <c r="L1749" s="10" t="n"/>
      <c r="N1749" s="10" t="n"/>
      <c r="O1749" s="10">
        <f>IF(L1749="","",IF(M1749="Won",L1749*G1749,IF(M1749="Void",L1749,IF(M1749="Cash out",N(N1749),IF(M1749="Lost",0,"")))))</f>
        <v/>
      </c>
      <c r="P1749" s="10">
        <f>IF(OR(L1749="",M1749="",M1749="Pending"),"",O1749-L1749)</f>
        <v/>
      </c>
      <c r="Q1749" s="21" t="n"/>
      <c r="R1749" s="11">
        <f>IF(OR(G1749="",Q1749=""),"",G1749/Q1749-1)</f>
        <v/>
      </c>
      <c r="S1749" s="10">
        <f>IF(OR(L1749="",J1749=""),"",L1749*J1749)</f>
        <v/>
      </c>
      <c r="T1749" s="10">
        <f>IF(P1749="","",StartBank+SUM(P$2:P1749))</f>
        <v/>
      </c>
    </row>
    <row r="1750">
      <c r="A1750" s="22" t="n"/>
      <c r="G1750" s="21" t="n"/>
      <c r="H1750" s="11" t="n"/>
      <c r="I1750" s="21">
        <f>IF(OR(H1750="",H1750=0),"",1/H1750)</f>
        <v/>
      </c>
      <c r="J1750" s="11">
        <f>IF(OR(G1750="",H1750=""),"",H1750*G1750-1)</f>
        <v/>
      </c>
      <c r="K1750" s="10">
        <f>IF(OR(G1750="",H1750="",G1750&lt;=1),"",IF(J1750&lt;IF(D1750="Builder",MinEdgeBuilder,IF(D1750="Player",MinEdgePlayer,MinEdgeSingle)),0,ROUND(MIN(IF(D1750="Single",KellySingle,KellyBuilder)*(StartBank+SUM(P$1:P1749))*J1750/(G1750-1),IF(D1750="Builder",CapBuilder,CapSingle)*Unit),2)))</f>
        <v/>
      </c>
      <c r="L1750" s="10" t="n"/>
      <c r="N1750" s="10" t="n"/>
      <c r="O1750" s="10">
        <f>IF(L1750="","",IF(M1750="Won",L1750*G1750,IF(M1750="Void",L1750,IF(M1750="Cash out",N(N1750),IF(M1750="Lost",0,"")))))</f>
        <v/>
      </c>
      <c r="P1750" s="10">
        <f>IF(OR(L1750="",M1750="",M1750="Pending"),"",O1750-L1750)</f>
        <v/>
      </c>
      <c r="Q1750" s="21" t="n"/>
      <c r="R1750" s="11">
        <f>IF(OR(G1750="",Q1750=""),"",G1750/Q1750-1)</f>
        <v/>
      </c>
      <c r="S1750" s="10">
        <f>IF(OR(L1750="",J1750=""),"",L1750*J1750)</f>
        <v/>
      </c>
      <c r="T1750" s="10">
        <f>IF(P1750="","",StartBank+SUM(P$2:P1750))</f>
        <v/>
      </c>
    </row>
    <row r="1751">
      <c r="A1751" s="22" t="n"/>
      <c r="G1751" s="21" t="n"/>
      <c r="H1751" s="11" t="n"/>
      <c r="I1751" s="21">
        <f>IF(OR(H1751="",H1751=0),"",1/H1751)</f>
        <v/>
      </c>
      <c r="J1751" s="11">
        <f>IF(OR(G1751="",H1751=""),"",H1751*G1751-1)</f>
        <v/>
      </c>
      <c r="K1751" s="10">
        <f>IF(OR(G1751="",H1751="",G1751&lt;=1),"",IF(J1751&lt;IF(D1751="Builder",MinEdgeBuilder,IF(D1751="Player",MinEdgePlayer,MinEdgeSingle)),0,ROUND(MIN(IF(D1751="Single",KellySingle,KellyBuilder)*(StartBank+SUM(P$1:P1750))*J1751/(G1751-1),IF(D1751="Builder",CapBuilder,CapSingle)*Unit),2)))</f>
        <v/>
      </c>
      <c r="L1751" s="10" t="n"/>
      <c r="N1751" s="10" t="n"/>
      <c r="O1751" s="10">
        <f>IF(L1751="","",IF(M1751="Won",L1751*G1751,IF(M1751="Void",L1751,IF(M1751="Cash out",N(N1751),IF(M1751="Lost",0,"")))))</f>
        <v/>
      </c>
      <c r="P1751" s="10">
        <f>IF(OR(L1751="",M1751="",M1751="Pending"),"",O1751-L1751)</f>
        <v/>
      </c>
      <c r="Q1751" s="21" t="n"/>
      <c r="R1751" s="11">
        <f>IF(OR(G1751="",Q1751=""),"",G1751/Q1751-1)</f>
        <v/>
      </c>
      <c r="S1751" s="10">
        <f>IF(OR(L1751="",J1751=""),"",L1751*J1751)</f>
        <v/>
      </c>
      <c r="T1751" s="10">
        <f>IF(P1751="","",StartBank+SUM(P$2:P1751))</f>
        <v/>
      </c>
    </row>
    <row r="1752">
      <c r="A1752" s="22" t="n"/>
      <c r="G1752" s="21" t="n"/>
      <c r="H1752" s="11" t="n"/>
      <c r="I1752" s="21">
        <f>IF(OR(H1752="",H1752=0),"",1/H1752)</f>
        <v/>
      </c>
      <c r="J1752" s="11">
        <f>IF(OR(G1752="",H1752=""),"",H1752*G1752-1)</f>
        <v/>
      </c>
      <c r="K1752" s="10">
        <f>IF(OR(G1752="",H1752="",G1752&lt;=1),"",IF(J1752&lt;IF(D1752="Builder",MinEdgeBuilder,IF(D1752="Player",MinEdgePlayer,MinEdgeSingle)),0,ROUND(MIN(IF(D1752="Single",KellySingle,KellyBuilder)*(StartBank+SUM(P$1:P1751))*J1752/(G1752-1),IF(D1752="Builder",CapBuilder,CapSingle)*Unit),2)))</f>
        <v/>
      </c>
      <c r="L1752" s="10" t="n"/>
      <c r="N1752" s="10" t="n"/>
      <c r="O1752" s="10">
        <f>IF(L1752="","",IF(M1752="Won",L1752*G1752,IF(M1752="Void",L1752,IF(M1752="Cash out",N(N1752),IF(M1752="Lost",0,"")))))</f>
        <v/>
      </c>
      <c r="P1752" s="10">
        <f>IF(OR(L1752="",M1752="",M1752="Pending"),"",O1752-L1752)</f>
        <v/>
      </c>
      <c r="Q1752" s="21" t="n"/>
      <c r="R1752" s="11">
        <f>IF(OR(G1752="",Q1752=""),"",G1752/Q1752-1)</f>
        <v/>
      </c>
      <c r="S1752" s="10">
        <f>IF(OR(L1752="",J1752=""),"",L1752*J1752)</f>
        <v/>
      </c>
      <c r="T1752" s="10">
        <f>IF(P1752="","",StartBank+SUM(P$2:P1752))</f>
        <v/>
      </c>
    </row>
    <row r="1753">
      <c r="A1753" s="22" t="n"/>
      <c r="G1753" s="21" t="n"/>
      <c r="H1753" s="11" t="n"/>
      <c r="I1753" s="21">
        <f>IF(OR(H1753="",H1753=0),"",1/H1753)</f>
        <v/>
      </c>
      <c r="J1753" s="11">
        <f>IF(OR(G1753="",H1753=""),"",H1753*G1753-1)</f>
        <v/>
      </c>
      <c r="K1753" s="10">
        <f>IF(OR(G1753="",H1753="",G1753&lt;=1),"",IF(J1753&lt;IF(D1753="Builder",MinEdgeBuilder,IF(D1753="Player",MinEdgePlayer,MinEdgeSingle)),0,ROUND(MIN(IF(D1753="Single",KellySingle,KellyBuilder)*(StartBank+SUM(P$1:P1752))*J1753/(G1753-1),IF(D1753="Builder",CapBuilder,CapSingle)*Unit),2)))</f>
        <v/>
      </c>
      <c r="L1753" s="10" t="n"/>
      <c r="N1753" s="10" t="n"/>
      <c r="O1753" s="10">
        <f>IF(L1753="","",IF(M1753="Won",L1753*G1753,IF(M1753="Void",L1753,IF(M1753="Cash out",N(N1753),IF(M1753="Lost",0,"")))))</f>
        <v/>
      </c>
      <c r="P1753" s="10">
        <f>IF(OR(L1753="",M1753="",M1753="Pending"),"",O1753-L1753)</f>
        <v/>
      </c>
      <c r="Q1753" s="21" t="n"/>
      <c r="R1753" s="11">
        <f>IF(OR(G1753="",Q1753=""),"",G1753/Q1753-1)</f>
        <v/>
      </c>
      <c r="S1753" s="10">
        <f>IF(OR(L1753="",J1753=""),"",L1753*J1753)</f>
        <v/>
      </c>
      <c r="T1753" s="10">
        <f>IF(P1753="","",StartBank+SUM(P$2:P1753))</f>
        <v/>
      </c>
    </row>
    <row r="1754">
      <c r="A1754" s="22" t="n"/>
      <c r="G1754" s="21" t="n"/>
      <c r="H1754" s="11" t="n"/>
      <c r="I1754" s="21">
        <f>IF(OR(H1754="",H1754=0),"",1/H1754)</f>
        <v/>
      </c>
      <c r="J1754" s="11">
        <f>IF(OR(G1754="",H1754=""),"",H1754*G1754-1)</f>
        <v/>
      </c>
      <c r="K1754" s="10">
        <f>IF(OR(G1754="",H1754="",G1754&lt;=1),"",IF(J1754&lt;IF(D1754="Builder",MinEdgeBuilder,IF(D1754="Player",MinEdgePlayer,MinEdgeSingle)),0,ROUND(MIN(IF(D1754="Single",KellySingle,KellyBuilder)*(StartBank+SUM(P$1:P1753))*J1754/(G1754-1),IF(D1754="Builder",CapBuilder,CapSingle)*Unit),2)))</f>
        <v/>
      </c>
      <c r="L1754" s="10" t="n"/>
      <c r="N1754" s="10" t="n"/>
      <c r="O1754" s="10">
        <f>IF(L1754="","",IF(M1754="Won",L1754*G1754,IF(M1754="Void",L1754,IF(M1754="Cash out",N(N1754),IF(M1754="Lost",0,"")))))</f>
        <v/>
      </c>
      <c r="P1754" s="10">
        <f>IF(OR(L1754="",M1754="",M1754="Pending"),"",O1754-L1754)</f>
        <v/>
      </c>
      <c r="Q1754" s="21" t="n"/>
      <c r="R1754" s="11">
        <f>IF(OR(G1754="",Q1754=""),"",G1754/Q1754-1)</f>
        <v/>
      </c>
      <c r="S1754" s="10">
        <f>IF(OR(L1754="",J1754=""),"",L1754*J1754)</f>
        <v/>
      </c>
      <c r="T1754" s="10">
        <f>IF(P1754="","",StartBank+SUM(P$2:P1754))</f>
        <v/>
      </c>
    </row>
    <row r="1755">
      <c r="A1755" s="22" t="n"/>
      <c r="G1755" s="21" t="n"/>
      <c r="H1755" s="11" t="n"/>
      <c r="I1755" s="21">
        <f>IF(OR(H1755="",H1755=0),"",1/H1755)</f>
        <v/>
      </c>
      <c r="J1755" s="11">
        <f>IF(OR(G1755="",H1755=""),"",H1755*G1755-1)</f>
        <v/>
      </c>
      <c r="K1755" s="10">
        <f>IF(OR(G1755="",H1755="",G1755&lt;=1),"",IF(J1755&lt;IF(D1755="Builder",MinEdgeBuilder,IF(D1755="Player",MinEdgePlayer,MinEdgeSingle)),0,ROUND(MIN(IF(D1755="Single",KellySingle,KellyBuilder)*(StartBank+SUM(P$1:P1754))*J1755/(G1755-1),IF(D1755="Builder",CapBuilder,CapSingle)*Unit),2)))</f>
        <v/>
      </c>
      <c r="L1755" s="10" t="n"/>
      <c r="N1755" s="10" t="n"/>
      <c r="O1755" s="10">
        <f>IF(L1755="","",IF(M1755="Won",L1755*G1755,IF(M1755="Void",L1755,IF(M1755="Cash out",N(N1755),IF(M1755="Lost",0,"")))))</f>
        <v/>
      </c>
      <c r="P1755" s="10">
        <f>IF(OR(L1755="",M1755="",M1755="Pending"),"",O1755-L1755)</f>
        <v/>
      </c>
      <c r="Q1755" s="21" t="n"/>
      <c r="R1755" s="11">
        <f>IF(OR(G1755="",Q1755=""),"",G1755/Q1755-1)</f>
        <v/>
      </c>
      <c r="S1755" s="10">
        <f>IF(OR(L1755="",J1755=""),"",L1755*J1755)</f>
        <v/>
      </c>
      <c r="T1755" s="10">
        <f>IF(P1755="","",StartBank+SUM(P$2:P1755))</f>
        <v/>
      </c>
    </row>
    <row r="1756">
      <c r="A1756" s="22" t="n"/>
      <c r="G1756" s="21" t="n"/>
      <c r="H1756" s="11" t="n"/>
      <c r="I1756" s="21">
        <f>IF(OR(H1756="",H1756=0),"",1/H1756)</f>
        <v/>
      </c>
      <c r="J1756" s="11">
        <f>IF(OR(G1756="",H1756=""),"",H1756*G1756-1)</f>
        <v/>
      </c>
      <c r="K1756" s="10">
        <f>IF(OR(G1756="",H1756="",G1756&lt;=1),"",IF(J1756&lt;IF(D1756="Builder",MinEdgeBuilder,IF(D1756="Player",MinEdgePlayer,MinEdgeSingle)),0,ROUND(MIN(IF(D1756="Single",KellySingle,KellyBuilder)*(StartBank+SUM(P$1:P1755))*J1756/(G1756-1),IF(D1756="Builder",CapBuilder,CapSingle)*Unit),2)))</f>
        <v/>
      </c>
      <c r="L1756" s="10" t="n"/>
      <c r="N1756" s="10" t="n"/>
      <c r="O1756" s="10">
        <f>IF(L1756="","",IF(M1756="Won",L1756*G1756,IF(M1756="Void",L1756,IF(M1756="Cash out",N(N1756),IF(M1756="Lost",0,"")))))</f>
        <v/>
      </c>
      <c r="P1756" s="10">
        <f>IF(OR(L1756="",M1756="",M1756="Pending"),"",O1756-L1756)</f>
        <v/>
      </c>
      <c r="Q1756" s="21" t="n"/>
      <c r="R1756" s="11">
        <f>IF(OR(G1756="",Q1756=""),"",G1756/Q1756-1)</f>
        <v/>
      </c>
      <c r="S1756" s="10">
        <f>IF(OR(L1756="",J1756=""),"",L1756*J1756)</f>
        <v/>
      </c>
      <c r="T1756" s="10">
        <f>IF(P1756="","",StartBank+SUM(P$2:P1756))</f>
        <v/>
      </c>
    </row>
    <row r="1757">
      <c r="A1757" s="22" t="n"/>
      <c r="G1757" s="21" t="n"/>
      <c r="H1757" s="11" t="n"/>
      <c r="I1757" s="21">
        <f>IF(OR(H1757="",H1757=0),"",1/H1757)</f>
        <v/>
      </c>
      <c r="J1757" s="11">
        <f>IF(OR(G1757="",H1757=""),"",H1757*G1757-1)</f>
        <v/>
      </c>
      <c r="K1757" s="10">
        <f>IF(OR(G1757="",H1757="",G1757&lt;=1),"",IF(J1757&lt;IF(D1757="Builder",MinEdgeBuilder,IF(D1757="Player",MinEdgePlayer,MinEdgeSingle)),0,ROUND(MIN(IF(D1757="Single",KellySingle,KellyBuilder)*(StartBank+SUM(P$1:P1756))*J1757/(G1757-1),IF(D1757="Builder",CapBuilder,CapSingle)*Unit),2)))</f>
        <v/>
      </c>
      <c r="L1757" s="10" t="n"/>
      <c r="N1757" s="10" t="n"/>
      <c r="O1757" s="10">
        <f>IF(L1757="","",IF(M1757="Won",L1757*G1757,IF(M1757="Void",L1757,IF(M1757="Cash out",N(N1757),IF(M1757="Lost",0,"")))))</f>
        <v/>
      </c>
      <c r="P1757" s="10">
        <f>IF(OR(L1757="",M1757="",M1757="Pending"),"",O1757-L1757)</f>
        <v/>
      </c>
      <c r="Q1757" s="21" t="n"/>
      <c r="R1757" s="11">
        <f>IF(OR(G1757="",Q1757=""),"",G1757/Q1757-1)</f>
        <v/>
      </c>
      <c r="S1757" s="10">
        <f>IF(OR(L1757="",J1757=""),"",L1757*J1757)</f>
        <v/>
      </c>
      <c r="T1757" s="10">
        <f>IF(P1757="","",StartBank+SUM(P$2:P1757))</f>
        <v/>
      </c>
    </row>
    <row r="1758">
      <c r="A1758" s="22" t="n"/>
      <c r="G1758" s="21" t="n"/>
      <c r="H1758" s="11" t="n"/>
      <c r="I1758" s="21">
        <f>IF(OR(H1758="",H1758=0),"",1/H1758)</f>
        <v/>
      </c>
      <c r="J1758" s="11">
        <f>IF(OR(G1758="",H1758=""),"",H1758*G1758-1)</f>
        <v/>
      </c>
      <c r="K1758" s="10">
        <f>IF(OR(G1758="",H1758="",G1758&lt;=1),"",IF(J1758&lt;IF(D1758="Builder",MinEdgeBuilder,IF(D1758="Player",MinEdgePlayer,MinEdgeSingle)),0,ROUND(MIN(IF(D1758="Single",KellySingle,KellyBuilder)*(StartBank+SUM(P$1:P1757))*J1758/(G1758-1),IF(D1758="Builder",CapBuilder,CapSingle)*Unit),2)))</f>
        <v/>
      </c>
      <c r="L1758" s="10" t="n"/>
      <c r="N1758" s="10" t="n"/>
      <c r="O1758" s="10">
        <f>IF(L1758="","",IF(M1758="Won",L1758*G1758,IF(M1758="Void",L1758,IF(M1758="Cash out",N(N1758),IF(M1758="Lost",0,"")))))</f>
        <v/>
      </c>
      <c r="P1758" s="10">
        <f>IF(OR(L1758="",M1758="",M1758="Pending"),"",O1758-L1758)</f>
        <v/>
      </c>
      <c r="Q1758" s="21" t="n"/>
      <c r="R1758" s="11">
        <f>IF(OR(G1758="",Q1758=""),"",G1758/Q1758-1)</f>
        <v/>
      </c>
      <c r="S1758" s="10">
        <f>IF(OR(L1758="",J1758=""),"",L1758*J1758)</f>
        <v/>
      </c>
      <c r="T1758" s="10">
        <f>IF(P1758="","",StartBank+SUM(P$2:P1758))</f>
        <v/>
      </c>
    </row>
    <row r="1759">
      <c r="A1759" s="22" t="n"/>
      <c r="G1759" s="21" t="n"/>
      <c r="H1759" s="11" t="n"/>
      <c r="I1759" s="21">
        <f>IF(OR(H1759="",H1759=0),"",1/H1759)</f>
        <v/>
      </c>
      <c r="J1759" s="11">
        <f>IF(OR(G1759="",H1759=""),"",H1759*G1759-1)</f>
        <v/>
      </c>
      <c r="K1759" s="10">
        <f>IF(OR(G1759="",H1759="",G1759&lt;=1),"",IF(J1759&lt;IF(D1759="Builder",MinEdgeBuilder,IF(D1759="Player",MinEdgePlayer,MinEdgeSingle)),0,ROUND(MIN(IF(D1759="Single",KellySingle,KellyBuilder)*(StartBank+SUM(P$1:P1758))*J1759/(G1759-1),IF(D1759="Builder",CapBuilder,CapSingle)*Unit),2)))</f>
        <v/>
      </c>
      <c r="L1759" s="10" t="n"/>
      <c r="N1759" s="10" t="n"/>
      <c r="O1759" s="10">
        <f>IF(L1759="","",IF(M1759="Won",L1759*G1759,IF(M1759="Void",L1759,IF(M1759="Cash out",N(N1759),IF(M1759="Lost",0,"")))))</f>
        <v/>
      </c>
      <c r="P1759" s="10">
        <f>IF(OR(L1759="",M1759="",M1759="Pending"),"",O1759-L1759)</f>
        <v/>
      </c>
      <c r="Q1759" s="21" t="n"/>
      <c r="R1759" s="11">
        <f>IF(OR(G1759="",Q1759=""),"",G1759/Q1759-1)</f>
        <v/>
      </c>
      <c r="S1759" s="10">
        <f>IF(OR(L1759="",J1759=""),"",L1759*J1759)</f>
        <v/>
      </c>
      <c r="T1759" s="10">
        <f>IF(P1759="","",StartBank+SUM(P$2:P1759))</f>
        <v/>
      </c>
    </row>
    <row r="1760">
      <c r="A1760" s="22" t="n"/>
      <c r="G1760" s="21" t="n"/>
      <c r="H1760" s="11" t="n"/>
      <c r="I1760" s="21">
        <f>IF(OR(H1760="",H1760=0),"",1/H1760)</f>
        <v/>
      </c>
      <c r="J1760" s="11">
        <f>IF(OR(G1760="",H1760=""),"",H1760*G1760-1)</f>
        <v/>
      </c>
      <c r="K1760" s="10">
        <f>IF(OR(G1760="",H1760="",G1760&lt;=1),"",IF(J1760&lt;IF(D1760="Builder",MinEdgeBuilder,IF(D1760="Player",MinEdgePlayer,MinEdgeSingle)),0,ROUND(MIN(IF(D1760="Single",KellySingle,KellyBuilder)*(StartBank+SUM(P$1:P1759))*J1760/(G1760-1),IF(D1760="Builder",CapBuilder,CapSingle)*Unit),2)))</f>
        <v/>
      </c>
      <c r="L1760" s="10" t="n"/>
      <c r="N1760" s="10" t="n"/>
      <c r="O1760" s="10">
        <f>IF(L1760="","",IF(M1760="Won",L1760*G1760,IF(M1760="Void",L1760,IF(M1760="Cash out",N(N1760),IF(M1760="Lost",0,"")))))</f>
        <v/>
      </c>
      <c r="P1760" s="10">
        <f>IF(OR(L1760="",M1760="",M1760="Pending"),"",O1760-L1760)</f>
        <v/>
      </c>
      <c r="Q1760" s="21" t="n"/>
      <c r="R1760" s="11">
        <f>IF(OR(G1760="",Q1760=""),"",G1760/Q1760-1)</f>
        <v/>
      </c>
      <c r="S1760" s="10">
        <f>IF(OR(L1760="",J1760=""),"",L1760*J1760)</f>
        <v/>
      </c>
      <c r="T1760" s="10">
        <f>IF(P1760="","",StartBank+SUM(P$2:P1760))</f>
        <v/>
      </c>
    </row>
    <row r="1761">
      <c r="A1761" s="22" t="n"/>
      <c r="G1761" s="21" t="n"/>
      <c r="H1761" s="11" t="n"/>
      <c r="I1761" s="21">
        <f>IF(OR(H1761="",H1761=0),"",1/H1761)</f>
        <v/>
      </c>
      <c r="J1761" s="11">
        <f>IF(OR(G1761="",H1761=""),"",H1761*G1761-1)</f>
        <v/>
      </c>
      <c r="K1761" s="10">
        <f>IF(OR(G1761="",H1761="",G1761&lt;=1),"",IF(J1761&lt;IF(D1761="Builder",MinEdgeBuilder,IF(D1761="Player",MinEdgePlayer,MinEdgeSingle)),0,ROUND(MIN(IF(D1761="Single",KellySingle,KellyBuilder)*(StartBank+SUM(P$1:P1760))*J1761/(G1761-1),IF(D1761="Builder",CapBuilder,CapSingle)*Unit),2)))</f>
        <v/>
      </c>
      <c r="L1761" s="10" t="n"/>
      <c r="N1761" s="10" t="n"/>
      <c r="O1761" s="10">
        <f>IF(L1761="","",IF(M1761="Won",L1761*G1761,IF(M1761="Void",L1761,IF(M1761="Cash out",N(N1761),IF(M1761="Lost",0,"")))))</f>
        <v/>
      </c>
      <c r="P1761" s="10">
        <f>IF(OR(L1761="",M1761="",M1761="Pending"),"",O1761-L1761)</f>
        <v/>
      </c>
      <c r="Q1761" s="21" t="n"/>
      <c r="R1761" s="11">
        <f>IF(OR(G1761="",Q1761=""),"",G1761/Q1761-1)</f>
        <v/>
      </c>
      <c r="S1761" s="10">
        <f>IF(OR(L1761="",J1761=""),"",L1761*J1761)</f>
        <v/>
      </c>
      <c r="T1761" s="10">
        <f>IF(P1761="","",StartBank+SUM(P$2:P1761))</f>
        <v/>
      </c>
    </row>
    <row r="1762">
      <c r="A1762" s="22" t="n"/>
      <c r="G1762" s="21" t="n"/>
      <c r="H1762" s="11" t="n"/>
      <c r="I1762" s="21">
        <f>IF(OR(H1762="",H1762=0),"",1/H1762)</f>
        <v/>
      </c>
      <c r="J1762" s="11">
        <f>IF(OR(G1762="",H1762=""),"",H1762*G1762-1)</f>
        <v/>
      </c>
      <c r="K1762" s="10">
        <f>IF(OR(G1762="",H1762="",G1762&lt;=1),"",IF(J1762&lt;IF(D1762="Builder",MinEdgeBuilder,IF(D1762="Player",MinEdgePlayer,MinEdgeSingle)),0,ROUND(MIN(IF(D1762="Single",KellySingle,KellyBuilder)*(StartBank+SUM(P$1:P1761))*J1762/(G1762-1),IF(D1762="Builder",CapBuilder,CapSingle)*Unit),2)))</f>
        <v/>
      </c>
      <c r="L1762" s="10" t="n"/>
      <c r="N1762" s="10" t="n"/>
      <c r="O1762" s="10">
        <f>IF(L1762="","",IF(M1762="Won",L1762*G1762,IF(M1762="Void",L1762,IF(M1762="Cash out",N(N1762),IF(M1762="Lost",0,"")))))</f>
        <v/>
      </c>
      <c r="P1762" s="10">
        <f>IF(OR(L1762="",M1762="",M1762="Pending"),"",O1762-L1762)</f>
        <v/>
      </c>
      <c r="Q1762" s="21" t="n"/>
      <c r="R1762" s="11">
        <f>IF(OR(G1762="",Q1762=""),"",G1762/Q1762-1)</f>
        <v/>
      </c>
      <c r="S1762" s="10">
        <f>IF(OR(L1762="",J1762=""),"",L1762*J1762)</f>
        <v/>
      </c>
      <c r="T1762" s="10">
        <f>IF(P1762="","",StartBank+SUM(P$2:P1762))</f>
        <v/>
      </c>
    </row>
    <row r="1763">
      <c r="A1763" s="22" t="n"/>
      <c r="G1763" s="21" t="n"/>
      <c r="H1763" s="11" t="n"/>
      <c r="I1763" s="21">
        <f>IF(OR(H1763="",H1763=0),"",1/H1763)</f>
        <v/>
      </c>
      <c r="J1763" s="11">
        <f>IF(OR(G1763="",H1763=""),"",H1763*G1763-1)</f>
        <v/>
      </c>
      <c r="K1763" s="10">
        <f>IF(OR(G1763="",H1763="",G1763&lt;=1),"",IF(J1763&lt;IF(D1763="Builder",MinEdgeBuilder,IF(D1763="Player",MinEdgePlayer,MinEdgeSingle)),0,ROUND(MIN(IF(D1763="Single",KellySingle,KellyBuilder)*(StartBank+SUM(P$1:P1762))*J1763/(G1763-1),IF(D1763="Builder",CapBuilder,CapSingle)*Unit),2)))</f>
        <v/>
      </c>
      <c r="L1763" s="10" t="n"/>
      <c r="N1763" s="10" t="n"/>
      <c r="O1763" s="10">
        <f>IF(L1763="","",IF(M1763="Won",L1763*G1763,IF(M1763="Void",L1763,IF(M1763="Cash out",N(N1763),IF(M1763="Lost",0,"")))))</f>
        <v/>
      </c>
      <c r="P1763" s="10">
        <f>IF(OR(L1763="",M1763="",M1763="Pending"),"",O1763-L1763)</f>
        <v/>
      </c>
      <c r="Q1763" s="21" t="n"/>
      <c r="R1763" s="11">
        <f>IF(OR(G1763="",Q1763=""),"",G1763/Q1763-1)</f>
        <v/>
      </c>
      <c r="S1763" s="10">
        <f>IF(OR(L1763="",J1763=""),"",L1763*J1763)</f>
        <v/>
      </c>
      <c r="T1763" s="10">
        <f>IF(P1763="","",StartBank+SUM(P$2:P1763))</f>
        <v/>
      </c>
    </row>
    <row r="1764">
      <c r="A1764" s="22" t="n"/>
      <c r="G1764" s="21" t="n"/>
      <c r="H1764" s="11" t="n"/>
      <c r="I1764" s="21">
        <f>IF(OR(H1764="",H1764=0),"",1/H1764)</f>
        <v/>
      </c>
      <c r="J1764" s="11">
        <f>IF(OR(G1764="",H1764=""),"",H1764*G1764-1)</f>
        <v/>
      </c>
      <c r="K1764" s="10">
        <f>IF(OR(G1764="",H1764="",G1764&lt;=1),"",IF(J1764&lt;IF(D1764="Builder",MinEdgeBuilder,IF(D1764="Player",MinEdgePlayer,MinEdgeSingle)),0,ROUND(MIN(IF(D1764="Single",KellySingle,KellyBuilder)*(StartBank+SUM(P$1:P1763))*J1764/(G1764-1),IF(D1764="Builder",CapBuilder,CapSingle)*Unit),2)))</f>
        <v/>
      </c>
      <c r="L1764" s="10" t="n"/>
      <c r="N1764" s="10" t="n"/>
      <c r="O1764" s="10">
        <f>IF(L1764="","",IF(M1764="Won",L1764*G1764,IF(M1764="Void",L1764,IF(M1764="Cash out",N(N1764),IF(M1764="Lost",0,"")))))</f>
        <v/>
      </c>
      <c r="P1764" s="10">
        <f>IF(OR(L1764="",M1764="",M1764="Pending"),"",O1764-L1764)</f>
        <v/>
      </c>
      <c r="Q1764" s="21" t="n"/>
      <c r="R1764" s="11">
        <f>IF(OR(G1764="",Q1764=""),"",G1764/Q1764-1)</f>
        <v/>
      </c>
      <c r="S1764" s="10">
        <f>IF(OR(L1764="",J1764=""),"",L1764*J1764)</f>
        <v/>
      </c>
      <c r="T1764" s="10">
        <f>IF(P1764="","",StartBank+SUM(P$2:P1764))</f>
        <v/>
      </c>
    </row>
    <row r="1765">
      <c r="A1765" s="22" t="n"/>
      <c r="G1765" s="21" t="n"/>
      <c r="H1765" s="11" t="n"/>
      <c r="I1765" s="21">
        <f>IF(OR(H1765="",H1765=0),"",1/H1765)</f>
        <v/>
      </c>
      <c r="J1765" s="11">
        <f>IF(OR(G1765="",H1765=""),"",H1765*G1765-1)</f>
        <v/>
      </c>
      <c r="K1765" s="10">
        <f>IF(OR(G1765="",H1765="",G1765&lt;=1),"",IF(J1765&lt;IF(D1765="Builder",MinEdgeBuilder,IF(D1765="Player",MinEdgePlayer,MinEdgeSingle)),0,ROUND(MIN(IF(D1765="Single",KellySingle,KellyBuilder)*(StartBank+SUM(P$1:P1764))*J1765/(G1765-1),IF(D1765="Builder",CapBuilder,CapSingle)*Unit),2)))</f>
        <v/>
      </c>
      <c r="L1765" s="10" t="n"/>
      <c r="N1765" s="10" t="n"/>
      <c r="O1765" s="10">
        <f>IF(L1765="","",IF(M1765="Won",L1765*G1765,IF(M1765="Void",L1765,IF(M1765="Cash out",N(N1765),IF(M1765="Lost",0,"")))))</f>
        <v/>
      </c>
      <c r="P1765" s="10">
        <f>IF(OR(L1765="",M1765="",M1765="Pending"),"",O1765-L1765)</f>
        <v/>
      </c>
      <c r="Q1765" s="21" t="n"/>
      <c r="R1765" s="11">
        <f>IF(OR(G1765="",Q1765=""),"",G1765/Q1765-1)</f>
        <v/>
      </c>
      <c r="S1765" s="10">
        <f>IF(OR(L1765="",J1765=""),"",L1765*J1765)</f>
        <v/>
      </c>
      <c r="T1765" s="10">
        <f>IF(P1765="","",StartBank+SUM(P$2:P1765))</f>
        <v/>
      </c>
    </row>
    <row r="1766">
      <c r="A1766" s="22" t="n"/>
      <c r="G1766" s="21" t="n"/>
      <c r="H1766" s="11" t="n"/>
      <c r="I1766" s="21">
        <f>IF(OR(H1766="",H1766=0),"",1/H1766)</f>
        <v/>
      </c>
      <c r="J1766" s="11">
        <f>IF(OR(G1766="",H1766=""),"",H1766*G1766-1)</f>
        <v/>
      </c>
      <c r="K1766" s="10">
        <f>IF(OR(G1766="",H1766="",G1766&lt;=1),"",IF(J1766&lt;IF(D1766="Builder",MinEdgeBuilder,IF(D1766="Player",MinEdgePlayer,MinEdgeSingle)),0,ROUND(MIN(IF(D1766="Single",KellySingle,KellyBuilder)*(StartBank+SUM(P$1:P1765))*J1766/(G1766-1),IF(D1766="Builder",CapBuilder,CapSingle)*Unit),2)))</f>
        <v/>
      </c>
      <c r="L1766" s="10" t="n"/>
      <c r="N1766" s="10" t="n"/>
      <c r="O1766" s="10">
        <f>IF(L1766="","",IF(M1766="Won",L1766*G1766,IF(M1766="Void",L1766,IF(M1766="Cash out",N(N1766),IF(M1766="Lost",0,"")))))</f>
        <v/>
      </c>
      <c r="P1766" s="10">
        <f>IF(OR(L1766="",M1766="",M1766="Pending"),"",O1766-L1766)</f>
        <v/>
      </c>
      <c r="Q1766" s="21" t="n"/>
      <c r="R1766" s="11">
        <f>IF(OR(G1766="",Q1766=""),"",G1766/Q1766-1)</f>
        <v/>
      </c>
      <c r="S1766" s="10">
        <f>IF(OR(L1766="",J1766=""),"",L1766*J1766)</f>
        <v/>
      </c>
      <c r="T1766" s="10">
        <f>IF(P1766="","",StartBank+SUM(P$2:P1766))</f>
        <v/>
      </c>
    </row>
    <row r="1767">
      <c r="A1767" s="22" t="n"/>
      <c r="G1767" s="21" t="n"/>
      <c r="H1767" s="11" t="n"/>
      <c r="I1767" s="21">
        <f>IF(OR(H1767="",H1767=0),"",1/H1767)</f>
        <v/>
      </c>
      <c r="J1767" s="11">
        <f>IF(OR(G1767="",H1767=""),"",H1767*G1767-1)</f>
        <v/>
      </c>
      <c r="K1767" s="10">
        <f>IF(OR(G1767="",H1767="",G1767&lt;=1),"",IF(J1767&lt;IF(D1767="Builder",MinEdgeBuilder,IF(D1767="Player",MinEdgePlayer,MinEdgeSingle)),0,ROUND(MIN(IF(D1767="Single",KellySingle,KellyBuilder)*(StartBank+SUM(P$1:P1766))*J1767/(G1767-1),IF(D1767="Builder",CapBuilder,CapSingle)*Unit),2)))</f>
        <v/>
      </c>
      <c r="L1767" s="10" t="n"/>
      <c r="N1767" s="10" t="n"/>
      <c r="O1767" s="10">
        <f>IF(L1767="","",IF(M1767="Won",L1767*G1767,IF(M1767="Void",L1767,IF(M1767="Cash out",N(N1767),IF(M1767="Lost",0,"")))))</f>
        <v/>
      </c>
      <c r="P1767" s="10">
        <f>IF(OR(L1767="",M1767="",M1767="Pending"),"",O1767-L1767)</f>
        <v/>
      </c>
      <c r="Q1767" s="21" t="n"/>
      <c r="R1767" s="11">
        <f>IF(OR(G1767="",Q1767=""),"",G1767/Q1767-1)</f>
        <v/>
      </c>
      <c r="S1767" s="10">
        <f>IF(OR(L1767="",J1767=""),"",L1767*J1767)</f>
        <v/>
      </c>
      <c r="T1767" s="10">
        <f>IF(P1767="","",StartBank+SUM(P$2:P1767))</f>
        <v/>
      </c>
    </row>
    <row r="1768">
      <c r="A1768" s="22" t="n"/>
      <c r="G1768" s="21" t="n"/>
      <c r="H1768" s="11" t="n"/>
      <c r="I1768" s="21">
        <f>IF(OR(H1768="",H1768=0),"",1/H1768)</f>
        <v/>
      </c>
      <c r="J1768" s="11">
        <f>IF(OR(G1768="",H1768=""),"",H1768*G1768-1)</f>
        <v/>
      </c>
      <c r="K1768" s="10">
        <f>IF(OR(G1768="",H1768="",G1768&lt;=1),"",IF(J1768&lt;IF(D1768="Builder",MinEdgeBuilder,IF(D1768="Player",MinEdgePlayer,MinEdgeSingle)),0,ROUND(MIN(IF(D1768="Single",KellySingle,KellyBuilder)*(StartBank+SUM(P$1:P1767))*J1768/(G1768-1),IF(D1768="Builder",CapBuilder,CapSingle)*Unit),2)))</f>
        <v/>
      </c>
      <c r="L1768" s="10" t="n"/>
      <c r="N1768" s="10" t="n"/>
      <c r="O1768" s="10">
        <f>IF(L1768="","",IF(M1768="Won",L1768*G1768,IF(M1768="Void",L1768,IF(M1768="Cash out",N(N1768),IF(M1768="Lost",0,"")))))</f>
        <v/>
      </c>
      <c r="P1768" s="10">
        <f>IF(OR(L1768="",M1768="",M1768="Pending"),"",O1768-L1768)</f>
        <v/>
      </c>
      <c r="Q1768" s="21" t="n"/>
      <c r="R1768" s="11">
        <f>IF(OR(G1768="",Q1768=""),"",G1768/Q1768-1)</f>
        <v/>
      </c>
      <c r="S1768" s="10">
        <f>IF(OR(L1768="",J1768=""),"",L1768*J1768)</f>
        <v/>
      </c>
      <c r="T1768" s="10">
        <f>IF(P1768="","",StartBank+SUM(P$2:P1768))</f>
        <v/>
      </c>
    </row>
    <row r="1769">
      <c r="A1769" s="22" t="n"/>
      <c r="G1769" s="21" t="n"/>
      <c r="H1769" s="11" t="n"/>
      <c r="I1769" s="21">
        <f>IF(OR(H1769="",H1769=0),"",1/H1769)</f>
        <v/>
      </c>
      <c r="J1769" s="11">
        <f>IF(OR(G1769="",H1769=""),"",H1769*G1769-1)</f>
        <v/>
      </c>
      <c r="K1769" s="10">
        <f>IF(OR(G1769="",H1769="",G1769&lt;=1),"",IF(J1769&lt;IF(D1769="Builder",MinEdgeBuilder,IF(D1769="Player",MinEdgePlayer,MinEdgeSingle)),0,ROUND(MIN(IF(D1769="Single",KellySingle,KellyBuilder)*(StartBank+SUM(P$1:P1768))*J1769/(G1769-1),IF(D1769="Builder",CapBuilder,CapSingle)*Unit),2)))</f>
        <v/>
      </c>
      <c r="L1769" s="10" t="n"/>
      <c r="N1769" s="10" t="n"/>
      <c r="O1769" s="10">
        <f>IF(L1769="","",IF(M1769="Won",L1769*G1769,IF(M1769="Void",L1769,IF(M1769="Cash out",N(N1769),IF(M1769="Lost",0,"")))))</f>
        <v/>
      </c>
      <c r="P1769" s="10">
        <f>IF(OR(L1769="",M1769="",M1769="Pending"),"",O1769-L1769)</f>
        <v/>
      </c>
      <c r="Q1769" s="21" t="n"/>
      <c r="R1769" s="11">
        <f>IF(OR(G1769="",Q1769=""),"",G1769/Q1769-1)</f>
        <v/>
      </c>
      <c r="S1769" s="10">
        <f>IF(OR(L1769="",J1769=""),"",L1769*J1769)</f>
        <v/>
      </c>
      <c r="T1769" s="10">
        <f>IF(P1769="","",StartBank+SUM(P$2:P1769))</f>
        <v/>
      </c>
    </row>
    <row r="1770">
      <c r="A1770" s="22" t="n"/>
      <c r="G1770" s="21" t="n"/>
      <c r="H1770" s="11" t="n"/>
      <c r="I1770" s="21">
        <f>IF(OR(H1770="",H1770=0),"",1/H1770)</f>
        <v/>
      </c>
      <c r="J1770" s="11">
        <f>IF(OR(G1770="",H1770=""),"",H1770*G1770-1)</f>
        <v/>
      </c>
      <c r="K1770" s="10">
        <f>IF(OR(G1770="",H1770="",G1770&lt;=1),"",IF(J1770&lt;IF(D1770="Builder",MinEdgeBuilder,IF(D1770="Player",MinEdgePlayer,MinEdgeSingle)),0,ROUND(MIN(IF(D1770="Single",KellySingle,KellyBuilder)*(StartBank+SUM(P$1:P1769))*J1770/(G1770-1),IF(D1770="Builder",CapBuilder,CapSingle)*Unit),2)))</f>
        <v/>
      </c>
      <c r="L1770" s="10" t="n"/>
      <c r="N1770" s="10" t="n"/>
      <c r="O1770" s="10">
        <f>IF(L1770="","",IF(M1770="Won",L1770*G1770,IF(M1770="Void",L1770,IF(M1770="Cash out",N(N1770),IF(M1770="Lost",0,"")))))</f>
        <v/>
      </c>
      <c r="P1770" s="10">
        <f>IF(OR(L1770="",M1770="",M1770="Pending"),"",O1770-L1770)</f>
        <v/>
      </c>
      <c r="Q1770" s="21" t="n"/>
      <c r="R1770" s="11">
        <f>IF(OR(G1770="",Q1770=""),"",G1770/Q1770-1)</f>
        <v/>
      </c>
      <c r="S1770" s="10">
        <f>IF(OR(L1770="",J1770=""),"",L1770*J1770)</f>
        <v/>
      </c>
      <c r="T1770" s="10">
        <f>IF(P1770="","",StartBank+SUM(P$2:P1770))</f>
        <v/>
      </c>
    </row>
    <row r="1771">
      <c r="A1771" s="22" t="n"/>
      <c r="G1771" s="21" t="n"/>
      <c r="H1771" s="11" t="n"/>
      <c r="I1771" s="21">
        <f>IF(OR(H1771="",H1771=0),"",1/H1771)</f>
        <v/>
      </c>
      <c r="J1771" s="11">
        <f>IF(OR(G1771="",H1771=""),"",H1771*G1771-1)</f>
        <v/>
      </c>
      <c r="K1771" s="10">
        <f>IF(OR(G1771="",H1771="",G1771&lt;=1),"",IF(J1771&lt;IF(D1771="Builder",MinEdgeBuilder,IF(D1771="Player",MinEdgePlayer,MinEdgeSingle)),0,ROUND(MIN(IF(D1771="Single",KellySingle,KellyBuilder)*(StartBank+SUM(P$1:P1770))*J1771/(G1771-1),IF(D1771="Builder",CapBuilder,CapSingle)*Unit),2)))</f>
        <v/>
      </c>
      <c r="L1771" s="10" t="n"/>
      <c r="N1771" s="10" t="n"/>
      <c r="O1771" s="10">
        <f>IF(L1771="","",IF(M1771="Won",L1771*G1771,IF(M1771="Void",L1771,IF(M1771="Cash out",N(N1771),IF(M1771="Lost",0,"")))))</f>
        <v/>
      </c>
      <c r="P1771" s="10">
        <f>IF(OR(L1771="",M1771="",M1771="Pending"),"",O1771-L1771)</f>
        <v/>
      </c>
      <c r="Q1771" s="21" t="n"/>
      <c r="R1771" s="11">
        <f>IF(OR(G1771="",Q1771=""),"",G1771/Q1771-1)</f>
        <v/>
      </c>
      <c r="S1771" s="10">
        <f>IF(OR(L1771="",J1771=""),"",L1771*J1771)</f>
        <v/>
      </c>
      <c r="T1771" s="10">
        <f>IF(P1771="","",StartBank+SUM(P$2:P1771))</f>
        <v/>
      </c>
    </row>
    <row r="1772">
      <c r="A1772" s="22" t="n"/>
      <c r="G1772" s="21" t="n"/>
      <c r="H1772" s="11" t="n"/>
      <c r="I1772" s="21">
        <f>IF(OR(H1772="",H1772=0),"",1/H1772)</f>
        <v/>
      </c>
      <c r="J1772" s="11">
        <f>IF(OR(G1772="",H1772=""),"",H1772*G1772-1)</f>
        <v/>
      </c>
      <c r="K1772" s="10">
        <f>IF(OR(G1772="",H1772="",G1772&lt;=1),"",IF(J1772&lt;IF(D1772="Builder",MinEdgeBuilder,IF(D1772="Player",MinEdgePlayer,MinEdgeSingle)),0,ROUND(MIN(IF(D1772="Single",KellySingle,KellyBuilder)*(StartBank+SUM(P$1:P1771))*J1772/(G1772-1),IF(D1772="Builder",CapBuilder,CapSingle)*Unit),2)))</f>
        <v/>
      </c>
      <c r="L1772" s="10" t="n"/>
      <c r="N1772" s="10" t="n"/>
      <c r="O1772" s="10">
        <f>IF(L1772="","",IF(M1772="Won",L1772*G1772,IF(M1772="Void",L1772,IF(M1772="Cash out",N(N1772),IF(M1772="Lost",0,"")))))</f>
        <v/>
      </c>
      <c r="P1772" s="10">
        <f>IF(OR(L1772="",M1772="",M1772="Pending"),"",O1772-L1772)</f>
        <v/>
      </c>
      <c r="Q1772" s="21" t="n"/>
      <c r="R1772" s="11">
        <f>IF(OR(G1772="",Q1772=""),"",G1772/Q1772-1)</f>
        <v/>
      </c>
      <c r="S1772" s="10">
        <f>IF(OR(L1772="",J1772=""),"",L1772*J1772)</f>
        <v/>
      </c>
      <c r="T1772" s="10">
        <f>IF(P1772="","",StartBank+SUM(P$2:P1772))</f>
        <v/>
      </c>
    </row>
    <row r="1773">
      <c r="A1773" s="22" t="n"/>
      <c r="G1773" s="21" t="n"/>
      <c r="H1773" s="11" t="n"/>
      <c r="I1773" s="21">
        <f>IF(OR(H1773="",H1773=0),"",1/H1773)</f>
        <v/>
      </c>
      <c r="J1773" s="11">
        <f>IF(OR(G1773="",H1773=""),"",H1773*G1773-1)</f>
        <v/>
      </c>
      <c r="K1773" s="10">
        <f>IF(OR(G1773="",H1773="",G1773&lt;=1),"",IF(J1773&lt;IF(D1773="Builder",MinEdgeBuilder,IF(D1773="Player",MinEdgePlayer,MinEdgeSingle)),0,ROUND(MIN(IF(D1773="Single",KellySingle,KellyBuilder)*(StartBank+SUM(P$1:P1772))*J1773/(G1773-1),IF(D1773="Builder",CapBuilder,CapSingle)*Unit),2)))</f>
        <v/>
      </c>
      <c r="L1773" s="10" t="n"/>
      <c r="N1773" s="10" t="n"/>
      <c r="O1773" s="10">
        <f>IF(L1773="","",IF(M1773="Won",L1773*G1773,IF(M1773="Void",L1773,IF(M1773="Cash out",N(N1773),IF(M1773="Lost",0,"")))))</f>
        <v/>
      </c>
      <c r="P1773" s="10">
        <f>IF(OR(L1773="",M1773="",M1773="Pending"),"",O1773-L1773)</f>
        <v/>
      </c>
      <c r="Q1773" s="21" t="n"/>
      <c r="R1773" s="11">
        <f>IF(OR(G1773="",Q1773=""),"",G1773/Q1773-1)</f>
        <v/>
      </c>
      <c r="S1773" s="10">
        <f>IF(OR(L1773="",J1773=""),"",L1773*J1773)</f>
        <v/>
      </c>
      <c r="T1773" s="10">
        <f>IF(P1773="","",StartBank+SUM(P$2:P1773))</f>
        <v/>
      </c>
    </row>
    <row r="1774">
      <c r="A1774" s="22" t="n"/>
      <c r="G1774" s="21" t="n"/>
      <c r="H1774" s="11" t="n"/>
      <c r="I1774" s="21">
        <f>IF(OR(H1774="",H1774=0),"",1/H1774)</f>
        <v/>
      </c>
      <c r="J1774" s="11">
        <f>IF(OR(G1774="",H1774=""),"",H1774*G1774-1)</f>
        <v/>
      </c>
      <c r="K1774" s="10">
        <f>IF(OR(G1774="",H1774="",G1774&lt;=1),"",IF(J1774&lt;IF(D1774="Builder",MinEdgeBuilder,IF(D1774="Player",MinEdgePlayer,MinEdgeSingle)),0,ROUND(MIN(IF(D1774="Single",KellySingle,KellyBuilder)*(StartBank+SUM(P$1:P1773))*J1774/(G1774-1),IF(D1774="Builder",CapBuilder,CapSingle)*Unit),2)))</f>
        <v/>
      </c>
      <c r="L1774" s="10" t="n"/>
      <c r="N1774" s="10" t="n"/>
      <c r="O1774" s="10">
        <f>IF(L1774="","",IF(M1774="Won",L1774*G1774,IF(M1774="Void",L1774,IF(M1774="Cash out",N(N1774),IF(M1774="Lost",0,"")))))</f>
        <v/>
      </c>
      <c r="P1774" s="10">
        <f>IF(OR(L1774="",M1774="",M1774="Pending"),"",O1774-L1774)</f>
        <v/>
      </c>
      <c r="Q1774" s="21" t="n"/>
      <c r="R1774" s="11">
        <f>IF(OR(G1774="",Q1774=""),"",G1774/Q1774-1)</f>
        <v/>
      </c>
      <c r="S1774" s="10">
        <f>IF(OR(L1774="",J1774=""),"",L1774*J1774)</f>
        <v/>
      </c>
      <c r="T1774" s="10">
        <f>IF(P1774="","",StartBank+SUM(P$2:P1774))</f>
        <v/>
      </c>
    </row>
    <row r="1775">
      <c r="A1775" s="22" t="n"/>
      <c r="G1775" s="21" t="n"/>
      <c r="H1775" s="11" t="n"/>
      <c r="I1775" s="21">
        <f>IF(OR(H1775="",H1775=0),"",1/H1775)</f>
        <v/>
      </c>
      <c r="J1775" s="11">
        <f>IF(OR(G1775="",H1775=""),"",H1775*G1775-1)</f>
        <v/>
      </c>
      <c r="K1775" s="10">
        <f>IF(OR(G1775="",H1775="",G1775&lt;=1),"",IF(J1775&lt;IF(D1775="Builder",MinEdgeBuilder,IF(D1775="Player",MinEdgePlayer,MinEdgeSingle)),0,ROUND(MIN(IF(D1775="Single",KellySingle,KellyBuilder)*(StartBank+SUM(P$1:P1774))*J1775/(G1775-1),IF(D1775="Builder",CapBuilder,CapSingle)*Unit),2)))</f>
        <v/>
      </c>
      <c r="L1775" s="10" t="n"/>
      <c r="N1775" s="10" t="n"/>
      <c r="O1775" s="10">
        <f>IF(L1775="","",IF(M1775="Won",L1775*G1775,IF(M1775="Void",L1775,IF(M1775="Cash out",N(N1775),IF(M1775="Lost",0,"")))))</f>
        <v/>
      </c>
      <c r="P1775" s="10">
        <f>IF(OR(L1775="",M1775="",M1775="Pending"),"",O1775-L1775)</f>
        <v/>
      </c>
      <c r="Q1775" s="21" t="n"/>
      <c r="R1775" s="11">
        <f>IF(OR(G1775="",Q1775=""),"",G1775/Q1775-1)</f>
        <v/>
      </c>
      <c r="S1775" s="10">
        <f>IF(OR(L1775="",J1775=""),"",L1775*J1775)</f>
        <v/>
      </c>
      <c r="T1775" s="10">
        <f>IF(P1775="","",StartBank+SUM(P$2:P1775))</f>
        <v/>
      </c>
    </row>
    <row r="1776">
      <c r="A1776" s="22" t="n"/>
      <c r="G1776" s="21" t="n"/>
      <c r="H1776" s="11" t="n"/>
      <c r="I1776" s="21">
        <f>IF(OR(H1776="",H1776=0),"",1/H1776)</f>
        <v/>
      </c>
      <c r="J1776" s="11">
        <f>IF(OR(G1776="",H1776=""),"",H1776*G1776-1)</f>
        <v/>
      </c>
      <c r="K1776" s="10">
        <f>IF(OR(G1776="",H1776="",G1776&lt;=1),"",IF(J1776&lt;IF(D1776="Builder",MinEdgeBuilder,IF(D1776="Player",MinEdgePlayer,MinEdgeSingle)),0,ROUND(MIN(IF(D1776="Single",KellySingle,KellyBuilder)*(StartBank+SUM(P$1:P1775))*J1776/(G1776-1),IF(D1776="Builder",CapBuilder,CapSingle)*Unit),2)))</f>
        <v/>
      </c>
      <c r="L1776" s="10" t="n"/>
      <c r="N1776" s="10" t="n"/>
      <c r="O1776" s="10">
        <f>IF(L1776="","",IF(M1776="Won",L1776*G1776,IF(M1776="Void",L1776,IF(M1776="Cash out",N(N1776),IF(M1776="Lost",0,"")))))</f>
        <v/>
      </c>
      <c r="P1776" s="10">
        <f>IF(OR(L1776="",M1776="",M1776="Pending"),"",O1776-L1776)</f>
        <v/>
      </c>
      <c r="Q1776" s="21" t="n"/>
      <c r="R1776" s="11">
        <f>IF(OR(G1776="",Q1776=""),"",G1776/Q1776-1)</f>
        <v/>
      </c>
      <c r="S1776" s="10">
        <f>IF(OR(L1776="",J1776=""),"",L1776*J1776)</f>
        <v/>
      </c>
      <c r="T1776" s="10">
        <f>IF(P1776="","",StartBank+SUM(P$2:P1776))</f>
        <v/>
      </c>
    </row>
    <row r="1777">
      <c r="A1777" s="22" t="n"/>
      <c r="G1777" s="21" t="n"/>
      <c r="H1777" s="11" t="n"/>
      <c r="I1777" s="21">
        <f>IF(OR(H1777="",H1777=0),"",1/H1777)</f>
        <v/>
      </c>
      <c r="J1777" s="11">
        <f>IF(OR(G1777="",H1777=""),"",H1777*G1777-1)</f>
        <v/>
      </c>
      <c r="K1777" s="10">
        <f>IF(OR(G1777="",H1777="",G1777&lt;=1),"",IF(J1777&lt;IF(D1777="Builder",MinEdgeBuilder,IF(D1777="Player",MinEdgePlayer,MinEdgeSingle)),0,ROUND(MIN(IF(D1777="Single",KellySingle,KellyBuilder)*(StartBank+SUM(P$1:P1776))*J1777/(G1777-1),IF(D1777="Builder",CapBuilder,CapSingle)*Unit),2)))</f>
        <v/>
      </c>
      <c r="L1777" s="10" t="n"/>
      <c r="N1777" s="10" t="n"/>
      <c r="O1777" s="10">
        <f>IF(L1777="","",IF(M1777="Won",L1777*G1777,IF(M1777="Void",L1777,IF(M1777="Cash out",N(N1777),IF(M1777="Lost",0,"")))))</f>
        <v/>
      </c>
      <c r="P1777" s="10">
        <f>IF(OR(L1777="",M1777="",M1777="Pending"),"",O1777-L1777)</f>
        <v/>
      </c>
      <c r="Q1777" s="21" t="n"/>
      <c r="R1777" s="11">
        <f>IF(OR(G1777="",Q1777=""),"",G1777/Q1777-1)</f>
        <v/>
      </c>
      <c r="S1777" s="10">
        <f>IF(OR(L1777="",J1777=""),"",L1777*J1777)</f>
        <v/>
      </c>
      <c r="T1777" s="10">
        <f>IF(P1777="","",StartBank+SUM(P$2:P1777))</f>
        <v/>
      </c>
    </row>
    <row r="1778">
      <c r="A1778" s="22" t="n"/>
      <c r="G1778" s="21" t="n"/>
      <c r="H1778" s="11" t="n"/>
      <c r="I1778" s="21">
        <f>IF(OR(H1778="",H1778=0),"",1/H1778)</f>
        <v/>
      </c>
      <c r="J1778" s="11">
        <f>IF(OR(G1778="",H1778=""),"",H1778*G1778-1)</f>
        <v/>
      </c>
      <c r="K1778" s="10">
        <f>IF(OR(G1778="",H1778="",G1778&lt;=1),"",IF(J1778&lt;IF(D1778="Builder",MinEdgeBuilder,IF(D1778="Player",MinEdgePlayer,MinEdgeSingle)),0,ROUND(MIN(IF(D1778="Single",KellySingle,KellyBuilder)*(StartBank+SUM(P$1:P1777))*J1778/(G1778-1),IF(D1778="Builder",CapBuilder,CapSingle)*Unit),2)))</f>
        <v/>
      </c>
      <c r="L1778" s="10" t="n"/>
      <c r="N1778" s="10" t="n"/>
      <c r="O1778" s="10">
        <f>IF(L1778="","",IF(M1778="Won",L1778*G1778,IF(M1778="Void",L1778,IF(M1778="Cash out",N(N1778),IF(M1778="Lost",0,"")))))</f>
        <v/>
      </c>
      <c r="P1778" s="10">
        <f>IF(OR(L1778="",M1778="",M1778="Pending"),"",O1778-L1778)</f>
        <v/>
      </c>
      <c r="Q1778" s="21" t="n"/>
      <c r="R1778" s="11">
        <f>IF(OR(G1778="",Q1778=""),"",G1778/Q1778-1)</f>
        <v/>
      </c>
      <c r="S1778" s="10">
        <f>IF(OR(L1778="",J1778=""),"",L1778*J1778)</f>
        <v/>
      </c>
      <c r="T1778" s="10">
        <f>IF(P1778="","",StartBank+SUM(P$2:P1778))</f>
        <v/>
      </c>
    </row>
    <row r="1779">
      <c r="A1779" s="22" t="n"/>
      <c r="G1779" s="21" t="n"/>
      <c r="H1779" s="11" t="n"/>
      <c r="I1779" s="21">
        <f>IF(OR(H1779="",H1779=0),"",1/H1779)</f>
        <v/>
      </c>
      <c r="J1779" s="11">
        <f>IF(OR(G1779="",H1779=""),"",H1779*G1779-1)</f>
        <v/>
      </c>
      <c r="K1779" s="10">
        <f>IF(OR(G1779="",H1779="",G1779&lt;=1),"",IF(J1779&lt;IF(D1779="Builder",MinEdgeBuilder,IF(D1779="Player",MinEdgePlayer,MinEdgeSingle)),0,ROUND(MIN(IF(D1779="Single",KellySingle,KellyBuilder)*(StartBank+SUM(P$1:P1778))*J1779/(G1779-1),IF(D1779="Builder",CapBuilder,CapSingle)*Unit),2)))</f>
        <v/>
      </c>
      <c r="L1779" s="10" t="n"/>
      <c r="N1779" s="10" t="n"/>
      <c r="O1779" s="10">
        <f>IF(L1779="","",IF(M1779="Won",L1779*G1779,IF(M1779="Void",L1779,IF(M1779="Cash out",N(N1779),IF(M1779="Lost",0,"")))))</f>
        <v/>
      </c>
      <c r="P1779" s="10">
        <f>IF(OR(L1779="",M1779="",M1779="Pending"),"",O1779-L1779)</f>
        <v/>
      </c>
      <c r="Q1779" s="21" t="n"/>
      <c r="R1779" s="11">
        <f>IF(OR(G1779="",Q1779=""),"",G1779/Q1779-1)</f>
        <v/>
      </c>
      <c r="S1779" s="10">
        <f>IF(OR(L1779="",J1779=""),"",L1779*J1779)</f>
        <v/>
      </c>
      <c r="T1779" s="10">
        <f>IF(P1779="","",StartBank+SUM(P$2:P1779))</f>
        <v/>
      </c>
    </row>
    <row r="1780">
      <c r="A1780" s="22" t="n"/>
      <c r="G1780" s="21" t="n"/>
      <c r="H1780" s="11" t="n"/>
      <c r="I1780" s="21">
        <f>IF(OR(H1780="",H1780=0),"",1/H1780)</f>
        <v/>
      </c>
      <c r="J1780" s="11">
        <f>IF(OR(G1780="",H1780=""),"",H1780*G1780-1)</f>
        <v/>
      </c>
      <c r="K1780" s="10">
        <f>IF(OR(G1780="",H1780="",G1780&lt;=1),"",IF(J1780&lt;IF(D1780="Builder",MinEdgeBuilder,IF(D1780="Player",MinEdgePlayer,MinEdgeSingle)),0,ROUND(MIN(IF(D1780="Single",KellySingle,KellyBuilder)*(StartBank+SUM(P$1:P1779))*J1780/(G1780-1),IF(D1780="Builder",CapBuilder,CapSingle)*Unit),2)))</f>
        <v/>
      </c>
      <c r="L1780" s="10" t="n"/>
      <c r="N1780" s="10" t="n"/>
      <c r="O1780" s="10">
        <f>IF(L1780="","",IF(M1780="Won",L1780*G1780,IF(M1780="Void",L1780,IF(M1780="Cash out",N(N1780),IF(M1780="Lost",0,"")))))</f>
        <v/>
      </c>
      <c r="P1780" s="10">
        <f>IF(OR(L1780="",M1780="",M1780="Pending"),"",O1780-L1780)</f>
        <v/>
      </c>
      <c r="Q1780" s="21" t="n"/>
      <c r="R1780" s="11">
        <f>IF(OR(G1780="",Q1780=""),"",G1780/Q1780-1)</f>
        <v/>
      </c>
      <c r="S1780" s="10">
        <f>IF(OR(L1780="",J1780=""),"",L1780*J1780)</f>
        <v/>
      </c>
      <c r="T1780" s="10">
        <f>IF(P1780="","",StartBank+SUM(P$2:P1780))</f>
        <v/>
      </c>
    </row>
    <row r="1781">
      <c r="A1781" s="22" t="n"/>
      <c r="G1781" s="21" t="n"/>
      <c r="H1781" s="11" t="n"/>
      <c r="I1781" s="21">
        <f>IF(OR(H1781="",H1781=0),"",1/H1781)</f>
        <v/>
      </c>
      <c r="J1781" s="11">
        <f>IF(OR(G1781="",H1781=""),"",H1781*G1781-1)</f>
        <v/>
      </c>
      <c r="K1781" s="10">
        <f>IF(OR(G1781="",H1781="",G1781&lt;=1),"",IF(J1781&lt;IF(D1781="Builder",MinEdgeBuilder,IF(D1781="Player",MinEdgePlayer,MinEdgeSingle)),0,ROUND(MIN(IF(D1781="Single",KellySingle,KellyBuilder)*(StartBank+SUM(P$1:P1780))*J1781/(G1781-1),IF(D1781="Builder",CapBuilder,CapSingle)*Unit),2)))</f>
        <v/>
      </c>
      <c r="L1781" s="10" t="n"/>
      <c r="N1781" s="10" t="n"/>
      <c r="O1781" s="10">
        <f>IF(L1781="","",IF(M1781="Won",L1781*G1781,IF(M1781="Void",L1781,IF(M1781="Cash out",N(N1781),IF(M1781="Lost",0,"")))))</f>
        <v/>
      </c>
      <c r="P1781" s="10">
        <f>IF(OR(L1781="",M1781="",M1781="Pending"),"",O1781-L1781)</f>
        <v/>
      </c>
      <c r="Q1781" s="21" t="n"/>
      <c r="R1781" s="11">
        <f>IF(OR(G1781="",Q1781=""),"",G1781/Q1781-1)</f>
        <v/>
      </c>
      <c r="S1781" s="10">
        <f>IF(OR(L1781="",J1781=""),"",L1781*J1781)</f>
        <v/>
      </c>
      <c r="T1781" s="10">
        <f>IF(P1781="","",StartBank+SUM(P$2:P1781))</f>
        <v/>
      </c>
    </row>
    <row r="1782">
      <c r="A1782" s="22" t="n"/>
      <c r="G1782" s="21" t="n"/>
      <c r="H1782" s="11" t="n"/>
      <c r="I1782" s="21">
        <f>IF(OR(H1782="",H1782=0),"",1/H1782)</f>
        <v/>
      </c>
      <c r="J1782" s="11">
        <f>IF(OR(G1782="",H1782=""),"",H1782*G1782-1)</f>
        <v/>
      </c>
      <c r="K1782" s="10">
        <f>IF(OR(G1782="",H1782="",G1782&lt;=1),"",IF(J1782&lt;IF(D1782="Builder",MinEdgeBuilder,IF(D1782="Player",MinEdgePlayer,MinEdgeSingle)),0,ROUND(MIN(IF(D1782="Single",KellySingle,KellyBuilder)*(StartBank+SUM(P$1:P1781))*J1782/(G1782-1),IF(D1782="Builder",CapBuilder,CapSingle)*Unit),2)))</f>
        <v/>
      </c>
      <c r="L1782" s="10" t="n"/>
      <c r="N1782" s="10" t="n"/>
      <c r="O1782" s="10">
        <f>IF(L1782="","",IF(M1782="Won",L1782*G1782,IF(M1782="Void",L1782,IF(M1782="Cash out",N(N1782),IF(M1782="Lost",0,"")))))</f>
        <v/>
      </c>
      <c r="P1782" s="10">
        <f>IF(OR(L1782="",M1782="",M1782="Pending"),"",O1782-L1782)</f>
        <v/>
      </c>
      <c r="Q1782" s="21" t="n"/>
      <c r="R1782" s="11">
        <f>IF(OR(G1782="",Q1782=""),"",G1782/Q1782-1)</f>
        <v/>
      </c>
      <c r="S1782" s="10">
        <f>IF(OR(L1782="",J1782=""),"",L1782*J1782)</f>
        <v/>
      </c>
      <c r="T1782" s="10">
        <f>IF(P1782="","",StartBank+SUM(P$2:P1782))</f>
        <v/>
      </c>
    </row>
    <row r="1783">
      <c r="A1783" s="22" t="n"/>
      <c r="G1783" s="21" t="n"/>
      <c r="H1783" s="11" t="n"/>
      <c r="I1783" s="21">
        <f>IF(OR(H1783="",H1783=0),"",1/H1783)</f>
        <v/>
      </c>
      <c r="J1783" s="11">
        <f>IF(OR(G1783="",H1783=""),"",H1783*G1783-1)</f>
        <v/>
      </c>
      <c r="K1783" s="10">
        <f>IF(OR(G1783="",H1783="",G1783&lt;=1),"",IF(J1783&lt;IF(D1783="Builder",MinEdgeBuilder,IF(D1783="Player",MinEdgePlayer,MinEdgeSingle)),0,ROUND(MIN(IF(D1783="Single",KellySingle,KellyBuilder)*(StartBank+SUM(P$1:P1782))*J1783/(G1783-1),IF(D1783="Builder",CapBuilder,CapSingle)*Unit),2)))</f>
        <v/>
      </c>
      <c r="L1783" s="10" t="n"/>
      <c r="N1783" s="10" t="n"/>
      <c r="O1783" s="10">
        <f>IF(L1783="","",IF(M1783="Won",L1783*G1783,IF(M1783="Void",L1783,IF(M1783="Cash out",N(N1783),IF(M1783="Lost",0,"")))))</f>
        <v/>
      </c>
      <c r="P1783" s="10">
        <f>IF(OR(L1783="",M1783="",M1783="Pending"),"",O1783-L1783)</f>
        <v/>
      </c>
      <c r="Q1783" s="21" t="n"/>
      <c r="R1783" s="11">
        <f>IF(OR(G1783="",Q1783=""),"",G1783/Q1783-1)</f>
        <v/>
      </c>
      <c r="S1783" s="10">
        <f>IF(OR(L1783="",J1783=""),"",L1783*J1783)</f>
        <v/>
      </c>
      <c r="T1783" s="10">
        <f>IF(P1783="","",StartBank+SUM(P$2:P1783))</f>
        <v/>
      </c>
    </row>
    <row r="1784">
      <c r="A1784" s="22" t="n"/>
      <c r="G1784" s="21" t="n"/>
      <c r="H1784" s="11" t="n"/>
      <c r="I1784" s="21">
        <f>IF(OR(H1784="",H1784=0),"",1/H1784)</f>
        <v/>
      </c>
      <c r="J1784" s="11">
        <f>IF(OR(G1784="",H1784=""),"",H1784*G1784-1)</f>
        <v/>
      </c>
      <c r="K1784" s="10">
        <f>IF(OR(G1784="",H1784="",G1784&lt;=1),"",IF(J1784&lt;IF(D1784="Builder",MinEdgeBuilder,IF(D1784="Player",MinEdgePlayer,MinEdgeSingle)),0,ROUND(MIN(IF(D1784="Single",KellySingle,KellyBuilder)*(StartBank+SUM(P$1:P1783))*J1784/(G1784-1),IF(D1784="Builder",CapBuilder,CapSingle)*Unit),2)))</f>
        <v/>
      </c>
      <c r="L1784" s="10" t="n"/>
      <c r="N1784" s="10" t="n"/>
      <c r="O1784" s="10">
        <f>IF(L1784="","",IF(M1784="Won",L1784*G1784,IF(M1784="Void",L1784,IF(M1784="Cash out",N(N1784),IF(M1784="Lost",0,"")))))</f>
        <v/>
      </c>
      <c r="P1784" s="10">
        <f>IF(OR(L1784="",M1784="",M1784="Pending"),"",O1784-L1784)</f>
        <v/>
      </c>
      <c r="Q1784" s="21" t="n"/>
      <c r="R1784" s="11">
        <f>IF(OR(G1784="",Q1784=""),"",G1784/Q1784-1)</f>
        <v/>
      </c>
      <c r="S1784" s="10">
        <f>IF(OR(L1784="",J1784=""),"",L1784*J1784)</f>
        <v/>
      </c>
      <c r="T1784" s="10">
        <f>IF(P1784="","",StartBank+SUM(P$2:P1784))</f>
        <v/>
      </c>
    </row>
    <row r="1785">
      <c r="A1785" s="22" t="n"/>
      <c r="G1785" s="21" t="n"/>
      <c r="H1785" s="11" t="n"/>
      <c r="I1785" s="21">
        <f>IF(OR(H1785="",H1785=0),"",1/H1785)</f>
        <v/>
      </c>
      <c r="J1785" s="11">
        <f>IF(OR(G1785="",H1785=""),"",H1785*G1785-1)</f>
        <v/>
      </c>
      <c r="K1785" s="10">
        <f>IF(OR(G1785="",H1785="",G1785&lt;=1),"",IF(J1785&lt;IF(D1785="Builder",MinEdgeBuilder,IF(D1785="Player",MinEdgePlayer,MinEdgeSingle)),0,ROUND(MIN(IF(D1785="Single",KellySingle,KellyBuilder)*(StartBank+SUM(P$1:P1784))*J1785/(G1785-1),IF(D1785="Builder",CapBuilder,CapSingle)*Unit),2)))</f>
        <v/>
      </c>
      <c r="L1785" s="10" t="n"/>
      <c r="N1785" s="10" t="n"/>
      <c r="O1785" s="10">
        <f>IF(L1785="","",IF(M1785="Won",L1785*G1785,IF(M1785="Void",L1785,IF(M1785="Cash out",N(N1785),IF(M1785="Lost",0,"")))))</f>
        <v/>
      </c>
      <c r="P1785" s="10">
        <f>IF(OR(L1785="",M1785="",M1785="Pending"),"",O1785-L1785)</f>
        <v/>
      </c>
      <c r="Q1785" s="21" t="n"/>
      <c r="R1785" s="11">
        <f>IF(OR(G1785="",Q1785=""),"",G1785/Q1785-1)</f>
        <v/>
      </c>
      <c r="S1785" s="10">
        <f>IF(OR(L1785="",J1785=""),"",L1785*J1785)</f>
        <v/>
      </c>
      <c r="T1785" s="10">
        <f>IF(P1785="","",StartBank+SUM(P$2:P1785))</f>
        <v/>
      </c>
    </row>
    <row r="1786">
      <c r="A1786" s="22" t="n"/>
      <c r="G1786" s="21" t="n"/>
      <c r="H1786" s="11" t="n"/>
      <c r="I1786" s="21">
        <f>IF(OR(H1786="",H1786=0),"",1/H1786)</f>
        <v/>
      </c>
      <c r="J1786" s="11">
        <f>IF(OR(G1786="",H1786=""),"",H1786*G1786-1)</f>
        <v/>
      </c>
      <c r="K1786" s="10">
        <f>IF(OR(G1786="",H1786="",G1786&lt;=1),"",IF(J1786&lt;IF(D1786="Builder",MinEdgeBuilder,IF(D1786="Player",MinEdgePlayer,MinEdgeSingle)),0,ROUND(MIN(IF(D1786="Single",KellySingle,KellyBuilder)*(StartBank+SUM(P$1:P1785))*J1786/(G1786-1),IF(D1786="Builder",CapBuilder,CapSingle)*Unit),2)))</f>
        <v/>
      </c>
      <c r="L1786" s="10" t="n"/>
      <c r="N1786" s="10" t="n"/>
      <c r="O1786" s="10">
        <f>IF(L1786="","",IF(M1786="Won",L1786*G1786,IF(M1786="Void",L1786,IF(M1786="Cash out",N(N1786),IF(M1786="Lost",0,"")))))</f>
        <v/>
      </c>
      <c r="P1786" s="10">
        <f>IF(OR(L1786="",M1786="",M1786="Pending"),"",O1786-L1786)</f>
        <v/>
      </c>
      <c r="Q1786" s="21" t="n"/>
      <c r="R1786" s="11">
        <f>IF(OR(G1786="",Q1786=""),"",G1786/Q1786-1)</f>
        <v/>
      </c>
      <c r="S1786" s="10">
        <f>IF(OR(L1786="",J1786=""),"",L1786*J1786)</f>
        <v/>
      </c>
      <c r="T1786" s="10">
        <f>IF(P1786="","",StartBank+SUM(P$2:P1786))</f>
        <v/>
      </c>
    </row>
    <row r="1787">
      <c r="A1787" s="22" t="n"/>
      <c r="G1787" s="21" t="n"/>
      <c r="H1787" s="11" t="n"/>
      <c r="I1787" s="21">
        <f>IF(OR(H1787="",H1787=0),"",1/H1787)</f>
        <v/>
      </c>
      <c r="J1787" s="11">
        <f>IF(OR(G1787="",H1787=""),"",H1787*G1787-1)</f>
        <v/>
      </c>
      <c r="K1787" s="10">
        <f>IF(OR(G1787="",H1787="",G1787&lt;=1),"",IF(J1787&lt;IF(D1787="Builder",MinEdgeBuilder,IF(D1787="Player",MinEdgePlayer,MinEdgeSingle)),0,ROUND(MIN(IF(D1787="Single",KellySingle,KellyBuilder)*(StartBank+SUM(P$1:P1786))*J1787/(G1787-1),IF(D1787="Builder",CapBuilder,CapSingle)*Unit),2)))</f>
        <v/>
      </c>
      <c r="L1787" s="10" t="n"/>
      <c r="N1787" s="10" t="n"/>
      <c r="O1787" s="10">
        <f>IF(L1787="","",IF(M1787="Won",L1787*G1787,IF(M1787="Void",L1787,IF(M1787="Cash out",N(N1787),IF(M1787="Lost",0,"")))))</f>
        <v/>
      </c>
      <c r="P1787" s="10">
        <f>IF(OR(L1787="",M1787="",M1787="Pending"),"",O1787-L1787)</f>
        <v/>
      </c>
      <c r="Q1787" s="21" t="n"/>
      <c r="R1787" s="11">
        <f>IF(OR(G1787="",Q1787=""),"",G1787/Q1787-1)</f>
        <v/>
      </c>
      <c r="S1787" s="10">
        <f>IF(OR(L1787="",J1787=""),"",L1787*J1787)</f>
        <v/>
      </c>
      <c r="T1787" s="10">
        <f>IF(P1787="","",StartBank+SUM(P$2:P1787))</f>
        <v/>
      </c>
    </row>
    <row r="1788">
      <c r="A1788" s="22" t="n"/>
      <c r="G1788" s="21" t="n"/>
      <c r="H1788" s="11" t="n"/>
      <c r="I1788" s="21">
        <f>IF(OR(H1788="",H1788=0),"",1/H1788)</f>
        <v/>
      </c>
      <c r="J1788" s="11">
        <f>IF(OR(G1788="",H1788=""),"",H1788*G1788-1)</f>
        <v/>
      </c>
      <c r="K1788" s="10">
        <f>IF(OR(G1788="",H1788="",G1788&lt;=1),"",IF(J1788&lt;IF(D1788="Builder",MinEdgeBuilder,IF(D1788="Player",MinEdgePlayer,MinEdgeSingle)),0,ROUND(MIN(IF(D1788="Single",KellySingle,KellyBuilder)*(StartBank+SUM(P$1:P1787))*J1788/(G1788-1),IF(D1788="Builder",CapBuilder,CapSingle)*Unit),2)))</f>
        <v/>
      </c>
      <c r="L1788" s="10" t="n"/>
      <c r="N1788" s="10" t="n"/>
      <c r="O1788" s="10">
        <f>IF(L1788="","",IF(M1788="Won",L1788*G1788,IF(M1788="Void",L1788,IF(M1788="Cash out",N(N1788),IF(M1788="Lost",0,"")))))</f>
        <v/>
      </c>
      <c r="P1788" s="10">
        <f>IF(OR(L1788="",M1788="",M1788="Pending"),"",O1788-L1788)</f>
        <v/>
      </c>
      <c r="Q1788" s="21" t="n"/>
      <c r="R1788" s="11">
        <f>IF(OR(G1788="",Q1788=""),"",G1788/Q1788-1)</f>
        <v/>
      </c>
      <c r="S1788" s="10">
        <f>IF(OR(L1788="",J1788=""),"",L1788*J1788)</f>
        <v/>
      </c>
      <c r="T1788" s="10">
        <f>IF(P1788="","",StartBank+SUM(P$2:P1788))</f>
        <v/>
      </c>
    </row>
    <row r="1789">
      <c r="A1789" s="22" t="n"/>
      <c r="G1789" s="21" t="n"/>
      <c r="H1789" s="11" t="n"/>
      <c r="I1789" s="21">
        <f>IF(OR(H1789="",H1789=0),"",1/H1789)</f>
        <v/>
      </c>
      <c r="J1789" s="11">
        <f>IF(OR(G1789="",H1789=""),"",H1789*G1789-1)</f>
        <v/>
      </c>
      <c r="K1789" s="10">
        <f>IF(OR(G1789="",H1789="",G1789&lt;=1),"",IF(J1789&lt;IF(D1789="Builder",MinEdgeBuilder,IF(D1789="Player",MinEdgePlayer,MinEdgeSingle)),0,ROUND(MIN(IF(D1789="Single",KellySingle,KellyBuilder)*(StartBank+SUM(P$1:P1788))*J1789/(G1789-1),IF(D1789="Builder",CapBuilder,CapSingle)*Unit),2)))</f>
        <v/>
      </c>
      <c r="L1789" s="10" t="n"/>
      <c r="N1789" s="10" t="n"/>
      <c r="O1789" s="10">
        <f>IF(L1789="","",IF(M1789="Won",L1789*G1789,IF(M1789="Void",L1789,IF(M1789="Cash out",N(N1789),IF(M1789="Lost",0,"")))))</f>
        <v/>
      </c>
      <c r="P1789" s="10">
        <f>IF(OR(L1789="",M1789="",M1789="Pending"),"",O1789-L1789)</f>
        <v/>
      </c>
      <c r="Q1789" s="21" t="n"/>
      <c r="R1789" s="11">
        <f>IF(OR(G1789="",Q1789=""),"",G1789/Q1789-1)</f>
        <v/>
      </c>
      <c r="S1789" s="10">
        <f>IF(OR(L1789="",J1789=""),"",L1789*J1789)</f>
        <v/>
      </c>
      <c r="T1789" s="10">
        <f>IF(P1789="","",StartBank+SUM(P$2:P1789))</f>
        <v/>
      </c>
    </row>
    <row r="1790">
      <c r="A1790" s="22" t="n"/>
      <c r="G1790" s="21" t="n"/>
      <c r="H1790" s="11" t="n"/>
      <c r="I1790" s="21">
        <f>IF(OR(H1790="",H1790=0),"",1/H1790)</f>
        <v/>
      </c>
      <c r="J1790" s="11">
        <f>IF(OR(G1790="",H1790=""),"",H1790*G1790-1)</f>
        <v/>
      </c>
      <c r="K1790" s="10">
        <f>IF(OR(G1790="",H1790="",G1790&lt;=1),"",IF(J1790&lt;IF(D1790="Builder",MinEdgeBuilder,IF(D1790="Player",MinEdgePlayer,MinEdgeSingle)),0,ROUND(MIN(IF(D1790="Single",KellySingle,KellyBuilder)*(StartBank+SUM(P$1:P1789))*J1790/(G1790-1),IF(D1790="Builder",CapBuilder,CapSingle)*Unit),2)))</f>
        <v/>
      </c>
      <c r="L1790" s="10" t="n"/>
      <c r="N1790" s="10" t="n"/>
      <c r="O1790" s="10">
        <f>IF(L1790="","",IF(M1790="Won",L1790*G1790,IF(M1790="Void",L1790,IF(M1790="Cash out",N(N1790),IF(M1790="Lost",0,"")))))</f>
        <v/>
      </c>
      <c r="P1790" s="10">
        <f>IF(OR(L1790="",M1790="",M1790="Pending"),"",O1790-L1790)</f>
        <v/>
      </c>
      <c r="Q1790" s="21" t="n"/>
      <c r="R1790" s="11">
        <f>IF(OR(G1790="",Q1790=""),"",G1790/Q1790-1)</f>
        <v/>
      </c>
      <c r="S1790" s="10">
        <f>IF(OR(L1790="",J1790=""),"",L1790*J1790)</f>
        <v/>
      </c>
      <c r="T1790" s="10">
        <f>IF(P1790="","",StartBank+SUM(P$2:P1790))</f>
        <v/>
      </c>
    </row>
    <row r="1791">
      <c r="A1791" s="22" t="n"/>
      <c r="G1791" s="21" t="n"/>
      <c r="H1791" s="11" t="n"/>
      <c r="I1791" s="21">
        <f>IF(OR(H1791="",H1791=0),"",1/H1791)</f>
        <v/>
      </c>
      <c r="J1791" s="11">
        <f>IF(OR(G1791="",H1791=""),"",H1791*G1791-1)</f>
        <v/>
      </c>
      <c r="K1791" s="10">
        <f>IF(OR(G1791="",H1791="",G1791&lt;=1),"",IF(J1791&lt;IF(D1791="Builder",MinEdgeBuilder,IF(D1791="Player",MinEdgePlayer,MinEdgeSingle)),0,ROUND(MIN(IF(D1791="Single",KellySingle,KellyBuilder)*(StartBank+SUM(P$1:P1790))*J1791/(G1791-1),IF(D1791="Builder",CapBuilder,CapSingle)*Unit),2)))</f>
        <v/>
      </c>
      <c r="L1791" s="10" t="n"/>
      <c r="N1791" s="10" t="n"/>
      <c r="O1791" s="10">
        <f>IF(L1791="","",IF(M1791="Won",L1791*G1791,IF(M1791="Void",L1791,IF(M1791="Cash out",N(N1791),IF(M1791="Lost",0,"")))))</f>
        <v/>
      </c>
      <c r="P1791" s="10">
        <f>IF(OR(L1791="",M1791="",M1791="Pending"),"",O1791-L1791)</f>
        <v/>
      </c>
      <c r="Q1791" s="21" t="n"/>
      <c r="R1791" s="11">
        <f>IF(OR(G1791="",Q1791=""),"",G1791/Q1791-1)</f>
        <v/>
      </c>
      <c r="S1791" s="10">
        <f>IF(OR(L1791="",J1791=""),"",L1791*J1791)</f>
        <v/>
      </c>
      <c r="T1791" s="10">
        <f>IF(P1791="","",StartBank+SUM(P$2:P1791))</f>
        <v/>
      </c>
    </row>
    <row r="1792">
      <c r="A1792" s="22" t="n"/>
      <c r="G1792" s="21" t="n"/>
      <c r="H1792" s="11" t="n"/>
      <c r="I1792" s="21">
        <f>IF(OR(H1792="",H1792=0),"",1/H1792)</f>
        <v/>
      </c>
      <c r="J1792" s="11">
        <f>IF(OR(G1792="",H1792=""),"",H1792*G1792-1)</f>
        <v/>
      </c>
      <c r="K1792" s="10">
        <f>IF(OR(G1792="",H1792="",G1792&lt;=1),"",IF(J1792&lt;IF(D1792="Builder",MinEdgeBuilder,IF(D1792="Player",MinEdgePlayer,MinEdgeSingle)),0,ROUND(MIN(IF(D1792="Single",KellySingle,KellyBuilder)*(StartBank+SUM(P$1:P1791))*J1792/(G1792-1),IF(D1792="Builder",CapBuilder,CapSingle)*Unit),2)))</f>
        <v/>
      </c>
      <c r="L1792" s="10" t="n"/>
      <c r="N1792" s="10" t="n"/>
      <c r="O1792" s="10">
        <f>IF(L1792="","",IF(M1792="Won",L1792*G1792,IF(M1792="Void",L1792,IF(M1792="Cash out",N(N1792),IF(M1792="Lost",0,"")))))</f>
        <v/>
      </c>
      <c r="P1792" s="10">
        <f>IF(OR(L1792="",M1792="",M1792="Pending"),"",O1792-L1792)</f>
        <v/>
      </c>
      <c r="Q1792" s="21" t="n"/>
      <c r="R1792" s="11">
        <f>IF(OR(G1792="",Q1792=""),"",G1792/Q1792-1)</f>
        <v/>
      </c>
      <c r="S1792" s="10">
        <f>IF(OR(L1792="",J1792=""),"",L1792*J1792)</f>
        <v/>
      </c>
      <c r="T1792" s="10">
        <f>IF(P1792="","",StartBank+SUM(P$2:P1792))</f>
        <v/>
      </c>
    </row>
    <row r="1793">
      <c r="A1793" s="22" t="n"/>
      <c r="G1793" s="21" t="n"/>
      <c r="H1793" s="11" t="n"/>
      <c r="I1793" s="21">
        <f>IF(OR(H1793="",H1793=0),"",1/H1793)</f>
        <v/>
      </c>
      <c r="J1793" s="11">
        <f>IF(OR(G1793="",H1793=""),"",H1793*G1793-1)</f>
        <v/>
      </c>
      <c r="K1793" s="10">
        <f>IF(OR(G1793="",H1793="",G1793&lt;=1),"",IF(J1793&lt;IF(D1793="Builder",MinEdgeBuilder,IF(D1793="Player",MinEdgePlayer,MinEdgeSingle)),0,ROUND(MIN(IF(D1793="Single",KellySingle,KellyBuilder)*(StartBank+SUM(P$1:P1792))*J1793/(G1793-1),IF(D1793="Builder",CapBuilder,CapSingle)*Unit),2)))</f>
        <v/>
      </c>
      <c r="L1793" s="10" t="n"/>
      <c r="N1793" s="10" t="n"/>
      <c r="O1793" s="10">
        <f>IF(L1793="","",IF(M1793="Won",L1793*G1793,IF(M1793="Void",L1793,IF(M1793="Cash out",N(N1793),IF(M1793="Lost",0,"")))))</f>
        <v/>
      </c>
      <c r="P1793" s="10">
        <f>IF(OR(L1793="",M1793="",M1793="Pending"),"",O1793-L1793)</f>
        <v/>
      </c>
      <c r="Q1793" s="21" t="n"/>
      <c r="R1793" s="11">
        <f>IF(OR(G1793="",Q1793=""),"",G1793/Q1793-1)</f>
        <v/>
      </c>
      <c r="S1793" s="10">
        <f>IF(OR(L1793="",J1793=""),"",L1793*J1793)</f>
        <v/>
      </c>
      <c r="T1793" s="10">
        <f>IF(P1793="","",StartBank+SUM(P$2:P1793))</f>
        <v/>
      </c>
    </row>
    <row r="1794">
      <c r="A1794" s="22" t="n"/>
      <c r="G1794" s="21" t="n"/>
      <c r="H1794" s="11" t="n"/>
      <c r="I1794" s="21">
        <f>IF(OR(H1794="",H1794=0),"",1/H1794)</f>
        <v/>
      </c>
      <c r="J1794" s="11">
        <f>IF(OR(G1794="",H1794=""),"",H1794*G1794-1)</f>
        <v/>
      </c>
      <c r="K1794" s="10">
        <f>IF(OR(G1794="",H1794="",G1794&lt;=1),"",IF(J1794&lt;IF(D1794="Builder",MinEdgeBuilder,IF(D1794="Player",MinEdgePlayer,MinEdgeSingle)),0,ROUND(MIN(IF(D1794="Single",KellySingle,KellyBuilder)*(StartBank+SUM(P$1:P1793))*J1794/(G1794-1),IF(D1794="Builder",CapBuilder,CapSingle)*Unit),2)))</f>
        <v/>
      </c>
      <c r="L1794" s="10" t="n"/>
      <c r="N1794" s="10" t="n"/>
      <c r="O1794" s="10">
        <f>IF(L1794="","",IF(M1794="Won",L1794*G1794,IF(M1794="Void",L1794,IF(M1794="Cash out",N(N1794),IF(M1794="Lost",0,"")))))</f>
        <v/>
      </c>
      <c r="P1794" s="10">
        <f>IF(OR(L1794="",M1794="",M1794="Pending"),"",O1794-L1794)</f>
        <v/>
      </c>
      <c r="Q1794" s="21" t="n"/>
      <c r="R1794" s="11">
        <f>IF(OR(G1794="",Q1794=""),"",G1794/Q1794-1)</f>
        <v/>
      </c>
      <c r="S1794" s="10">
        <f>IF(OR(L1794="",J1794=""),"",L1794*J1794)</f>
        <v/>
      </c>
      <c r="T1794" s="10">
        <f>IF(P1794="","",StartBank+SUM(P$2:P1794))</f>
        <v/>
      </c>
    </row>
    <row r="1795">
      <c r="A1795" s="22" t="n"/>
      <c r="G1795" s="21" t="n"/>
      <c r="H1795" s="11" t="n"/>
      <c r="I1795" s="21">
        <f>IF(OR(H1795="",H1795=0),"",1/H1795)</f>
        <v/>
      </c>
      <c r="J1795" s="11">
        <f>IF(OR(G1795="",H1795=""),"",H1795*G1795-1)</f>
        <v/>
      </c>
      <c r="K1795" s="10">
        <f>IF(OR(G1795="",H1795="",G1795&lt;=1),"",IF(J1795&lt;IF(D1795="Builder",MinEdgeBuilder,IF(D1795="Player",MinEdgePlayer,MinEdgeSingle)),0,ROUND(MIN(IF(D1795="Single",KellySingle,KellyBuilder)*(StartBank+SUM(P$1:P1794))*J1795/(G1795-1),IF(D1795="Builder",CapBuilder,CapSingle)*Unit),2)))</f>
        <v/>
      </c>
      <c r="L1795" s="10" t="n"/>
      <c r="N1795" s="10" t="n"/>
      <c r="O1795" s="10">
        <f>IF(L1795="","",IF(M1795="Won",L1795*G1795,IF(M1795="Void",L1795,IF(M1795="Cash out",N(N1795),IF(M1795="Lost",0,"")))))</f>
        <v/>
      </c>
      <c r="P1795" s="10">
        <f>IF(OR(L1795="",M1795="",M1795="Pending"),"",O1795-L1795)</f>
        <v/>
      </c>
      <c r="Q1795" s="21" t="n"/>
      <c r="R1795" s="11">
        <f>IF(OR(G1795="",Q1795=""),"",G1795/Q1795-1)</f>
        <v/>
      </c>
      <c r="S1795" s="10">
        <f>IF(OR(L1795="",J1795=""),"",L1795*J1795)</f>
        <v/>
      </c>
      <c r="T1795" s="10">
        <f>IF(P1795="","",StartBank+SUM(P$2:P1795))</f>
        <v/>
      </c>
    </row>
    <row r="1796">
      <c r="A1796" s="22" t="n"/>
      <c r="G1796" s="21" t="n"/>
      <c r="H1796" s="11" t="n"/>
      <c r="I1796" s="21">
        <f>IF(OR(H1796="",H1796=0),"",1/H1796)</f>
        <v/>
      </c>
      <c r="J1796" s="11">
        <f>IF(OR(G1796="",H1796=""),"",H1796*G1796-1)</f>
        <v/>
      </c>
      <c r="K1796" s="10">
        <f>IF(OR(G1796="",H1796="",G1796&lt;=1),"",IF(J1796&lt;IF(D1796="Builder",MinEdgeBuilder,IF(D1796="Player",MinEdgePlayer,MinEdgeSingle)),0,ROUND(MIN(IF(D1796="Single",KellySingle,KellyBuilder)*(StartBank+SUM(P$1:P1795))*J1796/(G1796-1),IF(D1796="Builder",CapBuilder,CapSingle)*Unit),2)))</f>
        <v/>
      </c>
      <c r="L1796" s="10" t="n"/>
      <c r="N1796" s="10" t="n"/>
      <c r="O1796" s="10">
        <f>IF(L1796="","",IF(M1796="Won",L1796*G1796,IF(M1796="Void",L1796,IF(M1796="Cash out",N(N1796),IF(M1796="Lost",0,"")))))</f>
        <v/>
      </c>
      <c r="P1796" s="10">
        <f>IF(OR(L1796="",M1796="",M1796="Pending"),"",O1796-L1796)</f>
        <v/>
      </c>
      <c r="Q1796" s="21" t="n"/>
      <c r="R1796" s="11">
        <f>IF(OR(G1796="",Q1796=""),"",G1796/Q1796-1)</f>
        <v/>
      </c>
      <c r="S1796" s="10">
        <f>IF(OR(L1796="",J1796=""),"",L1796*J1796)</f>
        <v/>
      </c>
      <c r="T1796" s="10">
        <f>IF(P1796="","",StartBank+SUM(P$2:P1796))</f>
        <v/>
      </c>
    </row>
    <row r="1797">
      <c r="A1797" s="22" t="n"/>
      <c r="G1797" s="21" t="n"/>
      <c r="H1797" s="11" t="n"/>
      <c r="I1797" s="21">
        <f>IF(OR(H1797="",H1797=0),"",1/H1797)</f>
        <v/>
      </c>
      <c r="J1797" s="11">
        <f>IF(OR(G1797="",H1797=""),"",H1797*G1797-1)</f>
        <v/>
      </c>
      <c r="K1797" s="10">
        <f>IF(OR(G1797="",H1797="",G1797&lt;=1),"",IF(J1797&lt;IF(D1797="Builder",MinEdgeBuilder,IF(D1797="Player",MinEdgePlayer,MinEdgeSingle)),0,ROUND(MIN(IF(D1797="Single",KellySingle,KellyBuilder)*(StartBank+SUM(P$1:P1796))*J1797/(G1797-1),IF(D1797="Builder",CapBuilder,CapSingle)*Unit),2)))</f>
        <v/>
      </c>
      <c r="L1797" s="10" t="n"/>
      <c r="N1797" s="10" t="n"/>
      <c r="O1797" s="10">
        <f>IF(L1797="","",IF(M1797="Won",L1797*G1797,IF(M1797="Void",L1797,IF(M1797="Cash out",N(N1797),IF(M1797="Lost",0,"")))))</f>
        <v/>
      </c>
      <c r="P1797" s="10">
        <f>IF(OR(L1797="",M1797="",M1797="Pending"),"",O1797-L1797)</f>
        <v/>
      </c>
      <c r="Q1797" s="21" t="n"/>
      <c r="R1797" s="11">
        <f>IF(OR(G1797="",Q1797=""),"",G1797/Q1797-1)</f>
        <v/>
      </c>
      <c r="S1797" s="10">
        <f>IF(OR(L1797="",J1797=""),"",L1797*J1797)</f>
        <v/>
      </c>
      <c r="T1797" s="10">
        <f>IF(P1797="","",StartBank+SUM(P$2:P1797))</f>
        <v/>
      </c>
    </row>
    <row r="1798">
      <c r="A1798" s="22" t="n"/>
      <c r="G1798" s="21" t="n"/>
      <c r="H1798" s="11" t="n"/>
      <c r="I1798" s="21">
        <f>IF(OR(H1798="",H1798=0),"",1/H1798)</f>
        <v/>
      </c>
      <c r="J1798" s="11">
        <f>IF(OR(G1798="",H1798=""),"",H1798*G1798-1)</f>
        <v/>
      </c>
      <c r="K1798" s="10">
        <f>IF(OR(G1798="",H1798="",G1798&lt;=1),"",IF(J1798&lt;IF(D1798="Builder",MinEdgeBuilder,IF(D1798="Player",MinEdgePlayer,MinEdgeSingle)),0,ROUND(MIN(IF(D1798="Single",KellySingle,KellyBuilder)*(StartBank+SUM(P$1:P1797))*J1798/(G1798-1),IF(D1798="Builder",CapBuilder,CapSingle)*Unit),2)))</f>
        <v/>
      </c>
      <c r="L1798" s="10" t="n"/>
      <c r="N1798" s="10" t="n"/>
      <c r="O1798" s="10">
        <f>IF(L1798="","",IF(M1798="Won",L1798*G1798,IF(M1798="Void",L1798,IF(M1798="Cash out",N(N1798),IF(M1798="Lost",0,"")))))</f>
        <v/>
      </c>
      <c r="P1798" s="10">
        <f>IF(OR(L1798="",M1798="",M1798="Pending"),"",O1798-L1798)</f>
        <v/>
      </c>
      <c r="Q1798" s="21" t="n"/>
      <c r="R1798" s="11">
        <f>IF(OR(G1798="",Q1798=""),"",G1798/Q1798-1)</f>
        <v/>
      </c>
      <c r="S1798" s="10">
        <f>IF(OR(L1798="",J1798=""),"",L1798*J1798)</f>
        <v/>
      </c>
      <c r="T1798" s="10">
        <f>IF(P1798="","",StartBank+SUM(P$2:P1798))</f>
        <v/>
      </c>
    </row>
    <row r="1799">
      <c r="A1799" s="22" t="n"/>
      <c r="G1799" s="21" t="n"/>
      <c r="H1799" s="11" t="n"/>
      <c r="I1799" s="21">
        <f>IF(OR(H1799="",H1799=0),"",1/H1799)</f>
        <v/>
      </c>
      <c r="J1799" s="11">
        <f>IF(OR(G1799="",H1799=""),"",H1799*G1799-1)</f>
        <v/>
      </c>
      <c r="K1799" s="10">
        <f>IF(OR(G1799="",H1799="",G1799&lt;=1),"",IF(J1799&lt;IF(D1799="Builder",MinEdgeBuilder,IF(D1799="Player",MinEdgePlayer,MinEdgeSingle)),0,ROUND(MIN(IF(D1799="Single",KellySingle,KellyBuilder)*(StartBank+SUM(P$1:P1798))*J1799/(G1799-1),IF(D1799="Builder",CapBuilder,CapSingle)*Unit),2)))</f>
        <v/>
      </c>
      <c r="L1799" s="10" t="n"/>
      <c r="N1799" s="10" t="n"/>
      <c r="O1799" s="10">
        <f>IF(L1799="","",IF(M1799="Won",L1799*G1799,IF(M1799="Void",L1799,IF(M1799="Cash out",N(N1799),IF(M1799="Lost",0,"")))))</f>
        <v/>
      </c>
      <c r="P1799" s="10">
        <f>IF(OR(L1799="",M1799="",M1799="Pending"),"",O1799-L1799)</f>
        <v/>
      </c>
      <c r="Q1799" s="21" t="n"/>
      <c r="R1799" s="11">
        <f>IF(OR(G1799="",Q1799=""),"",G1799/Q1799-1)</f>
        <v/>
      </c>
      <c r="S1799" s="10">
        <f>IF(OR(L1799="",J1799=""),"",L1799*J1799)</f>
        <v/>
      </c>
      <c r="T1799" s="10">
        <f>IF(P1799="","",StartBank+SUM(P$2:P1799))</f>
        <v/>
      </c>
    </row>
    <row r="1800">
      <c r="A1800" s="22" t="n"/>
      <c r="G1800" s="21" t="n"/>
      <c r="H1800" s="11" t="n"/>
      <c r="I1800" s="21">
        <f>IF(OR(H1800="",H1800=0),"",1/H1800)</f>
        <v/>
      </c>
      <c r="J1800" s="11">
        <f>IF(OR(G1800="",H1800=""),"",H1800*G1800-1)</f>
        <v/>
      </c>
      <c r="K1800" s="10">
        <f>IF(OR(G1800="",H1800="",G1800&lt;=1),"",IF(J1800&lt;IF(D1800="Builder",MinEdgeBuilder,IF(D1800="Player",MinEdgePlayer,MinEdgeSingle)),0,ROUND(MIN(IF(D1800="Single",KellySingle,KellyBuilder)*(StartBank+SUM(P$1:P1799))*J1800/(G1800-1),IF(D1800="Builder",CapBuilder,CapSingle)*Unit),2)))</f>
        <v/>
      </c>
      <c r="L1800" s="10" t="n"/>
      <c r="N1800" s="10" t="n"/>
      <c r="O1800" s="10">
        <f>IF(L1800="","",IF(M1800="Won",L1800*G1800,IF(M1800="Void",L1800,IF(M1800="Cash out",N(N1800),IF(M1800="Lost",0,"")))))</f>
        <v/>
      </c>
      <c r="P1800" s="10">
        <f>IF(OR(L1800="",M1800="",M1800="Pending"),"",O1800-L1800)</f>
        <v/>
      </c>
      <c r="Q1800" s="21" t="n"/>
      <c r="R1800" s="11">
        <f>IF(OR(G1800="",Q1800=""),"",G1800/Q1800-1)</f>
        <v/>
      </c>
      <c r="S1800" s="10">
        <f>IF(OR(L1800="",J1800=""),"",L1800*J1800)</f>
        <v/>
      </c>
      <c r="T1800" s="10">
        <f>IF(P1800="","",StartBank+SUM(P$2:P1800))</f>
        <v/>
      </c>
    </row>
    <row r="1801">
      <c r="A1801" s="22" t="n"/>
      <c r="G1801" s="21" t="n"/>
      <c r="H1801" s="11" t="n"/>
      <c r="I1801" s="21">
        <f>IF(OR(H1801="",H1801=0),"",1/H1801)</f>
        <v/>
      </c>
      <c r="J1801" s="11">
        <f>IF(OR(G1801="",H1801=""),"",H1801*G1801-1)</f>
        <v/>
      </c>
      <c r="K1801" s="10">
        <f>IF(OR(G1801="",H1801="",G1801&lt;=1),"",IF(J1801&lt;IF(D1801="Builder",MinEdgeBuilder,IF(D1801="Player",MinEdgePlayer,MinEdgeSingle)),0,ROUND(MIN(IF(D1801="Single",KellySingle,KellyBuilder)*(StartBank+SUM(P$1:P1800))*J1801/(G1801-1),IF(D1801="Builder",CapBuilder,CapSingle)*Unit),2)))</f>
        <v/>
      </c>
      <c r="L1801" s="10" t="n"/>
      <c r="N1801" s="10" t="n"/>
      <c r="O1801" s="10">
        <f>IF(L1801="","",IF(M1801="Won",L1801*G1801,IF(M1801="Void",L1801,IF(M1801="Cash out",N(N1801),IF(M1801="Lost",0,"")))))</f>
        <v/>
      </c>
      <c r="P1801" s="10">
        <f>IF(OR(L1801="",M1801="",M1801="Pending"),"",O1801-L1801)</f>
        <v/>
      </c>
      <c r="Q1801" s="21" t="n"/>
      <c r="R1801" s="11">
        <f>IF(OR(G1801="",Q1801=""),"",G1801/Q1801-1)</f>
        <v/>
      </c>
      <c r="S1801" s="10">
        <f>IF(OR(L1801="",J1801=""),"",L1801*J1801)</f>
        <v/>
      </c>
      <c r="T1801" s="10">
        <f>IF(P1801="","",StartBank+SUM(P$2:P1801))</f>
        <v/>
      </c>
    </row>
    <row r="1802">
      <c r="A1802" s="22" t="n"/>
      <c r="G1802" s="21" t="n"/>
      <c r="H1802" s="11" t="n"/>
      <c r="I1802" s="21">
        <f>IF(OR(H1802="",H1802=0),"",1/H1802)</f>
        <v/>
      </c>
      <c r="J1802" s="11">
        <f>IF(OR(G1802="",H1802=""),"",H1802*G1802-1)</f>
        <v/>
      </c>
      <c r="K1802" s="10">
        <f>IF(OR(G1802="",H1802="",G1802&lt;=1),"",IF(J1802&lt;IF(D1802="Builder",MinEdgeBuilder,IF(D1802="Player",MinEdgePlayer,MinEdgeSingle)),0,ROUND(MIN(IF(D1802="Single",KellySingle,KellyBuilder)*(StartBank+SUM(P$1:P1801))*J1802/(G1802-1),IF(D1802="Builder",CapBuilder,CapSingle)*Unit),2)))</f>
        <v/>
      </c>
      <c r="L1802" s="10" t="n"/>
      <c r="N1802" s="10" t="n"/>
      <c r="O1802" s="10">
        <f>IF(L1802="","",IF(M1802="Won",L1802*G1802,IF(M1802="Void",L1802,IF(M1802="Cash out",N(N1802),IF(M1802="Lost",0,"")))))</f>
        <v/>
      </c>
      <c r="P1802" s="10">
        <f>IF(OR(L1802="",M1802="",M1802="Pending"),"",O1802-L1802)</f>
        <v/>
      </c>
      <c r="Q1802" s="21" t="n"/>
      <c r="R1802" s="11">
        <f>IF(OR(G1802="",Q1802=""),"",G1802/Q1802-1)</f>
        <v/>
      </c>
      <c r="S1802" s="10">
        <f>IF(OR(L1802="",J1802=""),"",L1802*J1802)</f>
        <v/>
      </c>
      <c r="T1802" s="10">
        <f>IF(P1802="","",StartBank+SUM(P$2:P1802))</f>
        <v/>
      </c>
    </row>
    <row r="1803">
      <c r="A1803" s="22" t="n"/>
      <c r="G1803" s="21" t="n"/>
      <c r="H1803" s="11" t="n"/>
      <c r="I1803" s="21">
        <f>IF(OR(H1803="",H1803=0),"",1/H1803)</f>
        <v/>
      </c>
      <c r="J1803" s="11">
        <f>IF(OR(G1803="",H1803=""),"",H1803*G1803-1)</f>
        <v/>
      </c>
      <c r="K1803" s="10">
        <f>IF(OR(G1803="",H1803="",G1803&lt;=1),"",IF(J1803&lt;IF(D1803="Builder",MinEdgeBuilder,IF(D1803="Player",MinEdgePlayer,MinEdgeSingle)),0,ROUND(MIN(IF(D1803="Single",KellySingle,KellyBuilder)*(StartBank+SUM(P$1:P1802))*J1803/(G1803-1),IF(D1803="Builder",CapBuilder,CapSingle)*Unit),2)))</f>
        <v/>
      </c>
      <c r="L1803" s="10" t="n"/>
      <c r="N1803" s="10" t="n"/>
      <c r="O1803" s="10">
        <f>IF(L1803="","",IF(M1803="Won",L1803*G1803,IF(M1803="Void",L1803,IF(M1803="Cash out",N(N1803),IF(M1803="Lost",0,"")))))</f>
        <v/>
      </c>
      <c r="P1803" s="10">
        <f>IF(OR(L1803="",M1803="",M1803="Pending"),"",O1803-L1803)</f>
        <v/>
      </c>
      <c r="Q1803" s="21" t="n"/>
      <c r="R1803" s="11">
        <f>IF(OR(G1803="",Q1803=""),"",G1803/Q1803-1)</f>
        <v/>
      </c>
      <c r="S1803" s="10">
        <f>IF(OR(L1803="",J1803=""),"",L1803*J1803)</f>
        <v/>
      </c>
      <c r="T1803" s="10">
        <f>IF(P1803="","",StartBank+SUM(P$2:P1803))</f>
        <v/>
      </c>
    </row>
    <row r="1804">
      <c r="A1804" s="22" t="n"/>
      <c r="G1804" s="21" t="n"/>
      <c r="H1804" s="11" t="n"/>
      <c r="I1804" s="21">
        <f>IF(OR(H1804="",H1804=0),"",1/H1804)</f>
        <v/>
      </c>
      <c r="J1804" s="11">
        <f>IF(OR(G1804="",H1804=""),"",H1804*G1804-1)</f>
        <v/>
      </c>
      <c r="K1804" s="10">
        <f>IF(OR(G1804="",H1804="",G1804&lt;=1),"",IF(J1804&lt;IF(D1804="Builder",MinEdgeBuilder,IF(D1804="Player",MinEdgePlayer,MinEdgeSingle)),0,ROUND(MIN(IF(D1804="Single",KellySingle,KellyBuilder)*(StartBank+SUM(P$1:P1803))*J1804/(G1804-1),IF(D1804="Builder",CapBuilder,CapSingle)*Unit),2)))</f>
        <v/>
      </c>
      <c r="L1804" s="10" t="n"/>
      <c r="N1804" s="10" t="n"/>
      <c r="O1804" s="10">
        <f>IF(L1804="","",IF(M1804="Won",L1804*G1804,IF(M1804="Void",L1804,IF(M1804="Cash out",N(N1804),IF(M1804="Lost",0,"")))))</f>
        <v/>
      </c>
      <c r="P1804" s="10">
        <f>IF(OR(L1804="",M1804="",M1804="Pending"),"",O1804-L1804)</f>
        <v/>
      </c>
      <c r="Q1804" s="21" t="n"/>
      <c r="R1804" s="11">
        <f>IF(OR(G1804="",Q1804=""),"",G1804/Q1804-1)</f>
        <v/>
      </c>
      <c r="S1804" s="10">
        <f>IF(OR(L1804="",J1804=""),"",L1804*J1804)</f>
        <v/>
      </c>
      <c r="T1804" s="10">
        <f>IF(P1804="","",StartBank+SUM(P$2:P1804))</f>
        <v/>
      </c>
    </row>
    <row r="1805">
      <c r="A1805" s="22" t="n"/>
      <c r="G1805" s="21" t="n"/>
      <c r="H1805" s="11" t="n"/>
      <c r="I1805" s="21">
        <f>IF(OR(H1805="",H1805=0),"",1/H1805)</f>
        <v/>
      </c>
      <c r="J1805" s="11">
        <f>IF(OR(G1805="",H1805=""),"",H1805*G1805-1)</f>
        <v/>
      </c>
      <c r="K1805" s="10">
        <f>IF(OR(G1805="",H1805="",G1805&lt;=1),"",IF(J1805&lt;IF(D1805="Builder",MinEdgeBuilder,IF(D1805="Player",MinEdgePlayer,MinEdgeSingle)),0,ROUND(MIN(IF(D1805="Single",KellySingle,KellyBuilder)*(StartBank+SUM(P$1:P1804))*J1805/(G1805-1),IF(D1805="Builder",CapBuilder,CapSingle)*Unit),2)))</f>
        <v/>
      </c>
      <c r="L1805" s="10" t="n"/>
      <c r="N1805" s="10" t="n"/>
      <c r="O1805" s="10">
        <f>IF(L1805="","",IF(M1805="Won",L1805*G1805,IF(M1805="Void",L1805,IF(M1805="Cash out",N(N1805),IF(M1805="Lost",0,"")))))</f>
        <v/>
      </c>
      <c r="P1805" s="10">
        <f>IF(OR(L1805="",M1805="",M1805="Pending"),"",O1805-L1805)</f>
        <v/>
      </c>
      <c r="Q1805" s="21" t="n"/>
      <c r="R1805" s="11">
        <f>IF(OR(G1805="",Q1805=""),"",G1805/Q1805-1)</f>
        <v/>
      </c>
      <c r="S1805" s="10">
        <f>IF(OR(L1805="",J1805=""),"",L1805*J1805)</f>
        <v/>
      </c>
      <c r="T1805" s="10">
        <f>IF(P1805="","",StartBank+SUM(P$2:P1805))</f>
        <v/>
      </c>
    </row>
    <row r="1806">
      <c r="A1806" s="22" t="n"/>
      <c r="G1806" s="21" t="n"/>
      <c r="H1806" s="11" t="n"/>
      <c r="I1806" s="21">
        <f>IF(OR(H1806="",H1806=0),"",1/H1806)</f>
        <v/>
      </c>
      <c r="J1806" s="11">
        <f>IF(OR(G1806="",H1806=""),"",H1806*G1806-1)</f>
        <v/>
      </c>
      <c r="K1806" s="10">
        <f>IF(OR(G1806="",H1806="",G1806&lt;=1),"",IF(J1806&lt;IF(D1806="Builder",MinEdgeBuilder,IF(D1806="Player",MinEdgePlayer,MinEdgeSingle)),0,ROUND(MIN(IF(D1806="Single",KellySingle,KellyBuilder)*(StartBank+SUM(P$1:P1805))*J1806/(G1806-1),IF(D1806="Builder",CapBuilder,CapSingle)*Unit),2)))</f>
        <v/>
      </c>
      <c r="L1806" s="10" t="n"/>
      <c r="N1806" s="10" t="n"/>
      <c r="O1806" s="10">
        <f>IF(L1806="","",IF(M1806="Won",L1806*G1806,IF(M1806="Void",L1806,IF(M1806="Cash out",N(N1806),IF(M1806="Lost",0,"")))))</f>
        <v/>
      </c>
      <c r="P1806" s="10">
        <f>IF(OR(L1806="",M1806="",M1806="Pending"),"",O1806-L1806)</f>
        <v/>
      </c>
      <c r="Q1806" s="21" t="n"/>
      <c r="R1806" s="11">
        <f>IF(OR(G1806="",Q1806=""),"",G1806/Q1806-1)</f>
        <v/>
      </c>
      <c r="S1806" s="10">
        <f>IF(OR(L1806="",J1806=""),"",L1806*J1806)</f>
        <v/>
      </c>
      <c r="T1806" s="10">
        <f>IF(P1806="","",StartBank+SUM(P$2:P1806))</f>
        <v/>
      </c>
    </row>
    <row r="1807">
      <c r="A1807" s="22" t="n"/>
      <c r="G1807" s="21" t="n"/>
      <c r="H1807" s="11" t="n"/>
      <c r="I1807" s="21">
        <f>IF(OR(H1807="",H1807=0),"",1/H1807)</f>
        <v/>
      </c>
      <c r="J1807" s="11">
        <f>IF(OR(G1807="",H1807=""),"",H1807*G1807-1)</f>
        <v/>
      </c>
      <c r="K1807" s="10">
        <f>IF(OR(G1807="",H1807="",G1807&lt;=1),"",IF(J1807&lt;IF(D1807="Builder",MinEdgeBuilder,IF(D1807="Player",MinEdgePlayer,MinEdgeSingle)),0,ROUND(MIN(IF(D1807="Single",KellySingle,KellyBuilder)*(StartBank+SUM(P$1:P1806))*J1807/(G1807-1),IF(D1807="Builder",CapBuilder,CapSingle)*Unit),2)))</f>
        <v/>
      </c>
      <c r="L1807" s="10" t="n"/>
      <c r="N1807" s="10" t="n"/>
      <c r="O1807" s="10">
        <f>IF(L1807="","",IF(M1807="Won",L1807*G1807,IF(M1807="Void",L1807,IF(M1807="Cash out",N(N1807),IF(M1807="Lost",0,"")))))</f>
        <v/>
      </c>
      <c r="P1807" s="10">
        <f>IF(OR(L1807="",M1807="",M1807="Pending"),"",O1807-L1807)</f>
        <v/>
      </c>
      <c r="Q1807" s="21" t="n"/>
      <c r="R1807" s="11">
        <f>IF(OR(G1807="",Q1807=""),"",G1807/Q1807-1)</f>
        <v/>
      </c>
      <c r="S1807" s="10">
        <f>IF(OR(L1807="",J1807=""),"",L1807*J1807)</f>
        <v/>
      </c>
      <c r="T1807" s="10">
        <f>IF(P1807="","",StartBank+SUM(P$2:P1807))</f>
        <v/>
      </c>
    </row>
    <row r="1808">
      <c r="A1808" s="22" t="n"/>
      <c r="G1808" s="21" t="n"/>
      <c r="H1808" s="11" t="n"/>
      <c r="I1808" s="21">
        <f>IF(OR(H1808="",H1808=0),"",1/H1808)</f>
        <v/>
      </c>
      <c r="J1808" s="11">
        <f>IF(OR(G1808="",H1808=""),"",H1808*G1808-1)</f>
        <v/>
      </c>
      <c r="K1808" s="10">
        <f>IF(OR(G1808="",H1808="",G1808&lt;=1),"",IF(J1808&lt;IF(D1808="Builder",MinEdgeBuilder,IF(D1808="Player",MinEdgePlayer,MinEdgeSingle)),0,ROUND(MIN(IF(D1808="Single",KellySingle,KellyBuilder)*(StartBank+SUM(P$1:P1807))*J1808/(G1808-1),IF(D1808="Builder",CapBuilder,CapSingle)*Unit),2)))</f>
        <v/>
      </c>
      <c r="L1808" s="10" t="n"/>
      <c r="N1808" s="10" t="n"/>
      <c r="O1808" s="10">
        <f>IF(L1808="","",IF(M1808="Won",L1808*G1808,IF(M1808="Void",L1808,IF(M1808="Cash out",N(N1808),IF(M1808="Lost",0,"")))))</f>
        <v/>
      </c>
      <c r="P1808" s="10">
        <f>IF(OR(L1808="",M1808="",M1808="Pending"),"",O1808-L1808)</f>
        <v/>
      </c>
      <c r="Q1808" s="21" t="n"/>
      <c r="R1808" s="11">
        <f>IF(OR(G1808="",Q1808=""),"",G1808/Q1808-1)</f>
        <v/>
      </c>
      <c r="S1808" s="10">
        <f>IF(OR(L1808="",J1808=""),"",L1808*J1808)</f>
        <v/>
      </c>
      <c r="T1808" s="10">
        <f>IF(P1808="","",StartBank+SUM(P$2:P1808))</f>
        <v/>
      </c>
    </row>
    <row r="1809">
      <c r="A1809" s="22" t="n"/>
      <c r="G1809" s="21" t="n"/>
      <c r="H1809" s="11" t="n"/>
      <c r="I1809" s="21">
        <f>IF(OR(H1809="",H1809=0),"",1/H1809)</f>
        <v/>
      </c>
      <c r="J1809" s="11">
        <f>IF(OR(G1809="",H1809=""),"",H1809*G1809-1)</f>
        <v/>
      </c>
      <c r="K1809" s="10">
        <f>IF(OR(G1809="",H1809="",G1809&lt;=1),"",IF(J1809&lt;IF(D1809="Builder",MinEdgeBuilder,IF(D1809="Player",MinEdgePlayer,MinEdgeSingle)),0,ROUND(MIN(IF(D1809="Single",KellySingle,KellyBuilder)*(StartBank+SUM(P$1:P1808))*J1809/(G1809-1),IF(D1809="Builder",CapBuilder,CapSingle)*Unit),2)))</f>
        <v/>
      </c>
      <c r="L1809" s="10" t="n"/>
      <c r="N1809" s="10" t="n"/>
      <c r="O1809" s="10">
        <f>IF(L1809="","",IF(M1809="Won",L1809*G1809,IF(M1809="Void",L1809,IF(M1809="Cash out",N(N1809),IF(M1809="Lost",0,"")))))</f>
        <v/>
      </c>
      <c r="P1809" s="10">
        <f>IF(OR(L1809="",M1809="",M1809="Pending"),"",O1809-L1809)</f>
        <v/>
      </c>
      <c r="Q1809" s="21" t="n"/>
      <c r="R1809" s="11">
        <f>IF(OR(G1809="",Q1809=""),"",G1809/Q1809-1)</f>
        <v/>
      </c>
      <c r="S1809" s="10">
        <f>IF(OR(L1809="",J1809=""),"",L1809*J1809)</f>
        <v/>
      </c>
      <c r="T1809" s="10">
        <f>IF(P1809="","",StartBank+SUM(P$2:P1809))</f>
        <v/>
      </c>
    </row>
    <row r="1810">
      <c r="A1810" s="22" t="n"/>
      <c r="G1810" s="21" t="n"/>
      <c r="H1810" s="11" t="n"/>
      <c r="I1810" s="21">
        <f>IF(OR(H1810="",H1810=0),"",1/H1810)</f>
        <v/>
      </c>
      <c r="J1810" s="11">
        <f>IF(OR(G1810="",H1810=""),"",H1810*G1810-1)</f>
        <v/>
      </c>
      <c r="K1810" s="10">
        <f>IF(OR(G1810="",H1810="",G1810&lt;=1),"",IF(J1810&lt;IF(D1810="Builder",MinEdgeBuilder,IF(D1810="Player",MinEdgePlayer,MinEdgeSingle)),0,ROUND(MIN(IF(D1810="Single",KellySingle,KellyBuilder)*(StartBank+SUM(P$1:P1809))*J1810/(G1810-1),IF(D1810="Builder",CapBuilder,CapSingle)*Unit),2)))</f>
        <v/>
      </c>
      <c r="L1810" s="10" t="n"/>
      <c r="N1810" s="10" t="n"/>
      <c r="O1810" s="10">
        <f>IF(L1810="","",IF(M1810="Won",L1810*G1810,IF(M1810="Void",L1810,IF(M1810="Cash out",N(N1810),IF(M1810="Lost",0,"")))))</f>
        <v/>
      </c>
      <c r="P1810" s="10">
        <f>IF(OR(L1810="",M1810="",M1810="Pending"),"",O1810-L1810)</f>
        <v/>
      </c>
      <c r="Q1810" s="21" t="n"/>
      <c r="R1810" s="11">
        <f>IF(OR(G1810="",Q1810=""),"",G1810/Q1810-1)</f>
        <v/>
      </c>
      <c r="S1810" s="10">
        <f>IF(OR(L1810="",J1810=""),"",L1810*J1810)</f>
        <v/>
      </c>
      <c r="T1810" s="10">
        <f>IF(P1810="","",StartBank+SUM(P$2:P1810))</f>
        <v/>
      </c>
    </row>
    <row r="1811">
      <c r="A1811" s="22" t="n"/>
      <c r="G1811" s="21" t="n"/>
      <c r="H1811" s="11" t="n"/>
      <c r="I1811" s="21">
        <f>IF(OR(H1811="",H1811=0),"",1/H1811)</f>
        <v/>
      </c>
      <c r="J1811" s="11">
        <f>IF(OR(G1811="",H1811=""),"",H1811*G1811-1)</f>
        <v/>
      </c>
      <c r="K1811" s="10">
        <f>IF(OR(G1811="",H1811="",G1811&lt;=1),"",IF(J1811&lt;IF(D1811="Builder",MinEdgeBuilder,IF(D1811="Player",MinEdgePlayer,MinEdgeSingle)),0,ROUND(MIN(IF(D1811="Single",KellySingle,KellyBuilder)*(StartBank+SUM(P$1:P1810))*J1811/(G1811-1),IF(D1811="Builder",CapBuilder,CapSingle)*Unit),2)))</f>
        <v/>
      </c>
      <c r="L1811" s="10" t="n"/>
      <c r="N1811" s="10" t="n"/>
      <c r="O1811" s="10">
        <f>IF(L1811="","",IF(M1811="Won",L1811*G1811,IF(M1811="Void",L1811,IF(M1811="Cash out",N(N1811),IF(M1811="Lost",0,"")))))</f>
        <v/>
      </c>
      <c r="P1811" s="10">
        <f>IF(OR(L1811="",M1811="",M1811="Pending"),"",O1811-L1811)</f>
        <v/>
      </c>
      <c r="Q1811" s="21" t="n"/>
      <c r="R1811" s="11">
        <f>IF(OR(G1811="",Q1811=""),"",G1811/Q1811-1)</f>
        <v/>
      </c>
      <c r="S1811" s="10">
        <f>IF(OR(L1811="",J1811=""),"",L1811*J1811)</f>
        <v/>
      </c>
      <c r="T1811" s="10">
        <f>IF(P1811="","",StartBank+SUM(P$2:P1811))</f>
        <v/>
      </c>
    </row>
    <row r="1812">
      <c r="A1812" s="22" t="n"/>
      <c r="G1812" s="21" t="n"/>
      <c r="H1812" s="11" t="n"/>
      <c r="I1812" s="21">
        <f>IF(OR(H1812="",H1812=0),"",1/H1812)</f>
        <v/>
      </c>
      <c r="J1812" s="11">
        <f>IF(OR(G1812="",H1812=""),"",H1812*G1812-1)</f>
        <v/>
      </c>
      <c r="K1812" s="10">
        <f>IF(OR(G1812="",H1812="",G1812&lt;=1),"",IF(J1812&lt;IF(D1812="Builder",MinEdgeBuilder,IF(D1812="Player",MinEdgePlayer,MinEdgeSingle)),0,ROUND(MIN(IF(D1812="Single",KellySingle,KellyBuilder)*(StartBank+SUM(P$1:P1811))*J1812/(G1812-1),IF(D1812="Builder",CapBuilder,CapSingle)*Unit),2)))</f>
        <v/>
      </c>
      <c r="L1812" s="10" t="n"/>
      <c r="N1812" s="10" t="n"/>
      <c r="O1812" s="10">
        <f>IF(L1812="","",IF(M1812="Won",L1812*G1812,IF(M1812="Void",L1812,IF(M1812="Cash out",N(N1812),IF(M1812="Lost",0,"")))))</f>
        <v/>
      </c>
      <c r="P1812" s="10">
        <f>IF(OR(L1812="",M1812="",M1812="Pending"),"",O1812-L1812)</f>
        <v/>
      </c>
      <c r="Q1812" s="21" t="n"/>
      <c r="R1812" s="11">
        <f>IF(OR(G1812="",Q1812=""),"",G1812/Q1812-1)</f>
        <v/>
      </c>
      <c r="S1812" s="10">
        <f>IF(OR(L1812="",J1812=""),"",L1812*J1812)</f>
        <v/>
      </c>
      <c r="T1812" s="10">
        <f>IF(P1812="","",StartBank+SUM(P$2:P1812))</f>
        <v/>
      </c>
    </row>
    <row r="1813">
      <c r="A1813" s="22" t="n"/>
      <c r="G1813" s="21" t="n"/>
      <c r="H1813" s="11" t="n"/>
      <c r="I1813" s="21">
        <f>IF(OR(H1813="",H1813=0),"",1/H1813)</f>
        <v/>
      </c>
      <c r="J1813" s="11">
        <f>IF(OR(G1813="",H1813=""),"",H1813*G1813-1)</f>
        <v/>
      </c>
      <c r="K1813" s="10">
        <f>IF(OR(G1813="",H1813="",G1813&lt;=1),"",IF(J1813&lt;IF(D1813="Builder",MinEdgeBuilder,IF(D1813="Player",MinEdgePlayer,MinEdgeSingle)),0,ROUND(MIN(IF(D1813="Single",KellySingle,KellyBuilder)*(StartBank+SUM(P$1:P1812))*J1813/(G1813-1),IF(D1813="Builder",CapBuilder,CapSingle)*Unit),2)))</f>
        <v/>
      </c>
      <c r="L1813" s="10" t="n"/>
      <c r="N1813" s="10" t="n"/>
      <c r="O1813" s="10">
        <f>IF(L1813="","",IF(M1813="Won",L1813*G1813,IF(M1813="Void",L1813,IF(M1813="Cash out",N(N1813),IF(M1813="Lost",0,"")))))</f>
        <v/>
      </c>
      <c r="P1813" s="10">
        <f>IF(OR(L1813="",M1813="",M1813="Pending"),"",O1813-L1813)</f>
        <v/>
      </c>
      <c r="Q1813" s="21" t="n"/>
      <c r="R1813" s="11">
        <f>IF(OR(G1813="",Q1813=""),"",G1813/Q1813-1)</f>
        <v/>
      </c>
      <c r="S1813" s="10">
        <f>IF(OR(L1813="",J1813=""),"",L1813*J1813)</f>
        <v/>
      </c>
      <c r="T1813" s="10">
        <f>IF(P1813="","",StartBank+SUM(P$2:P1813))</f>
        <v/>
      </c>
    </row>
    <row r="1814">
      <c r="A1814" s="22" t="n"/>
      <c r="G1814" s="21" t="n"/>
      <c r="H1814" s="11" t="n"/>
      <c r="I1814" s="21">
        <f>IF(OR(H1814="",H1814=0),"",1/H1814)</f>
        <v/>
      </c>
      <c r="J1814" s="11">
        <f>IF(OR(G1814="",H1814=""),"",H1814*G1814-1)</f>
        <v/>
      </c>
      <c r="K1814" s="10">
        <f>IF(OR(G1814="",H1814="",G1814&lt;=1),"",IF(J1814&lt;IF(D1814="Builder",MinEdgeBuilder,IF(D1814="Player",MinEdgePlayer,MinEdgeSingle)),0,ROUND(MIN(IF(D1814="Single",KellySingle,KellyBuilder)*(StartBank+SUM(P$1:P1813))*J1814/(G1814-1),IF(D1814="Builder",CapBuilder,CapSingle)*Unit),2)))</f>
        <v/>
      </c>
      <c r="L1814" s="10" t="n"/>
      <c r="N1814" s="10" t="n"/>
      <c r="O1814" s="10">
        <f>IF(L1814="","",IF(M1814="Won",L1814*G1814,IF(M1814="Void",L1814,IF(M1814="Cash out",N(N1814),IF(M1814="Lost",0,"")))))</f>
        <v/>
      </c>
      <c r="P1814" s="10">
        <f>IF(OR(L1814="",M1814="",M1814="Pending"),"",O1814-L1814)</f>
        <v/>
      </c>
      <c r="Q1814" s="21" t="n"/>
      <c r="R1814" s="11">
        <f>IF(OR(G1814="",Q1814=""),"",G1814/Q1814-1)</f>
        <v/>
      </c>
      <c r="S1814" s="10">
        <f>IF(OR(L1814="",J1814=""),"",L1814*J1814)</f>
        <v/>
      </c>
      <c r="T1814" s="10">
        <f>IF(P1814="","",StartBank+SUM(P$2:P1814))</f>
        <v/>
      </c>
    </row>
    <row r="1815">
      <c r="A1815" s="22" t="n"/>
      <c r="G1815" s="21" t="n"/>
      <c r="H1815" s="11" t="n"/>
      <c r="I1815" s="21">
        <f>IF(OR(H1815="",H1815=0),"",1/H1815)</f>
        <v/>
      </c>
      <c r="J1815" s="11">
        <f>IF(OR(G1815="",H1815=""),"",H1815*G1815-1)</f>
        <v/>
      </c>
      <c r="K1815" s="10">
        <f>IF(OR(G1815="",H1815="",G1815&lt;=1),"",IF(J1815&lt;IF(D1815="Builder",MinEdgeBuilder,IF(D1815="Player",MinEdgePlayer,MinEdgeSingle)),0,ROUND(MIN(IF(D1815="Single",KellySingle,KellyBuilder)*(StartBank+SUM(P$1:P1814))*J1815/(G1815-1),IF(D1815="Builder",CapBuilder,CapSingle)*Unit),2)))</f>
        <v/>
      </c>
      <c r="L1815" s="10" t="n"/>
      <c r="N1815" s="10" t="n"/>
      <c r="O1815" s="10">
        <f>IF(L1815="","",IF(M1815="Won",L1815*G1815,IF(M1815="Void",L1815,IF(M1815="Cash out",N(N1815),IF(M1815="Lost",0,"")))))</f>
        <v/>
      </c>
      <c r="P1815" s="10">
        <f>IF(OR(L1815="",M1815="",M1815="Pending"),"",O1815-L1815)</f>
        <v/>
      </c>
      <c r="Q1815" s="21" t="n"/>
      <c r="R1815" s="11">
        <f>IF(OR(G1815="",Q1815=""),"",G1815/Q1815-1)</f>
        <v/>
      </c>
      <c r="S1815" s="10">
        <f>IF(OR(L1815="",J1815=""),"",L1815*J1815)</f>
        <v/>
      </c>
      <c r="T1815" s="10">
        <f>IF(P1815="","",StartBank+SUM(P$2:P1815))</f>
        <v/>
      </c>
    </row>
    <row r="1816">
      <c r="A1816" s="22" t="n"/>
      <c r="G1816" s="21" t="n"/>
      <c r="H1816" s="11" t="n"/>
      <c r="I1816" s="21">
        <f>IF(OR(H1816="",H1816=0),"",1/H1816)</f>
        <v/>
      </c>
      <c r="J1816" s="11">
        <f>IF(OR(G1816="",H1816=""),"",H1816*G1816-1)</f>
        <v/>
      </c>
      <c r="K1816" s="10">
        <f>IF(OR(G1816="",H1816="",G1816&lt;=1),"",IF(J1816&lt;IF(D1816="Builder",MinEdgeBuilder,IF(D1816="Player",MinEdgePlayer,MinEdgeSingle)),0,ROUND(MIN(IF(D1816="Single",KellySingle,KellyBuilder)*(StartBank+SUM(P$1:P1815))*J1816/(G1816-1),IF(D1816="Builder",CapBuilder,CapSingle)*Unit),2)))</f>
        <v/>
      </c>
      <c r="L1816" s="10" t="n"/>
      <c r="N1816" s="10" t="n"/>
      <c r="O1816" s="10">
        <f>IF(L1816="","",IF(M1816="Won",L1816*G1816,IF(M1816="Void",L1816,IF(M1816="Cash out",N(N1816),IF(M1816="Lost",0,"")))))</f>
        <v/>
      </c>
      <c r="P1816" s="10">
        <f>IF(OR(L1816="",M1816="",M1816="Pending"),"",O1816-L1816)</f>
        <v/>
      </c>
      <c r="Q1816" s="21" t="n"/>
      <c r="R1816" s="11">
        <f>IF(OR(G1816="",Q1816=""),"",G1816/Q1816-1)</f>
        <v/>
      </c>
      <c r="S1816" s="10">
        <f>IF(OR(L1816="",J1816=""),"",L1816*J1816)</f>
        <v/>
      </c>
      <c r="T1816" s="10">
        <f>IF(P1816="","",StartBank+SUM(P$2:P1816))</f>
        <v/>
      </c>
    </row>
    <row r="1817">
      <c r="A1817" s="22" t="n"/>
      <c r="G1817" s="21" t="n"/>
      <c r="H1817" s="11" t="n"/>
      <c r="I1817" s="21">
        <f>IF(OR(H1817="",H1817=0),"",1/H1817)</f>
        <v/>
      </c>
      <c r="J1817" s="11">
        <f>IF(OR(G1817="",H1817=""),"",H1817*G1817-1)</f>
        <v/>
      </c>
      <c r="K1817" s="10">
        <f>IF(OR(G1817="",H1817="",G1817&lt;=1),"",IF(J1817&lt;IF(D1817="Builder",MinEdgeBuilder,IF(D1817="Player",MinEdgePlayer,MinEdgeSingle)),0,ROUND(MIN(IF(D1817="Single",KellySingle,KellyBuilder)*(StartBank+SUM(P$1:P1816))*J1817/(G1817-1),IF(D1817="Builder",CapBuilder,CapSingle)*Unit),2)))</f>
        <v/>
      </c>
      <c r="L1817" s="10" t="n"/>
      <c r="N1817" s="10" t="n"/>
      <c r="O1817" s="10">
        <f>IF(L1817="","",IF(M1817="Won",L1817*G1817,IF(M1817="Void",L1817,IF(M1817="Cash out",N(N1817),IF(M1817="Lost",0,"")))))</f>
        <v/>
      </c>
      <c r="P1817" s="10">
        <f>IF(OR(L1817="",M1817="",M1817="Pending"),"",O1817-L1817)</f>
        <v/>
      </c>
      <c r="Q1817" s="21" t="n"/>
      <c r="R1817" s="11">
        <f>IF(OR(G1817="",Q1817=""),"",G1817/Q1817-1)</f>
        <v/>
      </c>
      <c r="S1817" s="10">
        <f>IF(OR(L1817="",J1817=""),"",L1817*J1817)</f>
        <v/>
      </c>
      <c r="T1817" s="10">
        <f>IF(P1817="","",StartBank+SUM(P$2:P1817))</f>
        <v/>
      </c>
    </row>
    <row r="1818">
      <c r="A1818" s="22" t="n"/>
      <c r="G1818" s="21" t="n"/>
      <c r="H1818" s="11" t="n"/>
      <c r="I1818" s="21">
        <f>IF(OR(H1818="",H1818=0),"",1/H1818)</f>
        <v/>
      </c>
      <c r="J1818" s="11">
        <f>IF(OR(G1818="",H1818=""),"",H1818*G1818-1)</f>
        <v/>
      </c>
      <c r="K1818" s="10">
        <f>IF(OR(G1818="",H1818="",G1818&lt;=1),"",IF(J1818&lt;IF(D1818="Builder",MinEdgeBuilder,IF(D1818="Player",MinEdgePlayer,MinEdgeSingle)),0,ROUND(MIN(IF(D1818="Single",KellySingle,KellyBuilder)*(StartBank+SUM(P$1:P1817))*J1818/(G1818-1),IF(D1818="Builder",CapBuilder,CapSingle)*Unit),2)))</f>
        <v/>
      </c>
      <c r="L1818" s="10" t="n"/>
      <c r="N1818" s="10" t="n"/>
      <c r="O1818" s="10">
        <f>IF(L1818="","",IF(M1818="Won",L1818*G1818,IF(M1818="Void",L1818,IF(M1818="Cash out",N(N1818),IF(M1818="Lost",0,"")))))</f>
        <v/>
      </c>
      <c r="P1818" s="10">
        <f>IF(OR(L1818="",M1818="",M1818="Pending"),"",O1818-L1818)</f>
        <v/>
      </c>
      <c r="Q1818" s="21" t="n"/>
      <c r="R1818" s="11">
        <f>IF(OR(G1818="",Q1818=""),"",G1818/Q1818-1)</f>
        <v/>
      </c>
      <c r="S1818" s="10">
        <f>IF(OR(L1818="",J1818=""),"",L1818*J1818)</f>
        <v/>
      </c>
      <c r="T1818" s="10">
        <f>IF(P1818="","",StartBank+SUM(P$2:P1818))</f>
        <v/>
      </c>
    </row>
    <row r="1819">
      <c r="A1819" s="22" t="n"/>
      <c r="G1819" s="21" t="n"/>
      <c r="H1819" s="11" t="n"/>
      <c r="I1819" s="21">
        <f>IF(OR(H1819="",H1819=0),"",1/H1819)</f>
        <v/>
      </c>
      <c r="J1819" s="11">
        <f>IF(OR(G1819="",H1819=""),"",H1819*G1819-1)</f>
        <v/>
      </c>
      <c r="K1819" s="10">
        <f>IF(OR(G1819="",H1819="",G1819&lt;=1),"",IF(J1819&lt;IF(D1819="Builder",MinEdgeBuilder,IF(D1819="Player",MinEdgePlayer,MinEdgeSingle)),0,ROUND(MIN(IF(D1819="Single",KellySingle,KellyBuilder)*(StartBank+SUM(P$1:P1818))*J1819/(G1819-1),IF(D1819="Builder",CapBuilder,CapSingle)*Unit),2)))</f>
        <v/>
      </c>
      <c r="L1819" s="10" t="n"/>
      <c r="N1819" s="10" t="n"/>
      <c r="O1819" s="10">
        <f>IF(L1819="","",IF(M1819="Won",L1819*G1819,IF(M1819="Void",L1819,IF(M1819="Cash out",N(N1819),IF(M1819="Lost",0,"")))))</f>
        <v/>
      </c>
      <c r="P1819" s="10">
        <f>IF(OR(L1819="",M1819="",M1819="Pending"),"",O1819-L1819)</f>
        <v/>
      </c>
      <c r="Q1819" s="21" t="n"/>
      <c r="R1819" s="11">
        <f>IF(OR(G1819="",Q1819=""),"",G1819/Q1819-1)</f>
        <v/>
      </c>
      <c r="S1819" s="10">
        <f>IF(OR(L1819="",J1819=""),"",L1819*J1819)</f>
        <v/>
      </c>
      <c r="T1819" s="10">
        <f>IF(P1819="","",StartBank+SUM(P$2:P1819))</f>
        <v/>
      </c>
    </row>
    <row r="1820">
      <c r="A1820" s="22" t="n"/>
      <c r="G1820" s="21" t="n"/>
      <c r="H1820" s="11" t="n"/>
      <c r="I1820" s="21">
        <f>IF(OR(H1820="",H1820=0),"",1/H1820)</f>
        <v/>
      </c>
      <c r="J1820" s="11">
        <f>IF(OR(G1820="",H1820=""),"",H1820*G1820-1)</f>
        <v/>
      </c>
      <c r="K1820" s="10">
        <f>IF(OR(G1820="",H1820="",G1820&lt;=1),"",IF(J1820&lt;IF(D1820="Builder",MinEdgeBuilder,IF(D1820="Player",MinEdgePlayer,MinEdgeSingle)),0,ROUND(MIN(IF(D1820="Single",KellySingle,KellyBuilder)*(StartBank+SUM(P$1:P1819))*J1820/(G1820-1),IF(D1820="Builder",CapBuilder,CapSingle)*Unit),2)))</f>
        <v/>
      </c>
      <c r="L1820" s="10" t="n"/>
      <c r="N1820" s="10" t="n"/>
      <c r="O1820" s="10">
        <f>IF(L1820="","",IF(M1820="Won",L1820*G1820,IF(M1820="Void",L1820,IF(M1820="Cash out",N(N1820),IF(M1820="Lost",0,"")))))</f>
        <v/>
      </c>
      <c r="P1820" s="10">
        <f>IF(OR(L1820="",M1820="",M1820="Pending"),"",O1820-L1820)</f>
        <v/>
      </c>
      <c r="Q1820" s="21" t="n"/>
      <c r="R1820" s="11">
        <f>IF(OR(G1820="",Q1820=""),"",G1820/Q1820-1)</f>
        <v/>
      </c>
      <c r="S1820" s="10">
        <f>IF(OR(L1820="",J1820=""),"",L1820*J1820)</f>
        <v/>
      </c>
      <c r="T1820" s="10">
        <f>IF(P1820="","",StartBank+SUM(P$2:P1820))</f>
        <v/>
      </c>
    </row>
    <row r="1821">
      <c r="A1821" s="22" t="n"/>
      <c r="G1821" s="21" t="n"/>
      <c r="H1821" s="11" t="n"/>
      <c r="I1821" s="21">
        <f>IF(OR(H1821="",H1821=0),"",1/H1821)</f>
        <v/>
      </c>
      <c r="J1821" s="11">
        <f>IF(OR(G1821="",H1821=""),"",H1821*G1821-1)</f>
        <v/>
      </c>
      <c r="K1821" s="10">
        <f>IF(OR(G1821="",H1821="",G1821&lt;=1),"",IF(J1821&lt;IF(D1821="Builder",MinEdgeBuilder,IF(D1821="Player",MinEdgePlayer,MinEdgeSingle)),0,ROUND(MIN(IF(D1821="Single",KellySingle,KellyBuilder)*(StartBank+SUM(P$1:P1820))*J1821/(G1821-1),IF(D1821="Builder",CapBuilder,CapSingle)*Unit),2)))</f>
        <v/>
      </c>
      <c r="L1821" s="10" t="n"/>
      <c r="N1821" s="10" t="n"/>
      <c r="O1821" s="10">
        <f>IF(L1821="","",IF(M1821="Won",L1821*G1821,IF(M1821="Void",L1821,IF(M1821="Cash out",N(N1821),IF(M1821="Lost",0,"")))))</f>
        <v/>
      </c>
      <c r="P1821" s="10">
        <f>IF(OR(L1821="",M1821="",M1821="Pending"),"",O1821-L1821)</f>
        <v/>
      </c>
      <c r="Q1821" s="21" t="n"/>
      <c r="R1821" s="11">
        <f>IF(OR(G1821="",Q1821=""),"",G1821/Q1821-1)</f>
        <v/>
      </c>
      <c r="S1821" s="10">
        <f>IF(OR(L1821="",J1821=""),"",L1821*J1821)</f>
        <v/>
      </c>
      <c r="T1821" s="10">
        <f>IF(P1821="","",StartBank+SUM(P$2:P1821))</f>
        <v/>
      </c>
    </row>
    <row r="1822">
      <c r="A1822" s="22" t="n"/>
      <c r="G1822" s="21" t="n"/>
      <c r="H1822" s="11" t="n"/>
      <c r="I1822" s="21">
        <f>IF(OR(H1822="",H1822=0),"",1/H1822)</f>
        <v/>
      </c>
      <c r="J1822" s="11">
        <f>IF(OR(G1822="",H1822=""),"",H1822*G1822-1)</f>
        <v/>
      </c>
      <c r="K1822" s="10">
        <f>IF(OR(G1822="",H1822="",G1822&lt;=1),"",IF(J1822&lt;IF(D1822="Builder",MinEdgeBuilder,IF(D1822="Player",MinEdgePlayer,MinEdgeSingle)),0,ROUND(MIN(IF(D1822="Single",KellySingle,KellyBuilder)*(StartBank+SUM(P$1:P1821))*J1822/(G1822-1),IF(D1822="Builder",CapBuilder,CapSingle)*Unit),2)))</f>
        <v/>
      </c>
      <c r="L1822" s="10" t="n"/>
      <c r="N1822" s="10" t="n"/>
      <c r="O1822" s="10">
        <f>IF(L1822="","",IF(M1822="Won",L1822*G1822,IF(M1822="Void",L1822,IF(M1822="Cash out",N(N1822),IF(M1822="Lost",0,"")))))</f>
        <v/>
      </c>
      <c r="P1822" s="10">
        <f>IF(OR(L1822="",M1822="",M1822="Pending"),"",O1822-L1822)</f>
        <v/>
      </c>
      <c r="Q1822" s="21" t="n"/>
      <c r="R1822" s="11">
        <f>IF(OR(G1822="",Q1822=""),"",G1822/Q1822-1)</f>
        <v/>
      </c>
      <c r="S1822" s="10">
        <f>IF(OR(L1822="",J1822=""),"",L1822*J1822)</f>
        <v/>
      </c>
      <c r="T1822" s="10">
        <f>IF(P1822="","",StartBank+SUM(P$2:P1822))</f>
        <v/>
      </c>
    </row>
    <row r="1823">
      <c r="A1823" s="22" t="n"/>
      <c r="G1823" s="21" t="n"/>
      <c r="H1823" s="11" t="n"/>
      <c r="I1823" s="21">
        <f>IF(OR(H1823="",H1823=0),"",1/H1823)</f>
        <v/>
      </c>
      <c r="J1823" s="11">
        <f>IF(OR(G1823="",H1823=""),"",H1823*G1823-1)</f>
        <v/>
      </c>
      <c r="K1823" s="10">
        <f>IF(OR(G1823="",H1823="",G1823&lt;=1),"",IF(J1823&lt;IF(D1823="Builder",MinEdgeBuilder,IF(D1823="Player",MinEdgePlayer,MinEdgeSingle)),0,ROUND(MIN(IF(D1823="Single",KellySingle,KellyBuilder)*(StartBank+SUM(P$1:P1822))*J1823/(G1823-1),IF(D1823="Builder",CapBuilder,CapSingle)*Unit),2)))</f>
        <v/>
      </c>
      <c r="L1823" s="10" t="n"/>
      <c r="N1823" s="10" t="n"/>
      <c r="O1823" s="10">
        <f>IF(L1823="","",IF(M1823="Won",L1823*G1823,IF(M1823="Void",L1823,IF(M1823="Cash out",N(N1823),IF(M1823="Lost",0,"")))))</f>
        <v/>
      </c>
      <c r="P1823" s="10">
        <f>IF(OR(L1823="",M1823="",M1823="Pending"),"",O1823-L1823)</f>
        <v/>
      </c>
      <c r="Q1823" s="21" t="n"/>
      <c r="R1823" s="11">
        <f>IF(OR(G1823="",Q1823=""),"",G1823/Q1823-1)</f>
        <v/>
      </c>
      <c r="S1823" s="10">
        <f>IF(OR(L1823="",J1823=""),"",L1823*J1823)</f>
        <v/>
      </c>
      <c r="T1823" s="10">
        <f>IF(P1823="","",StartBank+SUM(P$2:P1823))</f>
        <v/>
      </c>
    </row>
    <row r="1824">
      <c r="A1824" s="22" t="n"/>
      <c r="G1824" s="21" t="n"/>
      <c r="H1824" s="11" t="n"/>
      <c r="I1824" s="21">
        <f>IF(OR(H1824="",H1824=0),"",1/H1824)</f>
        <v/>
      </c>
      <c r="J1824" s="11">
        <f>IF(OR(G1824="",H1824=""),"",H1824*G1824-1)</f>
        <v/>
      </c>
      <c r="K1824" s="10">
        <f>IF(OR(G1824="",H1824="",G1824&lt;=1),"",IF(J1824&lt;IF(D1824="Builder",MinEdgeBuilder,IF(D1824="Player",MinEdgePlayer,MinEdgeSingle)),0,ROUND(MIN(IF(D1824="Single",KellySingle,KellyBuilder)*(StartBank+SUM(P$1:P1823))*J1824/(G1824-1),IF(D1824="Builder",CapBuilder,CapSingle)*Unit),2)))</f>
        <v/>
      </c>
      <c r="L1824" s="10" t="n"/>
      <c r="N1824" s="10" t="n"/>
      <c r="O1824" s="10">
        <f>IF(L1824="","",IF(M1824="Won",L1824*G1824,IF(M1824="Void",L1824,IF(M1824="Cash out",N(N1824),IF(M1824="Lost",0,"")))))</f>
        <v/>
      </c>
      <c r="P1824" s="10">
        <f>IF(OR(L1824="",M1824="",M1824="Pending"),"",O1824-L1824)</f>
        <v/>
      </c>
      <c r="Q1824" s="21" t="n"/>
      <c r="R1824" s="11">
        <f>IF(OR(G1824="",Q1824=""),"",G1824/Q1824-1)</f>
        <v/>
      </c>
      <c r="S1824" s="10">
        <f>IF(OR(L1824="",J1824=""),"",L1824*J1824)</f>
        <v/>
      </c>
      <c r="T1824" s="10">
        <f>IF(P1824="","",StartBank+SUM(P$2:P1824))</f>
        <v/>
      </c>
    </row>
    <row r="1825">
      <c r="A1825" s="22" t="n"/>
      <c r="G1825" s="21" t="n"/>
      <c r="H1825" s="11" t="n"/>
      <c r="I1825" s="21">
        <f>IF(OR(H1825="",H1825=0),"",1/H1825)</f>
        <v/>
      </c>
      <c r="J1825" s="11">
        <f>IF(OR(G1825="",H1825=""),"",H1825*G1825-1)</f>
        <v/>
      </c>
      <c r="K1825" s="10">
        <f>IF(OR(G1825="",H1825="",G1825&lt;=1),"",IF(J1825&lt;IF(D1825="Builder",MinEdgeBuilder,IF(D1825="Player",MinEdgePlayer,MinEdgeSingle)),0,ROUND(MIN(IF(D1825="Single",KellySingle,KellyBuilder)*(StartBank+SUM(P$1:P1824))*J1825/(G1825-1),IF(D1825="Builder",CapBuilder,CapSingle)*Unit),2)))</f>
        <v/>
      </c>
      <c r="L1825" s="10" t="n"/>
      <c r="N1825" s="10" t="n"/>
      <c r="O1825" s="10">
        <f>IF(L1825="","",IF(M1825="Won",L1825*G1825,IF(M1825="Void",L1825,IF(M1825="Cash out",N(N1825),IF(M1825="Lost",0,"")))))</f>
        <v/>
      </c>
      <c r="P1825" s="10">
        <f>IF(OR(L1825="",M1825="",M1825="Pending"),"",O1825-L1825)</f>
        <v/>
      </c>
      <c r="Q1825" s="21" t="n"/>
      <c r="R1825" s="11">
        <f>IF(OR(G1825="",Q1825=""),"",G1825/Q1825-1)</f>
        <v/>
      </c>
      <c r="S1825" s="10">
        <f>IF(OR(L1825="",J1825=""),"",L1825*J1825)</f>
        <v/>
      </c>
      <c r="T1825" s="10">
        <f>IF(P1825="","",StartBank+SUM(P$2:P1825))</f>
        <v/>
      </c>
    </row>
    <row r="1826">
      <c r="A1826" s="22" t="n"/>
      <c r="G1826" s="21" t="n"/>
      <c r="H1826" s="11" t="n"/>
      <c r="I1826" s="21">
        <f>IF(OR(H1826="",H1826=0),"",1/H1826)</f>
        <v/>
      </c>
      <c r="J1826" s="11">
        <f>IF(OR(G1826="",H1826=""),"",H1826*G1826-1)</f>
        <v/>
      </c>
      <c r="K1826" s="10">
        <f>IF(OR(G1826="",H1826="",G1826&lt;=1),"",IF(J1826&lt;IF(D1826="Builder",MinEdgeBuilder,IF(D1826="Player",MinEdgePlayer,MinEdgeSingle)),0,ROUND(MIN(IF(D1826="Single",KellySingle,KellyBuilder)*(StartBank+SUM(P$1:P1825))*J1826/(G1826-1),IF(D1826="Builder",CapBuilder,CapSingle)*Unit),2)))</f>
        <v/>
      </c>
      <c r="L1826" s="10" t="n"/>
      <c r="N1826" s="10" t="n"/>
      <c r="O1826" s="10">
        <f>IF(L1826="","",IF(M1826="Won",L1826*G1826,IF(M1826="Void",L1826,IF(M1826="Cash out",N(N1826),IF(M1826="Lost",0,"")))))</f>
        <v/>
      </c>
      <c r="P1826" s="10">
        <f>IF(OR(L1826="",M1826="",M1826="Pending"),"",O1826-L1826)</f>
        <v/>
      </c>
      <c r="Q1826" s="21" t="n"/>
      <c r="R1826" s="11">
        <f>IF(OR(G1826="",Q1826=""),"",G1826/Q1826-1)</f>
        <v/>
      </c>
      <c r="S1826" s="10">
        <f>IF(OR(L1826="",J1826=""),"",L1826*J1826)</f>
        <v/>
      </c>
      <c r="T1826" s="10">
        <f>IF(P1826="","",StartBank+SUM(P$2:P1826))</f>
        <v/>
      </c>
    </row>
    <row r="1827">
      <c r="A1827" s="22" t="n"/>
      <c r="G1827" s="21" t="n"/>
      <c r="H1827" s="11" t="n"/>
      <c r="I1827" s="21">
        <f>IF(OR(H1827="",H1827=0),"",1/H1827)</f>
        <v/>
      </c>
      <c r="J1827" s="11">
        <f>IF(OR(G1827="",H1827=""),"",H1827*G1827-1)</f>
        <v/>
      </c>
      <c r="K1827" s="10">
        <f>IF(OR(G1827="",H1827="",G1827&lt;=1),"",IF(J1827&lt;IF(D1827="Builder",MinEdgeBuilder,IF(D1827="Player",MinEdgePlayer,MinEdgeSingle)),0,ROUND(MIN(IF(D1827="Single",KellySingle,KellyBuilder)*(StartBank+SUM(P$1:P1826))*J1827/(G1827-1),IF(D1827="Builder",CapBuilder,CapSingle)*Unit),2)))</f>
        <v/>
      </c>
      <c r="L1827" s="10" t="n"/>
      <c r="N1827" s="10" t="n"/>
      <c r="O1827" s="10">
        <f>IF(L1827="","",IF(M1827="Won",L1827*G1827,IF(M1827="Void",L1827,IF(M1827="Cash out",N(N1827),IF(M1827="Lost",0,"")))))</f>
        <v/>
      </c>
      <c r="P1827" s="10">
        <f>IF(OR(L1827="",M1827="",M1827="Pending"),"",O1827-L1827)</f>
        <v/>
      </c>
      <c r="Q1827" s="21" t="n"/>
      <c r="R1827" s="11">
        <f>IF(OR(G1827="",Q1827=""),"",G1827/Q1827-1)</f>
        <v/>
      </c>
      <c r="S1827" s="10">
        <f>IF(OR(L1827="",J1827=""),"",L1827*J1827)</f>
        <v/>
      </c>
      <c r="T1827" s="10">
        <f>IF(P1827="","",StartBank+SUM(P$2:P1827))</f>
        <v/>
      </c>
    </row>
    <row r="1828">
      <c r="A1828" s="22" t="n"/>
      <c r="G1828" s="21" t="n"/>
      <c r="H1828" s="11" t="n"/>
      <c r="I1828" s="21">
        <f>IF(OR(H1828="",H1828=0),"",1/H1828)</f>
        <v/>
      </c>
      <c r="J1828" s="11">
        <f>IF(OR(G1828="",H1828=""),"",H1828*G1828-1)</f>
        <v/>
      </c>
      <c r="K1828" s="10">
        <f>IF(OR(G1828="",H1828="",G1828&lt;=1),"",IF(J1828&lt;IF(D1828="Builder",MinEdgeBuilder,IF(D1828="Player",MinEdgePlayer,MinEdgeSingle)),0,ROUND(MIN(IF(D1828="Single",KellySingle,KellyBuilder)*(StartBank+SUM(P$1:P1827))*J1828/(G1828-1),IF(D1828="Builder",CapBuilder,CapSingle)*Unit),2)))</f>
        <v/>
      </c>
      <c r="L1828" s="10" t="n"/>
      <c r="N1828" s="10" t="n"/>
      <c r="O1828" s="10">
        <f>IF(L1828="","",IF(M1828="Won",L1828*G1828,IF(M1828="Void",L1828,IF(M1828="Cash out",N(N1828),IF(M1828="Lost",0,"")))))</f>
        <v/>
      </c>
      <c r="P1828" s="10">
        <f>IF(OR(L1828="",M1828="",M1828="Pending"),"",O1828-L1828)</f>
        <v/>
      </c>
      <c r="Q1828" s="21" t="n"/>
      <c r="R1828" s="11">
        <f>IF(OR(G1828="",Q1828=""),"",G1828/Q1828-1)</f>
        <v/>
      </c>
      <c r="S1828" s="10">
        <f>IF(OR(L1828="",J1828=""),"",L1828*J1828)</f>
        <v/>
      </c>
      <c r="T1828" s="10">
        <f>IF(P1828="","",StartBank+SUM(P$2:P1828))</f>
        <v/>
      </c>
    </row>
    <row r="1829">
      <c r="A1829" s="22" t="n"/>
      <c r="G1829" s="21" t="n"/>
      <c r="H1829" s="11" t="n"/>
      <c r="I1829" s="21">
        <f>IF(OR(H1829="",H1829=0),"",1/H1829)</f>
        <v/>
      </c>
      <c r="J1829" s="11">
        <f>IF(OR(G1829="",H1829=""),"",H1829*G1829-1)</f>
        <v/>
      </c>
      <c r="K1829" s="10">
        <f>IF(OR(G1829="",H1829="",G1829&lt;=1),"",IF(J1829&lt;IF(D1829="Builder",MinEdgeBuilder,IF(D1829="Player",MinEdgePlayer,MinEdgeSingle)),0,ROUND(MIN(IF(D1829="Single",KellySingle,KellyBuilder)*(StartBank+SUM(P$1:P1828))*J1829/(G1829-1),IF(D1829="Builder",CapBuilder,CapSingle)*Unit),2)))</f>
        <v/>
      </c>
      <c r="L1829" s="10" t="n"/>
      <c r="N1829" s="10" t="n"/>
      <c r="O1829" s="10">
        <f>IF(L1829="","",IF(M1829="Won",L1829*G1829,IF(M1829="Void",L1829,IF(M1829="Cash out",N(N1829),IF(M1829="Lost",0,"")))))</f>
        <v/>
      </c>
      <c r="P1829" s="10">
        <f>IF(OR(L1829="",M1829="",M1829="Pending"),"",O1829-L1829)</f>
        <v/>
      </c>
      <c r="Q1829" s="21" t="n"/>
      <c r="R1829" s="11">
        <f>IF(OR(G1829="",Q1829=""),"",G1829/Q1829-1)</f>
        <v/>
      </c>
      <c r="S1829" s="10">
        <f>IF(OR(L1829="",J1829=""),"",L1829*J1829)</f>
        <v/>
      </c>
      <c r="T1829" s="10">
        <f>IF(P1829="","",StartBank+SUM(P$2:P1829))</f>
        <v/>
      </c>
    </row>
    <row r="1830">
      <c r="A1830" s="22" t="n"/>
      <c r="G1830" s="21" t="n"/>
      <c r="H1830" s="11" t="n"/>
      <c r="I1830" s="21">
        <f>IF(OR(H1830="",H1830=0),"",1/H1830)</f>
        <v/>
      </c>
      <c r="J1830" s="11">
        <f>IF(OR(G1830="",H1830=""),"",H1830*G1830-1)</f>
        <v/>
      </c>
      <c r="K1830" s="10">
        <f>IF(OR(G1830="",H1830="",G1830&lt;=1),"",IF(J1830&lt;IF(D1830="Builder",MinEdgeBuilder,IF(D1830="Player",MinEdgePlayer,MinEdgeSingle)),0,ROUND(MIN(IF(D1830="Single",KellySingle,KellyBuilder)*(StartBank+SUM(P$1:P1829))*J1830/(G1830-1),IF(D1830="Builder",CapBuilder,CapSingle)*Unit),2)))</f>
        <v/>
      </c>
      <c r="L1830" s="10" t="n"/>
      <c r="N1830" s="10" t="n"/>
      <c r="O1830" s="10">
        <f>IF(L1830="","",IF(M1830="Won",L1830*G1830,IF(M1830="Void",L1830,IF(M1830="Cash out",N(N1830),IF(M1830="Lost",0,"")))))</f>
        <v/>
      </c>
      <c r="P1830" s="10">
        <f>IF(OR(L1830="",M1830="",M1830="Pending"),"",O1830-L1830)</f>
        <v/>
      </c>
      <c r="Q1830" s="21" t="n"/>
      <c r="R1830" s="11">
        <f>IF(OR(G1830="",Q1830=""),"",G1830/Q1830-1)</f>
        <v/>
      </c>
      <c r="S1830" s="10">
        <f>IF(OR(L1830="",J1830=""),"",L1830*J1830)</f>
        <v/>
      </c>
      <c r="T1830" s="10">
        <f>IF(P1830="","",StartBank+SUM(P$2:P1830))</f>
        <v/>
      </c>
    </row>
    <row r="1831">
      <c r="A1831" s="22" t="n"/>
      <c r="G1831" s="21" t="n"/>
      <c r="H1831" s="11" t="n"/>
      <c r="I1831" s="21">
        <f>IF(OR(H1831="",H1831=0),"",1/H1831)</f>
        <v/>
      </c>
      <c r="J1831" s="11">
        <f>IF(OR(G1831="",H1831=""),"",H1831*G1831-1)</f>
        <v/>
      </c>
      <c r="K1831" s="10">
        <f>IF(OR(G1831="",H1831="",G1831&lt;=1),"",IF(J1831&lt;IF(D1831="Builder",MinEdgeBuilder,IF(D1831="Player",MinEdgePlayer,MinEdgeSingle)),0,ROUND(MIN(IF(D1831="Single",KellySingle,KellyBuilder)*(StartBank+SUM(P$1:P1830))*J1831/(G1831-1),IF(D1831="Builder",CapBuilder,CapSingle)*Unit),2)))</f>
        <v/>
      </c>
      <c r="L1831" s="10" t="n"/>
      <c r="N1831" s="10" t="n"/>
      <c r="O1831" s="10">
        <f>IF(L1831="","",IF(M1831="Won",L1831*G1831,IF(M1831="Void",L1831,IF(M1831="Cash out",N(N1831),IF(M1831="Lost",0,"")))))</f>
        <v/>
      </c>
      <c r="P1831" s="10">
        <f>IF(OR(L1831="",M1831="",M1831="Pending"),"",O1831-L1831)</f>
        <v/>
      </c>
      <c r="Q1831" s="21" t="n"/>
      <c r="R1831" s="11">
        <f>IF(OR(G1831="",Q1831=""),"",G1831/Q1831-1)</f>
        <v/>
      </c>
      <c r="S1831" s="10">
        <f>IF(OR(L1831="",J1831=""),"",L1831*J1831)</f>
        <v/>
      </c>
      <c r="T1831" s="10">
        <f>IF(P1831="","",StartBank+SUM(P$2:P1831))</f>
        <v/>
      </c>
    </row>
    <row r="1832">
      <c r="A1832" s="22" t="n"/>
      <c r="G1832" s="21" t="n"/>
      <c r="H1832" s="11" t="n"/>
      <c r="I1832" s="21">
        <f>IF(OR(H1832="",H1832=0),"",1/H1832)</f>
        <v/>
      </c>
      <c r="J1832" s="11">
        <f>IF(OR(G1832="",H1832=""),"",H1832*G1832-1)</f>
        <v/>
      </c>
      <c r="K1832" s="10">
        <f>IF(OR(G1832="",H1832="",G1832&lt;=1),"",IF(J1832&lt;IF(D1832="Builder",MinEdgeBuilder,IF(D1832="Player",MinEdgePlayer,MinEdgeSingle)),0,ROUND(MIN(IF(D1832="Single",KellySingle,KellyBuilder)*(StartBank+SUM(P$1:P1831))*J1832/(G1832-1),IF(D1832="Builder",CapBuilder,CapSingle)*Unit),2)))</f>
        <v/>
      </c>
      <c r="L1832" s="10" t="n"/>
      <c r="N1832" s="10" t="n"/>
      <c r="O1832" s="10">
        <f>IF(L1832="","",IF(M1832="Won",L1832*G1832,IF(M1832="Void",L1832,IF(M1832="Cash out",N(N1832),IF(M1832="Lost",0,"")))))</f>
        <v/>
      </c>
      <c r="P1832" s="10">
        <f>IF(OR(L1832="",M1832="",M1832="Pending"),"",O1832-L1832)</f>
        <v/>
      </c>
      <c r="Q1832" s="21" t="n"/>
      <c r="R1832" s="11">
        <f>IF(OR(G1832="",Q1832=""),"",G1832/Q1832-1)</f>
        <v/>
      </c>
      <c r="S1832" s="10">
        <f>IF(OR(L1832="",J1832=""),"",L1832*J1832)</f>
        <v/>
      </c>
      <c r="T1832" s="10">
        <f>IF(P1832="","",StartBank+SUM(P$2:P1832))</f>
        <v/>
      </c>
    </row>
    <row r="1833">
      <c r="A1833" s="22" t="n"/>
      <c r="G1833" s="21" t="n"/>
      <c r="H1833" s="11" t="n"/>
      <c r="I1833" s="21">
        <f>IF(OR(H1833="",H1833=0),"",1/H1833)</f>
        <v/>
      </c>
      <c r="J1833" s="11">
        <f>IF(OR(G1833="",H1833=""),"",H1833*G1833-1)</f>
        <v/>
      </c>
      <c r="K1833" s="10">
        <f>IF(OR(G1833="",H1833="",G1833&lt;=1),"",IF(J1833&lt;IF(D1833="Builder",MinEdgeBuilder,IF(D1833="Player",MinEdgePlayer,MinEdgeSingle)),0,ROUND(MIN(IF(D1833="Single",KellySingle,KellyBuilder)*(StartBank+SUM(P$1:P1832))*J1833/(G1833-1),IF(D1833="Builder",CapBuilder,CapSingle)*Unit),2)))</f>
        <v/>
      </c>
      <c r="L1833" s="10" t="n"/>
      <c r="N1833" s="10" t="n"/>
      <c r="O1833" s="10">
        <f>IF(L1833="","",IF(M1833="Won",L1833*G1833,IF(M1833="Void",L1833,IF(M1833="Cash out",N(N1833),IF(M1833="Lost",0,"")))))</f>
        <v/>
      </c>
      <c r="P1833" s="10">
        <f>IF(OR(L1833="",M1833="",M1833="Pending"),"",O1833-L1833)</f>
        <v/>
      </c>
      <c r="Q1833" s="21" t="n"/>
      <c r="R1833" s="11">
        <f>IF(OR(G1833="",Q1833=""),"",G1833/Q1833-1)</f>
        <v/>
      </c>
      <c r="S1833" s="10">
        <f>IF(OR(L1833="",J1833=""),"",L1833*J1833)</f>
        <v/>
      </c>
      <c r="T1833" s="10">
        <f>IF(P1833="","",StartBank+SUM(P$2:P1833))</f>
        <v/>
      </c>
    </row>
    <row r="1834">
      <c r="A1834" s="22" t="n"/>
      <c r="G1834" s="21" t="n"/>
      <c r="H1834" s="11" t="n"/>
      <c r="I1834" s="21">
        <f>IF(OR(H1834="",H1834=0),"",1/H1834)</f>
        <v/>
      </c>
      <c r="J1834" s="11">
        <f>IF(OR(G1834="",H1834=""),"",H1834*G1834-1)</f>
        <v/>
      </c>
      <c r="K1834" s="10">
        <f>IF(OR(G1834="",H1834="",G1834&lt;=1),"",IF(J1834&lt;IF(D1834="Builder",MinEdgeBuilder,IF(D1834="Player",MinEdgePlayer,MinEdgeSingle)),0,ROUND(MIN(IF(D1834="Single",KellySingle,KellyBuilder)*(StartBank+SUM(P$1:P1833))*J1834/(G1834-1),IF(D1834="Builder",CapBuilder,CapSingle)*Unit),2)))</f>
        <v/>
      </c>
      <c r="L1834" s="10" t="n"/>
      <c r="N1834" s="10" t="n"/>
      <c r="O1834" s="10">
        <f>IF(L1834="","",IF(M1834="Won",L1834*G1834,IF(M1834="Void",L1834,IF(M1834="Cash out",N(N1834),IF(M1834="Lost",0,"")))))</f>
        <v/>
      </c>
      <c r="P1834" s="10">
        <f>IF(OR(L1834="",M1834="",M1834="Pending"),"",O1834-L1834)</f>
        <v/>
      </c>
      <c r="Q1834" s="21" t="n"/>
      <c r="R1834" s="11">
        <f>IF(OR(G1834="",Q1834=""),"",G1834/Q1834-1)</f>
        <v/>
      </c>
      <c r="S1834" s="10">
        <f>IF(OR(L1834="",J1834=""),"",L1834*J1834)</f>
        <v/>
      </c>
      <c r="T1834" s="10">
        <f>IF(P1834="","",StartBank+SUM(P$2:P1834))</f>
        <v/>
      </c>
    </row>
    <row r="1835">
      <c r="A1835" s="22" t="n"/>
      <c r="G1835" s="21" t="n"/>
      <c r="H1835" s="11" t="n"/>
      <c r="I1835" s="21">
        <f>IF(OR(H1835="",H1835=0),"",1/H1835)</f>
        <v/>
      </c>
      <c r="J1835" s="11">
        <f>IF(OR(G1835="",H1835=""),"",H1835*G1835-1)</f>
        <v/>
      </c>
      <c r="K1835" s="10">
        <f>IF(OR(G1835="",H1835="",G1835&lt;=1),"",IF(J1835&lt;IF(D1835="Builder",MinEdgeBuilder,IF(D1835="Player",MinEdgePlayer,MinEdgeSingle)),0,ROUND(MIN(IF(D1835="Single",KellySingle,KellyBuilder)*(StartBank+SUM(P$1:P1834))*J1835/(G1835-1),IF(D1835="Builder",CapBuilder,CapSingle)*Unit),2)))</f>
        <v/>
      </c>
      <c r="L1835" s="10" t="n"/>
      <c r="N1835" s="10" t="n"/>
      <c r="O1835" s="10">
        <f>IF(L1835="","",IF(M1835="Won",L1835*G1835,IF(M1835="Void",L1835,IF(M1835="Cash out",N(N1835),IF(M1835="Lost",0,"")))))</f>
        <v/>
      </c>
      <c r="P1835" s="10">
        <f>IF(OR(L1835="",M1835="",M1835="Pending"),"",O1835-L1835)</f>
        <v/>
      </c>
      <c r="Q1835" s="21" t="n"/>
      <c r="R1835" s="11">
        <f>IF(OR(G1835="",Q1835=""),"",G1835/Q1835-1)</f>
        <v/>
      </c>
      <c r="S1835" s="10">
        <f>IF(OR(L1835="",J1835=""),"",L1835*J1835)</f>
        <v/>
      </c>
      <c r="T1835" s="10">
        <f>IF(P1835="","",StartBank+SUM(P$2:P1835))</f>
        <v/>
      </c>
    </row>
    <row r="1836">
      <c r="A1836" s="22" t="n"/>
      <c r="G1836" s="21" t="n"/>
      <c r="H1836" s="11" t="n"/>
      <c r="I1836" s="21">
        <f>IF(OR(H1836="",H1836=0),"",1/H1836)</f>
        <v/>
      </c>
      <c r="J1836" s="11">
        <f>IF(OR(G1836="",H1836=""),"",H1836*G1836-1)</f>
        <v/>
      </c>
      <c r="K1836" s="10">
        <f>IF(OR(G1836="",H1836="",G1836&lt;=1),"",IF(J1836&lt;IF(D1836="Builder",MinEdgeBuilder,IF(D1836="Player",MinEdgePlayer,MinEdgeSingle)),0,ROUND(MIN(IF(D1836="Single",KellySingle,KellyBuilder)*(StartBank+SUM(P$1:P1835))*J1836/(G1836-1),IF(D1836="Builder",CapBuilder,CapSingle)*Unit),2)))</f>
        <v/>
      </c>
      <c r="L1836" s="10" t="n"/>
      <c r="N1836" s="10" t="n"/>
      <c r="O1836" s="10">
        <f>IF(L1836="","",IF(M1836="Won",L1836*G1836,IF(M1836="Void",L1836,IF(M1836="Cash out",N(N1836),IF(M1836="Lost",0,"")))))</f>
        <v/>
      </c>
      <c r="P1836" s="10">
        <f>IF(OR(L1836="",M1836="",M1836="Pending"),"",O1836-L1836)</f>
        <v/>
      </c>
      <c r="Q1836" s="21" t="n"/>
      <c r="R1836" s="11">
        <f>IF(OR(G1836="",Q1836=""),"",G1836/Q1836-1)</f>
        <v/>
      </c>
      <c r="S1836" s="10">
        <f>IF(OR(L1836="",J1836=""),"",L1836*J1836)</f>
        <v/>
      </c>
      <c r="T1836" s="10">
        <f>IF(P1836="","",StartBank+SUM(P$2:P1836))</f>
        <v/>
      </c>
    </row>
    <row r="1837">
      <c r="A1837" s="22" t="n"/>
      <c r="G1837" s="21" t="n"/>
      <c r="H1837" s="11" t="n"/>
      <c r="I1837" s="21">
        <f>IF(OR(H1837="",H1837=0),"",1/H1837)</f>
        <v/>
      </c>
      <c r="J1837" s="11">
        <f>IF(OR(G1837="",H1837=""),"",H1837*G1837-1)</f>
        <v/>
      </c>
      <c r="K1837" s="10">
        <f>IF(OR(G1837="",H1837="",G1837&lt;=1),"",IF(J1837&lt;IF(D1837="Builder",MinEdgeBuilder,IF(D1837="Player",MinEdgePlayer,MinEdgeSingle)),0,ROUND(MIN(IF(D1837="Single",KellySingle,KellyBuilder)*(StartBank+SUM(P$1:P1836))*J1837/(G1837-1),IF(D1837="Builder",CapBuilder,CapSingle)*Unit),2)))</f>
        <v/>
      </c>
      <c r="L1837" s="10" t="n"/>
      <c r="N1837" s="10" t="n"/>
      <c r="O1837" s="10">
        <f>IF(L1837="","",IF(M1837="Won",L1837*G1837,IF(M1837="Void",L1837,IF(M1837="Cash out",N(N1837),IF(M1837="Lost",0,"")))))</f>
        <v/>
      </c>
      <c r="P1837" s="10">
        <f>IF(OR(L1837="",M1837="",M1837="Pending"),"",O1837-L1837)</f>
        <v/>
      </c>
      <c r="Q1837" s="21" t="n"/>
      <c r="R1837" s="11">
        <f>IF(OR(G1837="",Q1837=""),"",G1837/Q1837-1)</f>
        <v/>
      </c>
      <c r="S1837" s="10">
        <f>IF(OR(L1837="",J1837=""),"",L1837*J1837)</f>
        <v/>
      </c>
      <c r="T1837" s="10">
        <f>IF(P1837="","",StartBank+SUM(P$2:P1837))</f>
        <v/>
      </c>
    </row>
    <row r="1838">
      <c r="A1838" s="22" t="n"/>
      <c r="G1838" s="21" t="n"/>
      <c r="H1838" s="11" t="n"/>
      <c r="I1838" s="21">
        <f>IF(OR(H1838="",H1838=0),"",1/H1838)</f>
        <v/>
      </c>
      <c r="J1838" s="11">
        <f>IF(OR(G1838="",H1838=""),"",H1838*G1838-1)</f>
        <v/>
      </c>
      <c r="K1838" s="10">
        <f>IF(OR(G1838="",H1838="",G1838&lt;=1),"",IF(J1838&lt;IF(D1838="Builder",MinEdgeBuilder,IF(D1838="Player",MinEdgePlayer,MinEdgeSingle)),0,ROUND(MIN(IF(D1838="Single",KellySingle,KellyBuilder)*(StartBank+SUM(P$1:P1837))*J1838/(G1838-1),IF(D1838="Builder",CapBuilder,CapSingle)*Unit),2)))</f>
        <v/>
      </c>
      <c r="L1838" s="10" t="n"/>
      <c r="N1838" s="10" t="n"/>
      <c r="O1838" s="10">
        <f>IF(L1838="","",IF(M1838="Won",L1838*G1838,IF(M1838="Void",L1838,IF(M1838="Cash out",N(N1838),IF(M1838="Lost",0,"")))))</f>
        <v/>
      </c>
      <c r="P1838" s="10">
        <f>IF(OR(L1838="",M1838="",M1838="Pending"),"",O1838-L1838)</f>
        <v/>
      </c>
      <c r="Q1838" s="21" t="n"/>
      <c r="R1838" s="11">
        <f>IF(OR(G1838="",Q1838=""),"",G1838/Q1838-1)</f>
        <v/>
      </c>
      <c r="S1838" s="10">
        <f>IF(OR(L1838="",J1838=""),"",L1838*J1838)</f>
        <v/>
      </c>
      <c r="T1838" s="10">
        <f>IF(P1838="","",StartBank+SUM(P$2:P1838))</f>
        <v/>
      </c>
    </row>
    <row r="1839">
      <c r="A1839" s="22" t="n"/>
      <c r="G1839" s="21" t="n"/>
      <c r="H1839" s="11" t="n"/>
      <c r="I1839" s="21">
        <f>IF(OR(H1839="",H1839=0),"",1/H1839)</f>
        <v/>
      </c>
      <c r="J1839" s="11">
        <f>IF(OR(G1839="",H1839=""),"",H1839*G1839-1)</f>
        <v/>
      </c>
      <c r="K1839" s="10">
        <f>IF(OR(G1839="",H1839="",G1839&lt;=1),"",IF(J1839&lt;IF(D1839="Builder",MinEdgeBuilder,IF(D1839="Player",MinEdgePlayer,MinEdgeSingle)),0,ROUND(MIN(IF(D1839="Single",KellySingle,KellyBuilder)*(StartBank+SUM(P$1:P1838))*J1839/(G1839-1),IF(D1839="Builder",CapBuilder,CapSingle)*Unit),2)))</f>
        <v/>
      </c>
      <c r="L1839" s="10" t="n"/>
      <c r="N1839" s="10" t="n"/>
      <c r="O1839" s="10">
        <f>IF(L1839="","",IF(M1839="Won",L1839*G1839,IF(M1839="Void",L1839,IF(M1839="Cash out",N(N1839),IF(M1839="Lost",0,"")))))</f>
        <v/>
      </c>
      <c r="P1839" s="10">
        <f>IF(OR(L1839="",M1839="",M1839="Pending"),"",O1839-L1839)</f>
        <v/>
      </c>
      <c r="Q1839" s="21" t="n"/>
      <c r="R1839" s="11">
        <f>IF(OR(G1839="",Q1839=""),"",G1839/Q1839-1)</f>
        <v/>
      </c>
      <c r="S1839" s="10">
        <f>IF(OR(L1839="",J1839=""),"",L1839*J1839)</f>
        <v/>
      </c>
      <c r="T1839" s="10">
        <f>IF(P1839="","",StartBank+SUM(P$2:P1839))</f>
        <v/>
      </c>
    </row>
    <row r="1840">
      <c r="A1840" s="22" t="n"/>
      <c r="G1840" s="21" t="n"/>
      <c r="H1840" s="11" t="n"/>
      <c r="I1840" s="21">
        <f>IF(OR(H1840="",H1840=0),"",1/H1840)</f>
        <v/>
      </c>
      <c r="J1840" s="11">
        <f>IF(OR(G1840="",H1840=""),"",H1840*G1840-1)</f>
        <v/>
      </c>
      <c r="K1840" s="10">
        <f>IF(OR(G1840="",H1840="",G1840&lt;=1),"",IF(J1840&lt;IF(D1840="Builder",MinEdgeBuilder,IF(D1840="Player",MinEdgePlayer,MinEdgeSingle)),0,ROUND(MIN(IF(D1840="Single",KellySingle,KellyBuilder)*(StartBank+SUM(P$1:P1839))*J1840/(G1840-1),IF(D1840="Builder",CapBuilder,CapSingle)*Unit),2)))</f>
        <v/>
      </c>
      <c r="L1840" s="10" t="n"/>
      <c r="N1840" s="10" t="n"/>
      <c r="O1840" s="10">
        <f>IF(L1840="","",IF(M1840="Won",L1840*G1840,IF(M1840="Void",L1840,IF(M1840="Cash out",N(N1840),IF(M1840="Lost",0,"")))))</f>
        <v/>
      </c>
      <c r="P1840" s="10">
        <f>IF(OR(L1840="",M1840="",M1840="Pending"),"",O1840-L1840)</f>
        <v/>
      </c>
      <c r="Q1840" s="21" t="n"/>
      <c r="R1840" s="11">
        <f>IF(OR(G1840="",Q1840=""),"",G1840/Q1840-1)</f>
        <v/>
      </c>
      <c r="S1840" s="10">
        <f>IF(OR(L1840="",J1840=""),"",L1840*J1840)</f>
        <v/>
      </c>
      <c r="T1840" s="10">
        <f>IF(P1840="","",StartBank+SUM(P$2:P1840))</f>
        <v/>
      </c>
    </row>
    <row r="1841">
      <c r="A1841" s="22" t="n"/>
      <c r="G1841" s="21" t="n"/>
      <c r="H1841" s="11" t="n"/>
      <c r="I1841" s="21">
        <f>IF(OR(H1841="",H1841=0),"",1/H1841)</f>
        <v/>
      </c>
      <c r="J1841" s="11">
        <f>IF(OR(G1841="",H1841=""),"",H1841*G1841-1)</f>
        <v/>
      </c>
      <c r="K1841" s="10">
        <f>IF(OR(G1841="",H1841="",G1841&lt;=1),"",IF(J1841&lt;IF(D1841="Builder",MinEdgeBuilder,IF(D1841="Player",MinEdgePlayer,MinEdgeSingle)),0,ROUND(MIN(IF(D1841="Single",KellySingle,KellyBuilder)*(StartBank+SUM(P$1:P1840))*J1841/(G1841-1),IF(D1841="Builder",CapBuilder,CapSingle)*Unit),2)))</f>
        <v/>
      </c>
      <c r="L1841" s="10" t="n"/>
      <c r="N1841" s="10" t="n"/>
      <c r="O1841" s="10">
        <f>IF(L1841="","",IF(M1841="Won",L1841*G1841,IF(M1841="Void",L1841,IF(M1841="Cash out",N(N1841),IF(M1841="Lost",0,"")))))</f>
        <v/>
      </c>
      <c r="P1841" s="10">
        <f>IF(OR(L1841="",M1841="",M1841="Pending"),"",O1841-L1841)</f>
        <v/>
      </c>
      <c r="Q1841" s="21" t="n"/>
      <c r="R1841" s="11">
        <f>IF(OR(G1841="",Q1841=""),"",G1841/Q1841-1)</f>
        <v/>
      </c>
      <c r="S1841" s="10">
        <f>IF(OR(L1841="",J1841=""),"",L1841*J1841)</f>
        <v/>
      </c>
      <c r="T1841" s="10">
        <f>IF(P1841="","",StartBank+SUM(P$2:P1841))</f>
        <v/>
      </c>
    </row>
    <row r="1842">
      <c r="A1842" s="22" t="n"/>
      <c r="G1842" s="21" t="n"/>
      <c r="H1842" s="11" t="n"/>
      <c r="I1842" s="21">
        <f>IF(OR(H1842="",H1842=0),"",1/H1842)</f>
        <v/>
      </c>
      <c r="J1842" s="11">
        <f>IF(OR(G1842="",H1842=""),"",H1842*G1842-1)</f>
        <v/>
      </c>
      <c r="K1842" s="10">
        <f>IF(OR(G1842="",H1842="",G1842&lt;=1),"",IF(J1842&lt;IF(D1842="Builder",MinEdgeBuilder,IF(D1842="Player",MinEdgePlayer,MinEdgeSingle)),0,ROUND(MIN(IF(D1842="Single",KellySingle,KellyBuilder)*(StartBank+SUM(P$1:P1841))*J1842/(G1842-1),IF(D1842="Builder",CapBuilder,CapSingle)*Unit),2)))</f>
        <v/>
      </c>
      <c r="L1842" s="10" t="n"/>
      <c r="N1842" s="10" t="n"/>
      <c r="O1842" s="10">
        <f>IF(L1842="","",IF(M1842="Won",L1842*G1842,IF(M1842="Void",L1842,IF(M1842="Cash out",N(N1842),IF(M1842="Lost",0,"")))))</f>
        <v/>
      </c>
      <c r="P1842" s="10">
        <f>IF(OR(L1842="",M1842="",M1842="Pending"),"",O1842-L1842)</f>
        <v/>
      </c>
      <c r="Q1842" s="21" t="n"/>
      <c r="R1842" s="11">
        <f>IF(OR(G1842="",Q1842=""),"",G1842/Q1842-1)</f>
        <v/>
      </c>
      <c r="S1842" s="10">
        <f>IF(OR(L1842="",J1842=""),"",L1842*J1842)</f>
        <v/>
      </c>
      <c r="T1842" s="10">
        <f>IF(P1842="","",StartBank+SUM(P$2:P1842))</f>
        <v/>
      </c>
    </row>
    <row r="1843">
      <c r="A1843" s="22" t="n"/>
      <c r="G1843" s="21" t="n"/>
      <c r="H1843" s="11" t="n"/>
      <c r="I1843" s="21">
        <f>IF(OR(H1843="",H1843=0),"",1/H1843)</f>
        <v/>
      </c>
      <c r="J1843" s="11">
        <f>IF(OR(G1843="",H1843=""),"",H1843*G1843-1)</f>
        <v/>
      </c>
      <c r="K1843" s="10">
        <f>IF(OR(G1843="",H1843="",G1843&lt;=1),"",IF(J1843&lt;IF(D1843="Builder",MinEdgeBuilder,IF(D1843="Player",MinEdgePlayer,MinEdgeSingle)),0,ROUND(MIN(IF(D1843="Single",KellySingle,KellyBuilder)*(StartBank+SUM(P$1:P1842))*J1843/(G1843-1),IF(D1843="Builder",CapBuilder,CapSingle)*Unit),2)))</f>
        <v/>
      </c>
      <c r="L1843" s="10" t="n"/>
      <c r="N1843" s="10" t="n"/>
      <c r="O1843" s="10">
        <f>IF(L1843="","",IF(M1843="Won",L1843*G1843,IF(M1843="Void",L1843,IF(M1843="Cash out",N(N1843),IF(M1843="Lost",0,"")))))</f>
        <v/>
      </c>
      <c r="P1843" s="10">
        <f>IF(OR(L1843="",M1843="",M1843="Pending"),"",O1843-L1843)</f>
        <v/>
      </c>
      <c r="Q1843" s="21" t="n"/>
      <c r="R1843" s="11">
        <f>IF(OR(G1843="",Q1843=""),"",G1843/Q1843-1)</f>
        <v/>
      </c>
      <c r="S1843" s="10">
        <f>IF(OR(L1843="",J1843=""),"",L1843*J1843)</f>
        <v/>
      </c>
      <c r="T1843" s="10">
        <f>IF(P1843="","",StartBank+SUM(P$2:P1843))</f>
        <v/>
      </c>
    </row>
    <row r="1844">
      <c r="A1844" s="22" t="n"/>
      <c r="G1844" s="21" t="n"/>
      <c r="H1844" s="11" t="n"/>
      <c r="I1844" s="21">
        <f>IF(OR(H1844="",H1844=0),"",1/H1844)</f>
        <v/>
      </c>
      <c r="J1844" s="11">
        <f>IF(OR(G1844="",H1844=""),"",H1844*G1844-1)</f>
        <v/>
      </c>
      <c r="K1844" s="10">
        <f>IF(OR(G1844="",H1844="",G1844&lt;=1),"",IF(J1844&lt;IF(D1844="Builder",MinEdgeBuilder,IF(D1844="Player",MinEdgePlayer,MinEdgeSingle)),0,ROUND(MIN(IF(D1844="Single",KellySingle,KellyBuilder)*(StartBank+SUM(P$1:P1843))*J1844/(G1844-1),IF(D1844="Builder",CapBuilder,CapSingle)*Unit),2)))</f>
        <v/>
      </c>
      <c r="L1844" s="10" t="n"/>
      <c r="N1844" s="10" t="n"/>
      <c r="O1844" s="10">
        <f>IF(L1844="","",IF(M1844="Won",L1844*G1844,IF(M1844="Void",L1844,IF(M1844="Cash out",N(N1844),IF(M1844="Lost",0,"")))))</f>
        <v/>
      </c>
      <c r="P1844" s="10">
        <f>IF(OR(L1844="",M1844="",M1844="Pending"),"",O1844-L1844)</f>
        <v/>
      </c>
      <c r="Q1844" s="21" t="n"/>
      <c r="R1844" s="11">
        <f>IF(OR(G1844="",Q1844=""),"",G1844/Q1844-1)</f>
        <v/>
      </c>
      <c r="S1844" s="10">
        <f>IF(OR(L1844="",J1844=""),"",L1844*J1844)</f>
        <v/>
      </c>
      <c r="T1844" s="10">
        <f>IF(P1844="","",StartBank+SUM(P$2:P1844))</f>
        <v/>
      </c>
    </row>
    <row r="1845">
      <c r="A1845" s="22" t="n"/>
      <c r="G1845" s="21" t="n"/>
      <c r="H1845" s="11" t="n"/>
      <c r="I1845" s="21">
        <f>IF(OR(H1845="",H1845=0),"",1/H1845)</f>
        <v/>
      </c>
      <c r="J1845" s="11">
        <f>IF(OR(G1845="",H1845=""),"",H1845*G1845-1)</f>
        <v/>
      </c>
      <c r="K1845" s="10">
        <f>IF(OR(G1845="",H1845="",G1845&lt;=1),"",IF(J1845&lt;IF(D1845="Builder",MinEdgeBuilder,IF(D1845="Player",MinEdgePlayer,MinEdgeSingle)),0,ROUND(MIN(IF(D1845="Single",KellySingle,KellyBuilder)*(StartBank+SUM(P$1:P1844))*J1845/(G1845-1),IF(D1845="Builder",CapBuilder,CapSingle)*Unit),2)))</f>
        <v/>
      </c>
      <c r="L1845" s="10" t="n"/>
      <c r="N1845" s="10" t="n"/>
      <c r="O1845" s="10">
        <f>IF(L1845="","",IF(M1845="Won",L1845*G1845,IF(M1845="Void",L1845,IF(M1845="Cash out",N(N1845),IF(M1845="Lost",0,"")))))</f>
        <v/>
      </c>
      <c r="P1845" s="10">
        <f>IF(OR(L1845="",M1845="",M1845="Pending"),"",O1845-L1845)</f>
        <v/>
      </c>
      <c r="Q1845" s="21" t="n"/>
      <c r="R1845" s="11">
        <f>IF(OR(G1845="",Q1845=""),"",G1845/Q1845-1)</f>
        <v/>
      </c>
      <c r="S1845" s="10">
        <f>IF(OR(L1845="",J1845=""),"",L1845*J1845)</f>
        <v/>
      </c>
      <c r="T1845" s="10">
        <f>IF(P1845="","",StartBank+SUM(P$2:P1845))</f>
        <v/>
      </c>
    </row>
    <row r="1846">
      <c r="A1846" s="22" t="n"/>
      <c r="G1846" s="21" t="n"/>
      <c r="H1846" s="11" t="n"/>
      <c r="I1846" s="21">
        <f>IF(OR(H1846="",H1846=0),"",1/H1846)</f>
        <v/>
      </c>
      <c r="J1846" s="11">
        <f>IF(OR(G1846="",H1846=""),"",H1846*G1846-1)</f>
        <v/>
      </c>
      <c r="K1846" s="10">
        <f>IF(OR(G1846="",H1846="",G1846&lt;=1),"",IF(J1846&lt;IF(D1846="Builder",MinEdgeBuilder,IF(D1846="Player",MinEdgePlayer,MinEdgeSingle)),0,ROUND(MIN(IF(D1846="Single",KellySingle,KellyBuilder)*(StartBank+SUM(P$1:P1845))*J1846/(G1846-1),IF(D1846="Builder",CapBuilder,CapSingle)*Unit),2)))</f>
        <v/>
      </c>
      <c r="L1846" s="10" t="n"/>
      <c r="N1846" s="10" t="n"/>
      <c r="O1846" s="10">
        <f>IF(L1846="","",IF(M1846="Won",L1846*G1846,IF(M1846="Void",L1846,IF(M1846="Cash out",N(N1846),IF(M1846="Lost",0,"")))))</f>
        <v/>
      </c>
      <c r="P1846" s="10">
        <f>IF(OR(L1846="",M1846="",M1846="Pending"),"",O1846-L1846)</f>
        <v/>
      </c>
      <c r="Q1846" s="21" t="n"/>
      <c r="R1846" s="11">
        <f>IF(OR(G1846="",Q1846=""),"",G1846/Q1846-1)</f>
        <v/>
      </c>
      <c r="S1846" s="10">
        <f>IF(OR(L1846="",J1846=""),"",L1846*J1846)</f>
        <v/>
      </c>
      <c r="T1846" s="10">
        <f>IF(P1846="","",StartBank+SUM(P$2:P1846))</f>
        <v/>
      </c>
    </row>
    <row r="1847">
      <c r="A1847" s="22" t="n"/>
      <c r="G1847" s="21" t="n"/>
      <c r="H1847" s="11" t="n"/>
      <c r="I1847" s="21">
        <f>IF(OR(H1847="",H1847=0),"",1/H1847)</f>
        <v/>
      </c>
      <c r="J1847" s="11">
        <f>IF(OR(G1847="",H1847=""),"",H1847*G1847-1)</f>
        <v/>
      </c>
      <c r="K1847" s="10">
        <f>IF(OR(G1847="",H1847="",G1847&lt;=1),"",IF(J1847&lt;IF(D1847="Builder",MinEdgeBuilder,IF(D1847="Player",MinEdgePlayer,MinEdgeSingle)),0,ROUND(MIN(IF(D1847="Single",KellySingle,KellyBuilder)*(StartBank+SUM(P$1:P1846))*J1847/(G1847-1),IF(D1847="Builder",CapBuilder,CapSingle)*Unit),2)))</f>
        <v/>
      </c>
      <c r="L1847" s="10" t="n"/>
      <c r="N1847" s="10" t="n"/>
      <c r="O1847" s="10">
        <f>IF(L1847="","",IF(M1847="Won",L1847*G1847,IF(M1847="Void",L1847,IF(M1847="Cash out",N(N1847),IF(M1847="Lost",0,"")))))</f>
        <v/>
      </c>
      <c r="P1847" s="10">
        <f>IF(OR(L1847="",M1847="",M1847="Pending"),"",O1847-L1847)</f>
        <v/>
      </c>
      <c r="Q1847" s="21" t="n"/>
      <c r="R1847" s="11">
        <f>IF(OR(G1847="",Q1847=""),"",G1847/Q1847-1)</f>
        <v/>
      </c>
      <c r="S1847" s="10">
        <f>IF(OR(L1847="",J1847=""),"",L1847*J1847)</f>
        <v/>
      </c>
      <c r="T1847" s="10">
        <f>IF(P1847="","",StartBank+SUM(P$2:P1847))</f>
        <v/>
      </c>
    </row>
    <row r="1848">
      <c r="A1848" s="22" t="n"/>
      <c r="G1848" s="21" t="n"/>
      <c r="H1848" s="11" t="n"/>
      <c r="I1848" s="21">
        <f>IF(OR(H1848="",H1848=0),"",1/H1848)</f>
        <v/>
      </c>
      <c r="J1848" s="11">
        <f>IF(OR(G1848="",H1848=""),"",H1848*G1848-1)</f>
        <v/>
      </c>
      <c r="K1848" s="10">
        <f>IF(OR(G1848="",H1848="",G1848&lt;=1),"",IF(J1848&lt;IF(D1848="Builder",MinEdgeBuilder,IF(D1848="Player",MinEdgePlayer,MinEdgeSingle)),0,ROUND(MIN(IF(D1848="Single",KellySingle,KellyBuilder)*(StartBank+SUM(P$1:P1847))*J1848/(G1848-1),IF(D1848="Builder",CapBuilder,CapSingle)*Unit),2)))</f>
        <v/>
      </c>
      <c r="L1848" s="10" t="n"/>
      <c r="N1848" s="10" t="n"/>
      <c r="O1848" s="10">
        <f>IF(L1848="","",IF(M1848="Won",L1848*G1848,IF(M1848="Void",L1848,IF(M1848="Cash out",N(N1848),IF(M1848="Lost",0,"")))))</f>
        <v/>
      </c>
      <c r="P1848" s="10">
        <f>IF(OR(L1848="",M1848="",M1848="Pending"),"",O1848-L1848)</f>
        <v/>
      </c>
      <c r="Q1848" s="21" t="n"/>
      <c r="R1848" s="11">
        <f>IF(OR(G1848="",Q1848=""),"",G1848/Q1848-1)</f>
        <v/>
      </c>
      <c r="S1848" s="10">
        <f>IF(OR(L1848="",J1848=""),"",L1848*J1848)</f>
        <v/>
      </c>
      <c r="T1848" s="10">
        <f>IF(P1848="","",StartBank+SUM(P$2:P1848))</f>
        <v/>
      </c>
    </row>
    <row r="1849">
      <c r="A1849" s="22" t="n"/>
      <c r="G1849" s="21" t="n"/>
      <c r="H1849" s="11" t="n"/>
      <c r="I1849" s="21">
        <f>IF(OR(H1849="",H1849=0),"",1/H1849)</f>
        <v/>
      </c>
      <c r="J1849" s="11">
        <f>IF(OR(G1849="",H1849=""),"",H1849*G1849-1)</f>
        <v/>
      </c>
      <c r="K1849" s="10">
        <f>IF(OR(G1849="",H1849="",G1849&lt;=1),"",IF(J1849&lt;IF(D1849="Builder",MinEdgeBuilder,IF(D1849="Player",MinEdgePlayer,MinEdgeSingle)),0,ROUND(MIN(IF(D1849="Single",KellySingle,KellyBuilder)*(StartBank+SUM(P$1:P1848))*J1849/(G1849-1),IF(D1849="Builder",CapBuilder,CapSingle)*Unit),2)))</f>
        <v/>
      </c>
      <c r="L1849" s="10" t="n"/>
      <c r="N1849" s="10" t="n"/>
      <c r="O1849" s="10">
        <f>IF(L1849="","",IF(M1849="Won",L1849*G1849,IF(M1849="Void",L1849,IF(M1849="Cash out",N(N1849),IF(M1849="Lost",0,"")))))</f>
        <v/>
      </c>
      <c r="P1849" s="10">
        <f>IF(OR(L1849="",M1849="",M1849="Pending"),"",O1849-L1849)</f>
        <v/>
      </c>
      <c r="Q1849" s="21" t="n"/>
      <c r="R1849" s="11">
        <f>IF(OR(G1849="",Q1849=""),"",G1849/Q1849-1)</f>
        <v/>
      </c>
      <c r="S1849" s="10">
        <f>IF(OR(L1849="",J1849=""),"",L1849*J1849)</f>
        <v/>
      </c>
      <c r="T1849" s="10">
        <f>IF(P1849="","",StartBank+SUM(P$2:P1849))</f>
        <v/>
      </c>
    </row>
    <row r="1850">
      <c r="A1850" s="22" t="n"/>
      <c r="G1850" s="21" t="n"/>
      <c r="H1850" s="11" t="n"/>
      <c r="I1850" s="21">
        <f>IF(OR(H1850="",H1850=0),"",1/H1850)</f>
        <v/>
      </c>
      <c r="J1850" s="11">
        <f>IF(OR(G1850="",H1850=""),"",H1850*G1850-1)</f>
        <v/>
      </c>
      <c r="K1850" s="10">
        <f>IF(OR(G1850="",H1850="",G1850&lt;=1),"",IF(J1850&lt;IF(D1850="Builder",MinEdgeBuilder,IF(D1850="Player",MinEdgePlayer,MinEdgeSingle)),0,ROUND(MIN(IF(D1850="Single",KellySingle,KellyBuilder)*(StartBank+SUM(P$1:P1849))*J1850/(G1850-1),IF(D1850="Builder",CapBuilder,CapSingle)*Unit),2)))</f>
        <v/>
      </c>
      <c r="L1850" s="10" t="n"/>
      <c r="N1850" s="10" t="n"/>
      <c r="O1850" s="10">
        <f>IF(L1850="","",IF(M1850="Won",L1850*G1850,IF(M1850="Void",L1850,IF(M1850="Cash out",N(N1850),IF(M1850="Lost",0,"")))))</f>
        <v/>
      </c>
      <c r="P1850" s="10">
        <f>IF(OR(L1850="",M1850="",M1850="Pending"),"",O1850-L1850)</f>
        <v/>
      </c>
      <c r="Q1850" s="21" t="n"/>
      <c r="R1850" s="11">
        <f>IF(OR(G1850="",Q1850=""),"",G1850/Q1850-1)</f>
        <v/>
      </c>
      <c r="S1850" s="10">
        <f>IF(OR(L1850="",J1850=""),"",L1850*J1850)</f>
        <v/>
      </c>
      <c r="T1850" s="10">
        <f>IF(P1850="","",StartBank+SUM(P$2:P1850))</f>
        <v/>
      </c>
    </row>
    <row r="1851">
      <c r="A1851" s="22" t="n"/>
      <c r="G1851" s="21" t="n"/>
      <c r="H1851" s="11" t="n"/>
      <c r="I1851" s="21">
        <f>IF(OR(H1851="",H1851=0),"",1/H1851)</f>
        <v/>
      </c>
      <c r="J1851" s="11">
        <f>IF(OR(G1851="",H1851=""),"",H1851*G1851-1)</f>
        <v/>
      </c>
      <c r="K1851" s="10">
        <f>IF(OR(G1851="",H1851="",G1851&lt;=1),"",IF(J1851&lt;IF(D1851="Builder",MinEdgeBuilder,IF(D1851="Player",MinEdgePlayer,MinEdgeSingle)),0,ROUND(MIN(IF(D1851="Single",KellySingle,KellyBuilder)*(StartBank+SUM(P$1:P1850))*J1851/(G1851-1),IF(D1851="Builder",CapBuilder,CapSingle)*Unit),2)))</f>
        <v/>
      </c>
      <c r="L1851" s="10" t="n"/>
      <c r="N1851" s="10" t="n"/>
      <c r="O1851" s="10">
        <f>IF(L1851="","",IF(M1851="Won",L1851*G1851,IF(M1851="Void",L1851,IF(M1851="Cash out",N(N1851),IF(M1851="Lost",0,"")))))</f>
        <v/>
      </c>
      <c r="P1851" s="10">
        <f>IF(OR(L1851="",M1851="",M1851="Pending"),"",O1851-L1851)</f>
        <v/>
      </c>
      <c r="Q1851" s="21" t="n"/>
      <c r="R1851" s="11">
        <f>IF(OR(G1851="",Q1851=""),"",G1851/Q1851-1)</f>
        <v/>
      </c>
      <c r="S1851" s="10">
        <f>IF(OR(L1851="",J1851=""),"",L1851*J1851)</f>
        <v/>
      </c>
      <c r="T1851" s="10">
        <f>IF(P1851="","",StartBank+SUM(P$2:P1851))</f>
        <v/>
      </c>
    </row>
    <row r="1852">
      <c r="A1852" s="22" t="n"/>
      <c r="G1852" s="21" t="n"/>
      <c r="H1852" s="11" t="n"/>
      <c r="I1852" s="21">
        <f>IF(OR(H1852="",H1852=0),"",1/H1852)</f>
        <v/>
      </c>
      <c r="J1852" s="11">
        <f>IF(OR(G1852="",H1852=""),"",H1852*G1852-1)</f>
        <v/>
      </c>
      <c r="K1852" s="10">
        <f>IF(OR(G1852="",H1852="",G1852&lt;=1),"",IF(J1852&lt;IF(D1852="Builder",MinEdgeBuilder,IF(D1852="Player",MinEdgePlayer,MinEdgeSingle)),0,ROUND(MIN(IF(D1852="Single",KellySingle,KellyBuilder)*(StartBank+SUM(P$1:P1851))*J1852/(G1852-1),IF(D1852="Builder",CapBuilder,CapSingle)*Unit),2)))</f>
        <v/>
      </c>
      <c r="L1852" s="10" t="n"/>
      <c r="N1852" s="10" t="n"/>
      <c r="O1852" s="10">
        <f>IF(L1852="","",IF(M1852="Won",L1852*G1852,IF(M1852="Void",L1852,IF(M1852="Cash out",N(N1852),IF(M1852="Lost",0,"")))))</f>
        <v/>
      </c>
      <c r="P1852" s="10">
        <f>IF(OR(L1852="",M1852="",M1852="Pending"),"",O1852-L1852)</f>
        <v/>
      </c>
      <c r="Q1852" s="21" t="n"/>
      <c r="R1852" s="11">
        <f>IF(OR(G1852="",Q1852=""),"",G1852/Q1852-1)</f>
        <v/>
      </c>
      <c r="S1852" s="10">
        <f>IF(OR(L1852="",J1852=""),"",L1852*J1852)</f>
        <v/>
      </c>
      <c r="T1852" s="10">
        <f>IF(P1852="","",StartBank+SUM(P$2:P1852))</f>
        <v/>
      </c>
    </row>
    <row r="1853">
      <c r="A1853" s="22" t="n"/>
      <c r="G1853" s="21" t="n"/>
      <c r="H1853" s="11" t="n"/>
      <c r="I1853" s="21">
        <f>IF(OR(H1853="",H1853=0),"",1/H1853)</f>
        <v/>
      </c>
      <c r="J1853" s="11">
        <f>IF(OR(G1853="",H1853=""),"",H1853*G1853-1)</f>
        <v/>
      </c>
      <c r="K1853" s="10">
        <f>IF(OR(G1853="",H1853="",G1853&lt;=1),"",IF(J1853&lt;IF(D1853="Builder",MinEdgeBuilder,IF(D1853="Player",MinEdgePlayer,MinEdgeSingle)),0,ROUND(MIN(IF(D1853="Single",KellySingle,KellyBuilder)*(StartBank+SUM(P$1:P1852))*J1853/(G1853-1),IF(D1853="Builder",CapBuilder,CapSingle)*Unit),2)))</f>
        <v/>
      </c>
      <c r="L1853" s="10" t="n"/>
      <c r="N1853" s="10" t="n"/>
      <c r="O1853" s="10">
        <f>IF(L1853="","",IF(M1853="Won",L1853*G1853,IF(M1853="Void",L1853,IF(M1853="Cash out",N(N1853),IF(M1853="Lost",0,"")))))</f>
        <v/>
      </c>
      <c r="P1853" s="10">
        <f>IF(OR(L1853="",M1853="",M1853="Pending"),"",O1853-L1853)</f>
        <v/>
      </c>
      <c r="Q1853" s="21" t="n"/>
      <c r="R1853" s="11">
        <f>IF(OR(G1853="",Q1853=""),"",G1853/Q1853-1)</f>
        <v/>
      </c>
      <c r="S1853" s="10">
        <f>IF(OR(L1853="",J1853=""),"",L1853*J1853)</f>
        <v/>
      </c>
      <c r="T1853" s="10">
        <f>IF(P1853="","",StartBank+SUM(P$2:P1853))</f>
        <v/>
      </c>
    </row>
    <row r="1854">
      <c r="A1854" s="22" t="n"/>
      <c r="G1854" s="21" t="n"/>
      <c r="H1854" s="11" t="n"/>
      <c r="I1854" s="21">
        <f>IF(OR(H1854="",H1854=0),"",1/H1854)</f>
        <v/>
      </c>
      <c r="J1854" s="11">
        <f>IF(OR(G1854="",H1854=""),"",H1854*G1854-1)</f>
        <v/>
      </c>
      <c r="K1854" s="10">
        <f>IF(OR(G1854="",H1854="",G1854&lt;=1),"",IF(J1854&lt;IF(D1854="Builder",MinEdgeBuilder,IF(D1854="Player",MinEdgePlayer,MinEdgeSingle)),0,ROUND(MIN(IF(D1854="Single",KellySingle,KellyBuilder)*(StartBank+SUM(P$1:P1853))*J1854/(G1854-1),IF(D1854="Builder",CapBuilder,CapSingle)*Unit),2)))</f>
        <v/>
      </c>
      <c r="L1854" s="10" t="n"/>
      <c r="N1854" s="10" t="n"/>
      <c r="O1854" s="10">
        <f>IF(L1854="","",IF(M1854="Won",L1854*G1854,IF(M1854="Void",L1854,IF(M1854="Cash out",N(N1854),IF(M1854="Lost",0,"")))))</f>
        <v/>
      </c>
      <c r="P1854" s="10">
        <f>IF(OR(L1854="",M1854="",M1854="Pending"),"",O1854-L1854)</f>
        <v/>
      </c>
      <c r="Q1854" s="21" t="n"/>
      <c r="R1854" s="11">
        <f>IF(OR(G1854="",Q1854=""),"",G1854/Q1854-1)</f>
        <v/>
      </c>
      <c r="S1854" s="10">
        <f>IF(OR(L1854="",J1854=""),"",L1854*J1854)</f>
        <v/>
      </c>
      <c r="T1854" s="10">
        <f>IF(P1854="","",StartBank+SUM(P$2:P1854))</f>
        <v/>
      </c>
    </row>
    <row r="1855">
      <c r="A1855" s="22" t="n"/>
      <c r="G1855" s="21" t="n"/>
      <c r="H1855" s="11" t="n"/>
      <c r="I1855" s="21">
        <f>IF(OR(H1855="",H1855=0),"",1/H1855)</f>
        <v/>
      </c>
      <c r="J1855" s="11">
        <f>IF(OR(G1855="",H1855=""),"",H1855*G1855-1)</f>
        <v/>
      </c>
      <c r="K1855" s="10">
        <f>IF(OR(G1855="",H1855="",G1855&lt;=1),"",IF(J1855&lt;IF(D1855="Builder",MinEdgeBuilder,IF(D1855="Player",MinEdgePlayer,MinEdgeSingle)),0,ROUND(MIN(IF(D1855="Single",KellySingle,KellyBuilder)*(StartBank+SUM(P$1:P1854))*J1855/(G1855-1),IF(D1855="Builder",CapBuilder,CapSingle)*Unit),2)))</f>
        <v/>
      </c>
      <c r="L1855" s="10" t="n"/>
      <c r="N1855" s="10" t="n"/>
      <c r="O1855" s="10">
        <f>IF(L1855="","",IF(M1855="Won",L1855*G1855,IF(M1855="Void",L1855,IF(M1855="Cash out",N(N1855),IF(M1855="Lost",0,"")))))</f>
        <v/>
      </c>
      <c r="P1855" s="10">
        <f>IF(OR(L1855="",M1855="",M1855="Pending"),"",O1855-L1855)</f>
        <v/>
      </c>
      <c r="Q1855" s="21" t="n"/>
      <c r="R1855" s="11">
        <f>IF(OR(G1855="",Q1855=""),"",G1855/Q1855-1)</f>
        <v/>
      </c>
      <c r="S1855" s="10">
        <f>IF(OR(L1855="",J1855=""),"",L1855*J1855)</f>
        <v/>
      </c>
      <c r="T1855" s="10">
        <f>IF(P1855="","",StartBank+SUM(P$2:P1855))</f>
        <v/>
      </c>
    </row>
    <row r="1856">
      <c r="A1856" s="22" t="n"/>
      <c r="G1856" s="21" t="n"/>
      <c r="H1856" s="11" t="n"/>
      <c r="I1856" s="21">
        <f>IF(OR(H1856="",H1856=0),"",1/H1856)</f>
        <v/>
      </c>
      <c r="J1856" s="11">
        <f>IF(OR(G1856="",H1856=""),"",H1856*G1856-1)</f>
        <v/>
      </c>
      <c r="K1856" s="10">
        <f>IF(OR(G1856="",H1856="",G1856&lt;=1),"",IF(J1856&lt;IF(D1856="Builder",MinEdgeBuilder,IF(D1856="Player",MinEdgePlayer,MinEdgeSingle)),0,ROUND(MIN(IF(D1856="Single",KellySingle,KellyBuilder)*(StartBank+SUM(P$1:P1855))*J1856/(G1856-1),IF(D1856="Builder",CapBuilder,CapSingle)*Unit),2)))</f>
        <v/>
      </c>
      <c r="L1856" s="10" t="n"/>
      <c r="N1856" s="10" t="n"/>
      <c r="O1856" s="10">
        <f>IF(L1856="","",IF(M1856="Won",L1856*G1856,IF(M1856="Void",L1856,IF(M1856="Cash out",N(N1856),IF(M1856="Lost",0,"")))))</f>
        <v/>
      </c>
      <c r="P1856" s="10">
        <f>IF(OR(L1856="",M1856="",M1856="Pending"),"",O1856-L1856)</f>
        <v/>
      </c>
      <c r="Q1856" s="21" t="n"/>
      <c r="R1856" s="11">
        <f>IF(OR(G1856="",Q1856=""),"",G1856/Q1856-1)</f>
        <v/>
      </c>
      <c r="S1856" s="10">
        <f>IF(OR(L1856="",J1856=""),"",L1856*J1856)</f>
        <v/>
      </c>
      <c r="T1856" s="10">
        <f>IF(P1856="","",StartBank+SUM(P$2:P1856))</f>
        <v/>
      </c>
    </row>
    <row r="1857">
      <c r="A1857" s="22" t="n"/>
      <c r="G1857" s="21" t="n"/>
      <c r="H1857" s="11" t="n"/>
      <c r="I1857" s="21">
        <f>IF(OR(H1857="",H1857=0),"",1/H1857)</f>
        <v/>
      </c>
      <c r="J1857" s="11">
        <f>IF(OR(G1857="",H1857=""),"",H1857*G1857-1)</f>
        <v/>
      </c>
      <c r="K1857" s="10">
        <f>IF(OR(G1857="",H1857="",G1857&lt;=1),"",IF(J1857&lt;IF(D1857="Builder",MinEdgeBuilder,IF(D1857="Player",MinEdgePlayer,MinEdgeSingle)),0,ROUND(MIN(IF(D1857="Single",KellySingle,KellyBuilder)*(StartBank+SUM(P$1:P1856))*J1857/(G1857-1),IF(D1857="Builder",CapBuilder,CapSingle)*Unit),2)))</f>
        <v/>
      </c>
      <c r="L1857" s="10" t="n"/>
      <c r="N1857" s="10" t="n"/>
      <c r="O1857" s="10">
        <f>IF(L1857="","",IF(M1857="Won",L1857*G1857,IF(M1857="Void",L1857,IF(M1857="Cash out",N(N1857),IF(M1857="Lost",0,"")))))</f>
        <v/>
      </c>
      <c r="P1857" s="10">
        <f>IF(OR(L1857="",M1857="",M1857="Pending"),"",O1857-L1857)</f>
        <v/>
      </c>
      <c r="Q1857" s="21" t="n"/>
      <c r="R1857" s="11">
        <f>IF(OR(G1857="",Q1857=""),"",G1857/Q1857-1)</f>
        <v/>
      </c>
      <c r="S1857" s="10">
        <f>IF(OR(L1857="",J1857=""),"",L1857*J1857)</f>
        <v/>
      </c>
      <c r="T1857" s="10">
        <f>IF(P1857="","",StartBank+SUM(P$2:P1857))</f>
        <v/>
      </c>
    </row>
    <row r="1858">
      <c r="A1858" s="22" t="n"/>
      <c r="G1858" s="21" t="n"/>
      <c r="H1858" s="11" t="n"/>
      <c r="I1858" s="21">
        <f>IF(OR(H1858="",H1858=0),"",1/H1858)</f>
        <v/>
      </c>
      <c r="J1858" s="11">
        <f>IF(OR(G1858="",H1858=""),"",H1858*G1858-1)</f>
        <v/>
      </c>
      <c r="K1858" s="10">
        <f>IF(OR(G1858="",H1858="",G1858&lt;=1),"",IF(J1858&lt;IF(D1858="Builder",MinEdgeBuilder,IF(D1858="Player",MinEdgePlayer,MinEdgeSingle)),0,ROUND(MIN(IF(D1858="Single",KellySingle,KellyBuilder)*(StartBank+SUM(P$1:P1857))*J1858/(G1858-1),IF(D1858="Builder",CapBuilder,CapSingle)*Unit),2)))</f>
        <v/>
      </c>
      <c r="L1858" s="10" t="n"/>
      <c r="N1858" s="10" t="n"/>
      <c r="O1858" s="10">
        <f>IF(L1858="","",IF(M1858="Won",L1858*G1858,IF(M1858="Void",L1858,IF(M1858="Cash out",N(N1858),IF(M1858="Lost",0,"")))))</f>
        <v/>
      </c>
      <c r="P1858" s="10">
        <f>IF(OR(L1858="",M1858="",M1858="Pending"),"",O1858-L1858)</f>
        <v/>
      </c>
      <c r="Q1858" s="21" t="n"/>
      <c r="R1858" s="11">
        <f>IF(OR(G1858="",Q1858=""),"",G1858/Q1858-1)</f>
        <v/>
      </c>
      <c r="S1858" s="10">
        <f>IF(OR(L1858="",J1858=""),"",L1858*J1858)</f>
        <v/>
      </c>
      <c r="T1858" s="10">
        <f>IF(P1858="","",StartBank+SUM(P$2:P1858))</f>
        <v/>
      </c>
    </row>
    <row r="1859">
      <c r="A1859" s="22" t="n"/>
      <c r="G1859" s="21" t="n"/>
      <c r="H1859" s="11" t="n"/>
      <c r="I1859" s="21">
        <f>IF(OR(H1859="",H1859=0),"",1/H1859)</f>
        <v/>
      </c>
      <c r="J1859" s="11">
        <f>IF(OR(G1859="",H1859=""),"",H1859*G1859-1)</f>
        <v/>
      </c>
      <c r="K1859" s="10">
        <f>IF(OR(G1859="",H1859="",G1859&lt;=1),"",IF(J1859&lt;IF(D1859="Builder",MinEdgeBuilder,IF(D1859="Player",MinEdgePlayer,MinEdgeSingle)),0,ROUND(MIN(IF(D1859="Single",KellySingle,KellyBuilder)*(StartBank+SUM(P$1:P1858))*J1859/(G1859-1),IF(D1859="Builder",CapBuilder,CapSingle)*Unit),2)))</f>
        <v/>
      </c>
      <c r="L1859" s="10" t="n"/>
      <c r="N1859" s="10" t="n"/>
      <c r="O1859" s="10">
        <f>IF(L1859="","",IF(M1859="Won",L1859*G1859,IF(M1859="Void",L1859,IF(M1859="Cash out",N(N1859),IF(M1859="Lost",0,"")))))</f>
        <v/>
      </c>
      <c r="P1859" s="10">
        <f>IF(OR(L1859="",M1859="",M1859="Pending"),"",O1859-L1859)</f>
        <v/>
      </c>
      <c r="Q1859" s="21" t="n"/>
      <c r="R1859" s="11">
        <f>IF(OR(G1859="",Q1859=""),"",G1859/Q1859-1)</f>
        <v/>
      </c>
      <c r="S1859" s="10">
        <f>IF(OR(L1859="",J1859=""),"",L1859*J1859)</f>
        <v/>
      </c>
      <c r="T1859" s="10">
        <f>IF(P1859="","",StartBank+SUM(P$2:P1859))</f>
        <v/>
      </c>
    </row>
    <row r="1860">
      <c r="A1860" s="22" t="n"/>
      <c r="G1860" s="21" t="n"/>
      <c r="H1860" s="11" t="n"/>
      <c r="I1860" s="21">
        <f>IF(OR(H1860="",H1860=0),"",1/H1860)</f>
        <v/>
      </c>
      <c r="J1860" s="11">
        <f>IF(OR(G1860="",H1860=""),"",H1860*G1860-1)</f>
        <v/>
      </c>
      <c r="K1860" s="10">
        <f>IF(OR(G1860="",H1860="",G1860&lt;=1),"",IF(J1860&lt;IF(D1860="Builder",MinEdgeBuilder,IF(D1860="Player",MinEdgePlayer,MinEdgeSingle)),0,ROUND(MIN(IF(D1860="Single",KellySingle,KellyBuilder)*(StartBank+SUM(P$1:P1859))*J1860/(G1860-1),IF(D1860="Builder",CapBuilder,CapSingle)*Unit),2)))</f>
        <v/>
      </c>
      <c r="L1860" s="10" t="n"/>
      <c r="N1860" s="10" t="n"/>
      <c r="O1860" s="10">
        <f>IF(L1860="","",IF(M1860="Won",L1860*G1860,IF(M1860="Void",L1860,IF(M1860="Cash out",N(N1860),IF(M1860="Lost",0,"")))))</f>
        <v/>
      </c>
      <c r="P1860" s="10">
        <f>IF(OR(L1860="",M1860="",M1860="Pending"),"",O1860-L1860)</f>
        <v/>
      </c>
      <c r="Q1860" s="21" t="n"/>
      <c r="R1860" s="11">
        <f>IF(OR(G1860="",Q1860=""),"",G1860/Q1860-1)</f>
        <v/>
      </c>
      <c r="S1860" s="10">
        <f>IF(OR(L1860="",J1860=""),"",L1860*J1860)</f>
        <v/>
      </c>
      <c r="T1860" s="10">
        <f>IF(P1860="","",StartBank+SUM(P$2:P1860))</f>
        <v/>
      </c>
    </row>
    <row r="1861">
      <c r="A1861" s="22" t="n"/>
      <c r="G1861" s="21" t="n"/>
      <c r="H1861" s="11" t="n"/>
      <c r="I1861" s="21">
        <f>IF(OR(H1861="",H1861=0),"",1/H1861)</f>
        <v/>
      </c>
      <c r="J1861" s="11">
        <f>IF(OR(G1861="",H1861=""),"",H1861*G1861-1)</f>
        <v/>
      </c>
      <c r="K1861" s="10">
        <f>IF(OR(G1861="",H1861="",G1861&lt;=1),"",IF(J1861&lt;IF(D1861="Builder",MinEdgeBuilder,IF(D1861="Player",MinEdgePlayer,MinEdgeSingle)),0,ROUND(MIN(IF(D1861="Single",KellySingle,KellyBuilder)*(StartBank+SUM(P$1:P1860))*J1861/(G1861-1),IF(D1861="Builder",CapBuilder,CapSingle)*Unit),2)))</f>
        <v/>
      </c>
      <c r="L1861" s="10" t="n"/>
      <c r="N1861" s="10" t="n"/>
      <c r="O1861" s="10">
        <f>IF(L1861="","",IF(M1861="Won",L1861*G1861,IF(M1861="Void",L1861,IF(M1861="Cash out",N(N1861),IF(M1861="Lost",0,"")))))</f>
        <v/>
      </c>
      <c r="P1861" s="10">
        <f>IF(OR(L1861="",M1861="",M1861="Pending"),"",O1861-L1861)</f>
        <v/>
      </c>
      <c r="Q1861" s="21" t="n"/>
      <c r="R1861" s="11">
        <f>IF(OR(G1861="",Q1861=""),"",G1861/Q1861-1)</f>
        <v/>
      </c>
      <c r="S1861" s="10">
        <f>IF(OR(L1861="",J1861=""),"",L1861*J1861)</f>
        <v/>
      </c>
      <c r="T1861" s="10">
        <f>IF(P1861="","",StartBank+SUM(P$2:P1861))</f>
        <v/>
      </c>
    </row>
    <row r="1862">
      <c r="A1862" s="22" t="n"/>
      <c r="G1862" s="21" t="n"/>
      <c r="H1862" s="11" t="n"/>
      <c r="I1862" s="21">
        <f>IF(OR(H1862="",H1862=0),"",1/H1862)</f>
        <v/>
      </c>
      <c r="J1862" s="11">
        <f>IF(OR(G1862="",H1862=""),"",H1862*G1862-1)</f>
        <v/>
      </c>
      <c r="K1862" s="10">
        <f>IF(OR(G1862="",H1862="",G1862&lt;=1),"",IF(J1862&lt;IF(D1862="Builder",MinEdgeBuilder,IF(D1862="Player",MinEdgePlayer,MinEdgeSingle)),0,ROUND(MIN(IF(D1862="Single",KellySingle,KellyBuilder)*(StartBank+SUM(P$1:P1861))*J1862/(G1862-1),IF(D1862="Builder",CapBuilder,CapSingle)*Unit),2)))</f>
        <v/>
      </c>
      <c r="L1862" s="10" t="n"/>
      <c r="N1862" s="10" t="n"/>
      <c r="O1862" s="10">
        <f>IF(L1862="","",IF(M1862="Won",L1862*G1862,IF(M1862="Void",L1862,IF(M1862="Cash out",N(N1862),IF(M1862="Lost",0,"")))))</f>
        <v/>
      </c>
      <c r="P1862" s="10">
        <f>IF(OR(L1862="",M1862="",M1862="Pending"),"",O1862-L1862)</f>
        <v/>
      </c>
      <c r="Q1862" s="21" t="n"/>
      <c r="R1862" s="11">
        <f>IF(OR(G1862="",Q1862=""),"",G1862/Q1862-1)</f>
        <v/>
      </c>
      <c r="S1862" s="10">
        <f>IF(OR(L1862="",J1862=""),"",L1862*J1862)</f>
        <v/>
      </c>
      <c r="T1862" s="10">
        <f>IF(P1862="","",StartBank+SUM(P$2:P1862))</f>
        <v/>
      </c>
    </row>
    <row r="1863">
      <c r="A1863" s="22" t="n"/>
      <c r="G1863" s="21" t="n"/>
      <c r="H1863" s="11" t="n"/>
      <c r="I1863" s="21">
        <f>IF(OR(H1863="",H1863=0),"",1/H1863)</f>
        <v/>
      </c>
      <c r="J1863" s="11">
        <f>IF(OR(G1863="",H1863=""),"",H1863*G1863-1)</f>
        <v/>
      </c>
      <c r="K1863" s="10">
        <f>IF(OR(G1863="",H1863="",G1863&lt;=1),"",IF(J1863&lt;IF(D1863="Builder",MinEdgeBuilder,IF(D1863="Player",MinEdgePlayer,MinEdgeSingle)),0,ROUND(MIN(IF(D1863="Single",KellySingle,KellyBuilder)*(StartBank+SUM(P$1:P1862))*J1863/(G1863-1),IF(D1863="Builder",CapBuilder,CapSingle)*Unit),2)))</f>
        <v/>
      </c>
      <c r="L1863" s="10" t="n"/>
      <c r="N1863" s="10" t="n"/>
      <c r="O1863" s="10">
        <f>IF(L1863="","",IF(M1863="Won",L1863*G1863,IF(M1863="Void",L1863,IF(M1863="Cash out",N(N1863),IF(M1863="Lost",0,"")))))</f>
        <v/>
      </c>
      <c r="P1863" s="10">
        <f>IF(OR(L1863="",M1863="",M1863="Pending"),"",O1863-L1863)</f>
        <v/>
      </c>
      <c r="Q1863" s="21" t="n"/>
      <c r="R1863" s="11">
        <f>IF(OR(G1863="",Q1863=""),"",G1863/Q1863-1)</f>
        <v/>
      </c>
      <c r="S1863" s="10">
        <f>IF(OR(L1863="",J1863=""),"",L1863*J1863)</f>
        <v/>
      </c>
      <c r="T1863" s="10">
        <f>IF(P1863="","",StartBank+SUM(P$2:P1863))</f>
        <v/>
      </c>
    </row>
    <row r="1864">
      <c r="A1864" s="22" t="n"/>
      <c r="G1864" s="21" t="n"/>
      <c r="H1864" s="11" t="n"/>
      <c r="I1864" s="21">
        <f>IF(OR(H1864="",H1864=0),"",1/H1864)</f>
        <v/>
      </c>
      <c r="J1864" s="11">
        <f>IF(OR(G1864="",H1864=""),"",H1864*G1864-1)</f>
        <v/>
      </c>
      <c r="K1864" s="10">
        <f>IF(OR(G1864="",H1864="",G1864&lt;=1),"",IF(J1864&lt;IF(D1864="Builder",MinEdgeBuilder,IF(D1864="Player",MinEdgePlayer,MinEdgeSingle)),0,ROUND(MIN(IF(D1864="Single",KellySingle,KellyBuilder)*(StartBank+SUM(P$1:P1863))*J1864/(G1864-1),IF(D1864="Builder",CapBuilder,CapSingle)*Unit),2)))</f>
        <v/>
      </c>
      <c r="L1864" s="10" t="n"/>
      <c r="N1864" s="10" t="n"/>
      <c r="O1864" s="10">
        <f>IF(L1864="","",IF(M1864="Won",L1864*G1864,IF(M1864="Void",L1864,IF(M1864="Cash out",N(N1864),IF(M1864="Lost",0,"")))))</f>
        <v/>
      </c>
      <c r="P1864" s="10">
        <f>IF(OR(L1864="",M1864="",M1864="Pending"),"",O1864-L1864)</f>
        <v/>
      </c>
      <c r="Q1864" s="21" t="n"/>
      <c r="R1864" s="11">
        <f>IF(OR(G1864="",Q1864=""),"",G1864/Q1864-1)</f>
        <v/>
      </c>
      <c r="S1864" s="10">
        <f>IF(OR(L1864="",J1864=""),"",L1864*J1864)</f>
        <v/>
      </c>
      <c r="T1864" s="10">
        <f>IF(P1864="","",StartBank+SUM(P$2:P1864))</f>
        <v/>
      </c>
    </row>
    <row r="1865">
      <c r="A1865" s="22" t="n"/>
      <c r="G1865" s="21" t="n"/>
      <c r="H1865" s="11" t="n"/>
      <c r="I1865" s="21">
        <f>IF(OR(H1865="",H1865=0),"",1/H1865)</f>
        <v/>
      </c>
      <c r="J1865" s="11">
        <f>IF(OR(G1865="",H1865=""),"",H1865*G1865-1)</f>
        <v/>
      </c>
      <c r="K1865" s="10">
        <f>IF(OR(G1865="",H1865="",G1865&lt;=1),"",IF(J1865&lt;IF(D1865="Builder",MinEdgeBuilder,IF(D1865="Player",MinEdgePlayer,MinEdgeSingle)),0,ROUND(MIN(IF(D1865="Single",KellySingle,KellyBuilder)*(StartBank+SUM(P$1:P1864))*J1865/(G1865-1),IF(D1865="Builder",CapBuilder,CapSingle)*Unit),2)))</f>
        <v/>
      </c>
      <c r="L1865" s="10" t="n"/>
      <c r="N1865" s="10" t="n"/>
      <c r="O1865" s="10">
        <f>IF(L1865="","",IF(M1865="Won",L1865*G1865,IF(M1865="Void",L1865,IF(M1865="Cash out",N(N1865),IF(M1865="Lost",0,"")))))</f>
        <v/>
      </c>
      <c r="P1865" s="10">
        <f>IF(OR(L1865="",M1865="",M1865="Pending"),"",O1865-L1865)</f>
        <v/>
      </c>
      <c r="Q1865" s="21" t="n"/>
      <c r="R1865" s="11">
        <f>IF(OR(G1865="",Q1865=""),"",G1865/Q1865-1)</f>
        <v/>
      </c>
      <c r="S1865" s="10">
        <f>IF(OR(L1865="",J1865=""),"",L1865*J1865)</f>
        <v/>
      </c>
      <c r="T1865" s="10">
        <f>IF(P1865="","",StartBank+SUM(P$2:P1865))</f>
        <v/>
      </c>
    </row>
    <row r="1866">
      <c r="A1866" s="22" t="n"/>
      <c r="G1866" s="21" t="n"/>
      <c r="H1866" s="11" t="n"/>
      <c r="I1866" s="21">
        <f>IF(OR(H1866="",H1866=0),"",1/H1866)</f>
        <v/>
      </c>
      <c r="J1866" s="11">
        <f>IF(OR(G1866="",H1866=""),"",H1866*G1866-1)</f>
        <v/>
      </c>
      <c r="K1866" s="10">
        <f>IF(OR(G1866="",H1866="",G1866&lt;=1),"",IF(J1866&lt;IF(D1866="Builder",MinEdgeBuilder,IF(D1866="Player",MinEdgePlayer,MinEdgeSingle)),0,ROUND(MIN(IF(D1866="Single",KellySingle,KellyBuilder)*(StartBank+SUM(P$1:P1865))*J1866/(G1866-1),IF(D1866="Builder",CapBuilder,CapSingle)*Unit),2)))</f>
        <v/>
      </c>
      <c r="L1866" s="10" t="n"/>
      <c r="N1866" s="10" t="n"/>
      <c r="O1866" s="10">
        <f>IF(L1866="","",IF(M1866="Won",L1866*G1866,IF(M1866="Void",L1866,IF(M1866="Cash out",N(N1866),IF(M1866="Lost",0,"")))))</f>
        <v/>
      </c>
      <c r="P1866" s="10">
        <f>IF(OR(L1866="",M1866="",M1866="Pending"),"",O1866-L1866)</f>
        <v/>
      </c>
      <c r="Q1866" s="21" t="n"/>
      <c r="R1866" s="11">
        <f>IF(OR(G1866="",Q1866=""),"",G1866/Q1866-1)</f>
        <v/>
      </c>
      <c r="S1866" s="10">
        <f>IF(OR(L1866="",J1866=""),"",L1866*J1866)</f>
        <v/>
      </c>
      <c r="T1866" s="10">
        <f>IF(P1866="","",StartBank+SUM(P$2:P1866))</f>
        <v/>
      </c>
    </row>
    <row r="1867">
      <c r="A1867" s="22" t="n"/>
      <c r="G1867" s="21" t="n"/>
      <c r="H1867" s="11" t="n"/>
      <c r="I1867" s="21">
        <f>IF(OR(H1867="",H1867=0),"",1/H1867)</f>
        <v/>
      </c>
      <c r="J1867" s="11">
        <f>IF(OR(G1867="",H1867=""),"",H1867*G1867-1)</f>
        <v/>
      </c>
      <c r="K1867" s="10">
        <f>IF(OR(G1867="",H1867="",G1867&lt;=1),"",IF(J1867&lt;IF(D1867="Builder",MinEdgeBuilder,IF(D1867="Player",MinEdgePlayer,MinEdgeSingle)),0,ROUND(MIN(IF(D1867="Single",KellySingle,KellyBuilder)*(StartBank+SUM(P$1:P1866))*J1867/(G1867-1),IF(D1867="Builder",CapBuilder,CapSingle)*Unit),2)))</f>
        <v/>
      </c>
      <c r="L1867" s="10" t="n"/>
      <c r="N1867" s="10" t="n"/>
      <c r="O1867" s="10">
        <f>IF(L1867="","",IF(M1867="Won",L1867*G1867,IF(M1867="Void",L1867,IF(M1867="Cash out",N(N1867),IF(M1867="Lost",0,"")))))</f>
        <v/>
      </c>
      <c r="P1867" s="10">
        <f>IF(OR(L1867="",M1867="",M1867="Pending"),"",O1867-L1867)</f>
        <v/>
      </c>
      <c r="Q1867" s="21" t="n"/>
      <c r="R1867" s="11">
        <f>IF(OR(G1867="",Q1867=""),"",G1867/Q1867-1)</f>
        <v/>
      </c>
      <c r="S1867" s="10">
        <f>IF(OR(L1867="",J1867=""),"",L1867*J1867)</f>
        <v/>
      </c>
      <c r="T1867" s="10">
        <f>IF(P1867="","",StartBank+SUM(P$2:P1867))</f>
        <v/>
      </c>
    </row>
    <row r="1868">
      <c r="A1868" s="22" t="n"/>
      <c r="G1868" s="21" t="n"/>
      <c r="H1868" s="11" t="n"/>
      <c r="I1868" s="21">
        <f>IF(OR(H1868="",H1868=0),"",1/H1868)</f>
        <v/>
      </c>
      <c r="J1868" s="11">
        <f>IF(OR(G1868="",H1868=""),"",H1868*G1868-1)</f>
        <v/>
      </c>
      <c r="K1868" s="10">
        <f>IF(OR(G1868="",H1868="",G1868&lt;=1),"",IF(J1868&lt;IF(D1868="Builder",MinEdgeBuilder,IF(D1868="Player",MinEdgePlayer,MinEdgeSingle)),0,ROUND(MIN(IF(D1868="Single",KellySingle,KellyBuilder)*(StartBank+SUM(P$1:P1867))*J1868/(G1868-1),IF(D1868="Builder",CapBuilder,CapSingle)*Unit),2)))</f>
        <v/>
      </c>
      <c r="L1868" s="10" t="n"/>
      <c r="N1868" s="10" t="n"/>
      <c r="O1868" s="10">
        <f>IF(L1868="","",IF(M1868="Won",L1868*G1868,IF(M1868="Void",L1868,IF(M1868="Cash out",N(N1868),IF(M1868="Lost",0,"")))))</f>
        <v/>
      </c>
      <c r="P1868" s="10">
        <f>IF(OR(L1868="",M1868="",M1868="Pending"),"",O1868-L1868)</f>
        <v/>
      </c>
      <c r="Q1868" s="21" t="n"/>
      <c r="R1868" s="11">
        <f>IF(OR(G1868="",Q1868=""),"",G1868/Q1868-1)</f>
        <v/>
      </c>
      <c r="S1868" s="10">
        <f>IF(OR(L1868="",J1868=""),"",L1868*J1868)</f>
        <v/>
      </c>
      <c r="T1868" s="10">
        <f>IF(P1868="","",StartBank+SUM(P$2:P1868))</f>
        <v/>
      </c>
    </row>
    <row r="1869">
      <c r="A1869" s="22" t="n"/>
      <c r="G1869" s="21" t="n"/>
      <c r="H1869" s="11" t="n"/>
      <c r="I1869" s="21">
        <f>IF(OR(H1869="",H1869=0),"",1/H1869)</f>
        <v/>
      </c>
      <c r="J1869" s="11">
        <f>IF(OR(G1869="",H1869=""),"",H1869*G1869-1)</f>
        <v/>
      </c>
      <c r="K1869" s="10">
        <f>IF(OR(G1869="",H1869="",G1869&lt;=1),"",IF(J1869&lt;IF(D1869="Builder",MinEdgeBuilder,IF(D1869="Player",MinEdgePlayer,MinEdgeSingle)),0,ROUND(MIN(IF(D1869="Single",KellySingle,KellyBuilder)*(StartBank+SUM(P$1:P1868))*J1869/(G1869-1),IF(D1869="Builder",CapBuilder,CapSingle)*Unit),2)))</f>
        <v/>
      </c>
      <c r="L1869" s="10" t="n"/>
      <c r="N1869" s="10" t="n"/>
      <c r="O1869" s="10">
        <f>IF(L1869="","",IF(M1869="Won",L1869*G1869,IF(M1869="Void",L1869,IF(M1869="Cash out",N(N1869),IF(M1869="Lost",0,"")))))</f>
        <v/>
      </c>
      <c r="P1869" s="10">
        <f>IF(OR(L1869="",M1869="",M1869="Pending"),"",O1869-L1869)</f>
        <v/>
      </c>
      <c r="Q1869" s="21" t="n"/>
      <c r="R1869" s="11">
        <f>IF(OR(G1869="",Q1869=""),"",G1869/Q1869-1)</f>
        <v/>
      </c>
      <c r="S1869" s="10">
        <f>IF(OR(L1869="",J1869=""),"",L1869*J1869)</f>
        <v/>
      </c>
      <c r="T1869" s="10">
        <f>IF(P1869="","",StartBank+SUM(P$2:P1869))</f>
        <v/>
      </c>
    </row>
    <row r="1870">
      <c r="A1870" s="22" t="n"/>
      <c r="G1870" s="21" t="n"/>
      <c r="H1870" s="11" t="n"/>
      <c r="I1870" s="21">
        <f>IF(OR(H1870="",H1870=0),"",1/H1870)</f>
        <v/>
      </c>
      <c r="J1870" s="11">
        <f>IF(OR(G1870="",H1870=""),"",H1870*G1870-1)</f>
        <v/>
      </c>
      <c r="K1870" s="10">
        <f>IF(OR(G1870="",H1870="",G1870&lt;=1),"",IF(J1870&lt;IF(D1870="Builder",MinEdgeBuilder,IF(D1870="Player",MinEdgePlayer,MinEdgeSingle)),0,ROUND(MIN(IF(D1870="Single",KellySingle,KellyBuilder)*(StartBank+SUM(P$1:P1869))*J1870/(G1870-1),IF(D1870="Builder",CapBuilder,CapSingle)*Unit),2)))</f>
        <v/>
      </c>
      <c r="L1870" s="10" t="n"/>
      <c r="N1870" s="10" t="n"/>
      <c r="O1870" s="10">
        <f>IF(L1870="","",IF(M1870="Won",L1870*G1870,IF(M1870="Void",L1870,IF(M1870="Cash out",N(N1870),IF(M1870="Lost",0,"")))))</f>
        <v/>
      </c>
      <c r="P1870" s="10">
        <f>IF(OR(L1870="",M1870="",M1870="Pending"),"",O1870-L1870)</f>
        <v/>
      </c>
      <c r="Q1870" s="21" t="n"/>
      <c r="R1870" s="11">
        <f>IF(OR(G1870="",Q1870=""),"",G1870/Q1870-1)</f>
        <v/>
      </c>
      <c r="S1870" s="10">
        <f>IF(OR(L1870="",J1870=""),"",L1870*J1870)</f>
        <v/>
      </c>
      <c r="T1870" s="10">
        <f>IF(P1870="","",StartBank+SUM(P$2:P1870))</f>
        <v/>
      </c>
    </row>
    <row r="1871">
      <c r="A1871" s="22" t="n"/>
      <c r="G1871" s="21" t="n"/>
      <c r="H1871" s="11" t="n"/>
      <c r="I1871" s="21">
        <f>IF(OR(H1871="",H1871=0),"",1/H1871)</f>
        <v/>
      </c>
      <c r="J1871" s="11">
        <f>IF(OR(G1871="",H1871=""),"",H1871*G1871-1)</f>
        <v/>
      </c>
      <c r="K1871" s="10">
        <f>IF(OR(G1871="",H1871="",G1871&lt;=1),"",IF(J1871&lt;IF(D1871="Builder",MinEdgeBuilder,IF(D1871="Player",MinEdgePlayer,MinEdgeSingle)),0,ROUND(MIN(IF(D1871="Single",KellySingle,KellyBuilder)*(StartBank+SUM(P$1:P1870))*J1871/(G1871-1),IF(D1871="Builder",CapBuilder,CapSingle)*Unit),2)))</f>
        <v/>
      </c>
      <c r="L1871" s="10" t="n"/>
      <c r="N1871" s="10" t="n"/>
      <c r="O1871" s="10">
        <f>IF(L1871="","",IF(M1871="Won",L1871*G1871,IF(M1871="Void",L1871,IF(M1871="Cash out",N(N1871),IF(M1871="Lost",0,"")))))</f>
        <v/>
      </c>
      <c r="P1871" s="10">
        <f>IF(OR(L1871="",M1871="",M1871="Pending"),"",O1871-L1871)</f>
        <v/>
      </c>
      <c r="Q1871" s="21" t="n"/>
      <c r="R1871" s="11">
        <f>IF(OR(G1871="",Q1871=""),"",G1871/Q1871-1)</f>
        <v/>
      </c>
      <c r="S1871" s="10">
        <f>IF(OR(L1871="",J1871=""),"",L1871*J1871)</f>
        <v/>
      </c>
      <c r="T1871" s="10">
        <f>IF(P1871="","",StartBank+SUM(P$2:P1871))</f>
        <v/>
      </c>
    </row>
    <row r="1872">
      <c r="A1872" s="22" t="n"/>
      <c r="G1872" s="21" t="n"/>
      <c r="H1872" s="11" t="n"/>
      <c r="I1872" s="21">
        <f>IF(OR(H1872="",H1872=0),"",1/H1872)</f>
        <v/>
      </c>
      <c r="J1872" s="11">
        <f>IF(OR(G1872="",H1872=""),"",H1872*G1872-1)</f>
        <v/>
      </c>
      <c r="K1872" s="10">
        <f>IF(OR(G1872="",H1872="",G1872&lt;=1),"",IF(J1872&lt;IF(D1872="Builder",MinEdgeBuilder,IF(D1872="Player",MinEdgePlayer,MinEdgeSingle)),0,ROUND(MIN(IF(D1872="Single",KellySingle,KellyBuilder)*(StartBank+SUM(P$1:P1871))*J1872/(G1872-1),IF(D1872="Builder",CapBuilder,CapSingle)*Unit),2)))</f>
        <v/>
      </c>
      <c r="L1872" s="10" t="n"/>
      <c r="N1872" s="10" t="n"/>
      <c r="O1872" s="10">
        <f>IF(L1872="","",IF(M1872="Won",L1872*G1872,IF(M1872="Void",L1872,IF(M1872="Cash out",N(N1872),IF(M1872="Lost",0,"")))))</f>
        <v/>
      </c>
      <c r="P1872" s="10">
        <f>IF(OR(L1872="",M1872="",M1872="Pending"),"",O1872-L1872)</f>
        <v/>
      </c>
      <c r="Q1872" s="21" t="n"/>
      <c r="R1872" s="11">
        <f>IF(OR(G1872="",Q1872=""),"",G1872/Q1872-1)</f>
        <v/>
      </c>
      <c r="S1872" s="10">
        <f>IF(OR(L1872="",J1872=""),"",L1872*J1872)</f>
        <v/>
      </c>
      <c r="T1872" s="10">
        <f>IF(P1872="","",StartBank+SUM(P$2:P1872))</f>
        <v/>
      </c>
    </row>
    <row r="1873">
      <c r="A1873" s="22" t="n"/>
      <c r="G1873" s="21" t="n"/>
      <c r="H1873" s="11" t="n"/>
      <c r="I1873" s="21">
        <f>IF(OR(H1873="",H1873=0),"",1/H1873)</f>
        <v/>
      </c>
      <c r="J1873" s="11">
        <f>IF(OR(G1873="",H1873=""),"",H1873*G1873-1)</f>
        <v/>
      </c>
      <c r="K1873" s="10">
        <f>IF(OR(G1873="",H1873="",G1873&lt;=1),"",IF(J1873&lt;IF(D1873="Builder",MinEdgeBuilder,IF(D1873="Player",MinEdgePlayer,MinEdgeSingle)),0,ROUND(MIN(IF(D1873="Single",KellySingle,KellyBuilder)*(StartBank+SUM(P$1:P1872))*J1873/(G1873-1),IF(D1873="Builder",CapBuilder,CapSingle)*Unit),2)))</f>
        <v/>
      </c>
      <c r="L1873" s="10" t="n"/>
      <c r="N1873" s="10" t="n"/>
      <c r="O1873" s="10">
        <f>IF(L1873="","",IF(M1873="Won",L1873*G1873,IF(M1873="Void",L1873,IF(M1873="Cash out",N(N1873),IF(M1873="Lost",0,"")))))</f>
        <v/>
      </c>
      <c r="P1873" s="10">
        <f>IF(OR(L1873="",M1873="",M1873="Pending"),"",O1873-L1873)</f>
        <v/>
      </c>
      <c r="Q1873" s="21" t="n"/>
      <c r="R1873" s="11">
        <f>IF(OR(G1873="",Q1873=""),"",G1873/Q1873-1)</f>
        <v/>
      </c>
      <c r="S1873" s="10">
        <f>IF(OR(L1873="",J1873=""),"",L1873*J1873)</f>
        <v/>
      </c>
      <c r="T1873" s="10">
        <f>IF(P1873="","",StartBank+SUM(P$2:P1873))</f>
        <v/>
      </c>
    </row>
    <row r="1874">
      <c r="A1874" s="22" t="n"/>
      <c r="G1874" s="21" t="n"/>
      <c r="H1874" s="11" t="n"/>
      <c r="I1874" s="21">
        <f>IF(OR(H1874="",H1874=0),"",1/H1874)</f>
        <v/>
      </c>
      <c r="J1874" s="11">
        <f>IF(OR(G1874="",H1874=""),"",H1874*G1874-1)</f>
        <v/>
      </c>
      <c r="K1874" s="10">
        <f>IF(OR(G1874="",H1874="",G1874&lt;=1),"",IF(J1874&lt;IF(D1874="Builder",MinEdgeBuilder,IF(D1874="Player",MinEdgePlayer,MinEdgeSingle)),0,ROUND(MIN(IF(D1874="Single",KellySingle,KellyBuilder)*(StartBank+SUM(P$1:P1873))*J1874/(G1874-1),IF(D1874="Builder",CapBuilder,CapSingle)*Unit),2)))</f>
        <v/>
      </c>
      <c r="L1874" s="10" t="n"/>
      <c r="N1874" s="10" t="n"/>
      <c r="O1874" s="10">
        <f>IF(L1874="","",IF(M1874="Won",L1874*G1874,IF(M1874="Void",L1874,IF(M1874="Cash out",N(N1874),IF(M1874="Lost",0,"")))))</f>
        <v/>
      </c>
      <c r="P1874" s="10">
        <f>IF(OR(L1874="",M1874="",M1874="Pending"),"",O1874-L1874)</f>
        <v/>
      </c>
      <c r="Q1874" s="21" t="n"/>
      <c r="R1874" s="11">
        <f>IF(OR(G1874="",Q1874=""),"",G1874/Q1874-1)</f>
        <v/>
      </c>
      <c r="S1874" s="10">
        <f>IF(OR(L1874="",J1874=""),"",L1874*J1874)</f>
        <v/>
      </c>
      <c r="T1874" s="10">
        <f>IF(P1874="","",StartBank+SUM(P$2:P1874))</f>
        <v/>
      </c>
    </row>
    <row r="1875">
      <c r="A1875" s="22" t="n"/>
      <c r="G1875" s="21" t="n"/>
      <c r="H1875" s="11" t="n"/>
      <c r="I1875" s="21">
        <f>IF(OR(H1875="",H1875=0),"",1/H1875)</f>
        <v/>
      </c>
      <c r="J1875" s="11">
        <f>IF(OR(G1875="",H1875=""),"",H1875*G1875-1)</f>
        <v/>
      </c>
      <c r="K1875" s="10">
        <f>IF(OR(G1875="",H1875="",G1875&lt;=1),"",IF(J1875&lt;IF(D1875="Builder",MinEdgeBuilder,IF(D1875="Player",MinEdgePlayer,MinEdgeSingle)),0,ROUND(MIN(IF(D1875="Single",KellySingle,KellyBuilder)*(StartBank+SUM(P$1:P1874))*J1875/(G1875-1),IF(D1875="Builder",CapBuilder,CapSingle)*Unit),2)))</f>
        <v/>
      </c>
      <c r="L1875" s="10" t="n"/>
      <c r="N1875" s="10" t="n"/>
      <c r="O1875" s="10">
        <f>IF(L1875="","",IF(M1875="Won",L1875*G1875,IF(M1875="Void",L1875,IF(M1875="Cash out",N(N1875),IF(M1875="Lost",0,"")))))</f>
        <v/>
      </c>
      <c r="P1875" s="10">
        <f>IF(OR(L1875="",M1875="",M1875="Pending"),"",O1875-L1875)</f>
        <v/>
      </c>
      <c r="Q1875" s="21" t="n"/>
      <c r="R1875" s="11">
        <f>IF(OR(G1875="",Q1875=""),"",G1875/Q1875-1)</f>
        <v/>
      </c>
      <c r="S1875" s="10">
        <f>IF(OR(L1875="",J1875=""),"",L1875*J1875)</f>
        <v/>
      </c>
      <c r="T1875" s="10">
        <f>IF(P1875="","",StartBank+SUM(P$2:P1875))</f>
        <v/>
      </c>
    </row>
    <row r="1876">
      <c r="A1876" s="22" t="n"/>
      <c r="G1876" s="21" t="n"/>
      <c r="H1876" s="11" t="n"/>
      <c r="I1876" s="21">
        <f>IF(OR(H1876="",H1876=0),"",1/H1876)</f>
        <v/>
      </c>
      <c r="J1876" s="11">
        <f>IF(OR(G1876="",H1876=""),"",H1876*G1876-1)</f>
        <v/>
      </c>
      <c r="K1876" s="10">
        <f>IF(OR(G1876="",H1876="",G1876&lt;=1),"",IF(J1876&lt;IF(D1876="Builder",MinEdgeBuilder,IF(D1876="Player",MinEdgePlayer,MinEdgeSingle)),0,ROUND(MIN(IF(D1876="Single",KellySingle,KellyBuilder)*(StartBank+SUM(P$1:P1875))*J1876/(G1876-1),IF(D1876="Builder",CapBuilder,CapSingle)*Unit),2)))</f>
        <v/>
      </c>
      <c r="L1876" s="10" t="n"/>
      <c r="N1876" s="10" t="n"/>
      <c r="O1876" s="10">
        <f>IF(L1876="","",IF(M1876="Won",L1876*G1876,IF(M1876="Void",L1876,IF(M1876="Cash out",N(N1876),IF(M1876="Lost",0,"")))))</f>
        <v/>
      </c>
      <c r="P1876" s="10">
        <f>IF(OR(L1876="",M1876="",M1876="Pending"),"",O1876-L1876)</f>
        <v/>
      </c>
      <c r="Q1876" s="21" t="n"/>
      <c r="R1876" s="11">
        <f>IF(OR(G1876="",Q1876=""),"",G1876/Q1876-1)</f>
        <v/>
      </c>
      <c r="S1876" s="10">
        <f>IF(OR(L1876="",J1876=""),"",L1876*J1876)</f>
        <v/>
      </c>
      <c r="T1876" s="10">
        <f>IF(P1876="","",StartBank+SUM(P$2:P1876))</f>
        <v/>
      </c>
    </row>
    <row r="1877">
      <c r="A1877" s="22" t="n"/>
      <c r="G1877" s="21" t="n"/>
      <c r="H1877" s="11" t="n"/>
      <c r="I1877" s="21">
        <f>IF(OR(H1877="",H1877=0),"",1/H1877)</f>
        <v/>
      </c>
      <c r="J1877" s="11">
        <f>IF(OR(G1877="",H1877=""),"",H1877*G1877-1)</f>
        <v/>
      </c>
      <c r="K1877" s="10">
        <f>IF(OR(G1877="",H1877="",G1877&lt;=1),"",IF(J1877&lt;IF(D1877="Builder",MinEdgeBuilder,IF(D1877="Player",MinEdgePlayer,MinEdgeSingle)),0,ROUND(MIN(IF(D1877="Single",KellySingle,KellyBuilder)*(StartBank+SUM(P$1:P1876))*J1877/(G1877-1),IF(D1877="Builder",CapBuilder,CapSingle)*Unit),2)))</f>
        <v/>
      </c>
      <c r="L1877" s="10" t="n"/>
      <c r="N1877" s="10" t="n"/>
      <c r="O1877" s="10">
        <f>IF(L1877="","",IF(M1877="Won",L1877*G1877,IF(M1877="Void",L1877,IF(M1877="Cash out",N(N1877),IF(M1877="Lost",0,"")))))</f>
        <v/>
      </c>
      <c r="P1877" s="10">
        <f>IF(OR(L1877="",M1877="",M1877="Pending"),"",O1877-L1877)</f>
        <v/>
      </c>
      <c r="Q1877" s="21" t="n"/>
      <c r="R1877" s="11">
        <f>IF(OR(G1877="",Q1877=""),"",G1877/Q1877-1)</f>
        <v/>
      </c>
      <c r="S1877" s="10">
        <f>IF(OR(L1877="",J1877=""),"",L1877*J1877)</f>
        <v/>
      </c>
      <c r="T1877" s="10">
        <f>IF(P1877="","",StartBank+SUM(P$2:P1877))</f>
        <v/>
      </c>
    </row>
    <row r="1878">
      <c r="A1878" s="22" t="n"/>
      <c r="G1878" s="21" t="n"/>
      <c r="H1878" s="11" t="n"/>
      <c r="I1878" s="21">
        <f>IF(OR(H1878="",H1878=0),"",1/H1878)</f>
        <v/>
      </c>
      <c r="J1878" s="11">
        <f>IF(OR(G1878="",H1878=""),"",H1878*G1878-1)</f>
        <v/>
      </c>
      <c r="K1878" s="10">
        <f>IF(OR(G1878="",H1878="",G1878&lt;=1),"",IF(J1878&lt;IF(D1878="Builder",MinEdgeBuilder,IF(D1878="Player",MinEdgePlayer,MinEdgeSingle)),0,ROUND(MIN(IF(D1878="Single",KellySingle,KellyBuilder)*(StartBank+SUM(P$1:P1877))*J1878/(G1878-1),IF(D1878="Builder",CapBuilder,CapSingle)*Unit),2)))</f>
        <v/>
      </c>
      <c r="L1878" s="10" t="n"/>
      <c r="N1878" s="10" t="n"/>
      <c r="O1878" s="10">
        <f>IF(L1878="","",IF(M1878="Won",L1878*G1878,IF(M1878="Void",L1878,IF(M1878="Cash out",N(N1878),IF(M1878="Lost",0,"")))))</f>
        <v/>
      </c>
      <c r="P1878" s="10">
        <f>IF(OR(L1878="",M1878="",M1878="Pending"),"",O1878-L1878)</f>
        <v/>
      </c>
      <c r="Q1878" s="21" t="n"/>
      <c r="R1878" s="11">
        <f>IF(OR(G1878="",Q1878=""),"",G1878/Q1878-1)</f>
        <v/>
      </c>
      <c r="S1878" s="10">
        <f>IF(OR(L1878="",J1878=""),"",L1878*J1878)</f>
        <v/>
      </c>
      <c r="T1878" s="10">
        <f>IF(P1878="","",StartBank+SUM(P$2:P1878))</f>
        <v/>
      </c>
    </row>
    <row r="1879">
      <c r="A1879" s="22" t="n"/>
      <c r="G1879" s="21" t="n"/>
      <c r="H1879" s="11" t="n"/>
      <c r="I1879" s="21">
        <f>IF(OR(H1879="",H1879=0),"",1/H1879)</f>
        <v/>
      </c>
      <c r="J1879" s="11">
        <f>IF(OR(G1879="",H1879=""),"",H1879*G1879-1)</f>
        <v/>
      </c>
      <c r="K1879" s="10">
        <f>IF(OR(G1879="",H1879="",G1879&lt;=1),"",IF(J1879&lt;IF(D1879="Builder",MinEdgeBuilder,IF(D1879="Player",MinEdgePlayer,MinEdgeSingle)),0,ROUND(MIN(IF(D1879="Single",KellySingle,KellyBuilder)*(StartBank+SUM(P$1:P1878))*J1879/(G1879-1),IF(D1879="Builder",CapBuilder,CapSingle)*Unit),2)))</f>
        <v/>
      </c>
      <c r="L1879" s="10" t="n"/>
      <c r="N1879" s="10" t="n"/>
      <c r="O1879" s="10">
        <f>IF(L1879="","",IF(M1879="Won",L1879*G1879,IF(M1879="Void",L1879,IF(M1879="Cash out",N(N1879),IF(M1879="Lost",0,"")))))</f>
        <v/>
      </c>
      <c r="P1879" s="10">
        <f>IF(OR(L1879="",M1879="",M1879="Pending"),"",O1879-L1879)</f>
        <v/>
      </c>
      <c r="Q1879" s="21" t="n"/>
      <c r="R1879" s="11">
        <f>IF(OR(G1879="",Q1879=""),"",G1879/Q1879-1)</f>
        <v/>
      </c>
      <c r="S1879" s="10">
        <f>IF(OR(L1879="",J1879=""),"",L1879*J1879)</f>
        <v/>
      </c>
      <c r="T1879" s="10">
        <f>IF(P1879="","",StartBank+SUM(P$2:P1879))</f>
        <v/>
      </c>
    </row>
    <row r="1880">
      <c r="A1880" s="22" t="n"/>
      <c r="G1880" s="21" t="n"/>
      <c r="H1880" s="11" t="n"/>
      <c r="I1880" s="21">
        <f>IF(OR(H1880="",H1880=0),"",1/H1880)</f>
        <v/>
      </c>
      <c r="J1880" s="11">
        <f>IF(OR(G1880="",H1880=""),"",H1880*G1880-1)</f>
        <v/>
      </c>
      <c r="K1880" s="10">
        <f>IF(OR(G1880="",H1880="",G1880&lt;=1),"",IF(J1880&lt;IF(D1880="Builder",MinEdgeBuilder,IF(D1880="Player",MinEdgePlayer,MinEdgeSingle)),0,ROUND(MIN(IF(D1880="Single",KellySingle,KellyBuilder)*(StartBank+SUM(P$1:P1879))*J1880/(G1880-1),IF(D1880="Builder",CapBuilder,CapSingle)*Unit),2)))</f>
        <v/>
      </c>
      <c r="L1880" s="10" t="n"/>
      <c r="N1880" s="10" t="n"/>
      <c r="O1880" s="10">
        <f>IF(L1880="","",IF(M1880="Won",L1880*G1880,IF(M1880="Void",L1880,IF(M1880="Cash out",N(N1880),IF(M1880="Lost",0,"")))))</f>
        <v/>
      </c>
      <c r="P1880" s="10">
        <f>IF(OR(L1880="",M1880="",M1880="Pending"),"",O1880-L1880)</f>
        <v/>
      </c>
      <c r="Q1880" s="21" t="n"/>
      <c r="R1880" s="11">
        <f>IF(OR(G1880="",Q1880=""),"",G1880/Q1880-1)</f>
        <v/>
      </c>
      <c r="S1880" s="10">
        <f>IF(OR(L1880="",J1880=""),"",L1880*J1880)</f>
        <v/>
      </c>
      <c r="T1880" s="10">
        <f>IF(P1880="","",StartBank+SUM(P$2:P1880))</f>
        <v/>
      </c>
    </row>
    <row r="1881">
      <c r="A1881" s="22" t="n"/>
      <c r="G1881" s="21" t="n"/>
      <c r="H1881" s="11" t="n"/>
      <c r="I1881" s="21">
        <f>IF(OR(H1881="",H1881=0),"",1/H1881)</f>
        <v/>
      </c>
      <c r="J1881" s="11">
        <f>IF(OR(G1881="",H1881=""),"",H1881*G1881-1)</f>
        <v/>
      </c>
      <c r="K1881" s="10">
        <f>IF(OR(G1881="",H1881="",G1881&lt;=1),"",IF(J1881&lt;IF(D1881="Builder",MinEdgeBuilder,IF(D1881="Player",MinEdgePlayer,MinEdgeSingle)),0,ROUND(MIN(IF(D1881="Single",KellySingle,KellyBuilder)*(StartBank+SUM(P$1:P1880))*J1881/(G1881-1),IF(D1881="Builder",CapBuilder,CapSingle)*Unit),2)))</f>
        <v/>
      </c>
      <c r="L1881" s="10" t="n"/>
      <c r="N1881" s="10" t="n"/>
      <c r="O1881" s="10">
        <f>IF(L1881="","",IF(M1881="Won",L1881*G1881,IF(M1881="Void",L1881,IF(M1881="Cash out",N(N1881),IF(M1881="Lost",0,"")))))</f>
        <v/>
      </c>
      <c r="P1881" s="10">
        <f>IF(OR(L1881="",M1881="",M1881="Pending"),"",O1881-L1881)</f>
        <v/>
      </c>
      <c r="Q1881" s="21" t="n"/>
      <c r="R1881" s="11">
        <f>IF(OR(G1881="",Q1881=""),"",G1881/Q1881-1)</f>
        <v/>
      </c>
      <c r="S1881" s="10">
        <f>IF(OR(L1881="",J1881=""),"",L1881*J1881)</f>
        <v/>
      </c>
      <c r="T1881" s="10">
        <f>IF(P1881="","",StartBank+SUM(P$2:P1881))</f>
        <v/>
      </c>
    </row>
    <row r="1882">
      <c r="A1882" s="22" t="n"/>
      <c r="G1882" s="21" t="n"/>
      <c r="H1882" s="11" t="n"/>
      <c r="I1882" s="21">
        <f>IF(OR(H1882="",H1882=0),"",1/H1882)</f>
        <v/>
      </c>
      <c r="J1882" s="11">
        <f>IF(OR(G1882="",H1882=""),"",H1882*G1882-1)</f>
        <v/>
      </c>
      <c r="K1882" s="10">
        <f>IF(OR(G1882="",H1882="",G1882&lt;=1),"",IF(J1882&lt;IF(D1882="Builder",MinEdgeBuilder,IF(D1882="Player",MinEdgePlayer,MinEdgeSingle)),0,ROUND(MIN(IF(D1882="Single",KellySingle,KellyBuilder)*(StartBank+SUM(P$1:P1881))*J1882/(G1882-1),IF(D1882="Builder",CapBuilder,CapSingle)*Unit),2)))</f>
        <v/>
      </c>
      <c r="L1882" s="10" t="n"/>
      <c r="N1882" s="10" t="n"/>
      <c r="O1882" s="10">
        <f>IF(L1882="","",IF(M1882="Won",L1882*G1882,IF(M1882="Void",L1882,IF(M1882="Cash out",N(N1882),IF(M1882="Lost",0,"")))))</f>
        <v/>
      </c>
      <c r="P1882" s="10">
        <f>IF(OR(L1882="",M1882="",M1882="Pending"),"",O1882-L1882)</f>
        <v/>
      </c>
      <c r="Q1882" s="21" t="n"/>
      <c r="R1882" s="11">
        <f>IF(OR(G1882="",Q1882=""),"",G1882/Q1882-1)</f>
        <v/>
      </c>
      <c r="S1882" s="10">
        <f>IF(OR(L1882="",J1882=""),"",L1882*J1882)</f>
        <v/>
      </c>
      <c r="T1882" s="10">
        <f>IF(P1882="","",StartBank+SUM(P$2:P1882))</f>
        <v/>
      </c>
    </row>
    <row r="1883">
      <c r="A1883" s="22" t="n"/>
      <c r="G1883" s="21" t="n"/>
      <c r="H1883" s="11" t="n"/>
      <c r="I1883" s="21">
        <f>IF(OR(H1883="",H1883=0),"",1/H1883)</f>
        <v/>
      </c>
      <c r="J1883" s="11">
        <f>IF(OR(G1883="",H1883=""),"",H1883*G1883-1)</f>
        <v/>
      </c>
      <c r="K1883" s="10">
        <f>IF(OR(G1883="",H1883="",G1883&lt;=1),"",IF(J1883&lt;IF(D1883="Builder",MinEdgeBuilder,IF(D1883="Player",MinEdgePlayer,MinEdgeSingle)),0,ROUND(MIN(IF(D1883="Single",KellySingle,KellyBuilder)*(StartBank+SUM(P$1:P1882))*J1883/(G1883-1),IF(D1883="Builder",CapBuilder,CapSingle)*Unit),2)))</f>
        <v/>
      </c>
      <c r="L1883" s="10" t="n"/>
      <c r="N1883" s="10" t="n"/>
      <c r="O1883" s="10">
        <f>IF(L1883="","",IF(M1883="Won",L1883*G1883,IF(M1883="Void",L1883,IF(M1883="Cash out",N(N1883),IF(M1883="Lost",0,"")))))</f>
        <v/>
      </c>
      <c r="P1883" s="10">
        <f>IF(OR(L1883="",M1883="",M1883="Pending"),"",O1883-L1883)</f>
        <v/>
      </c>
      <c r="Q1883" s="21" t="n"/>
      <c r="R1883" s="11">
        <f>IF(OR(G1883="",Q1883=""),"",G1883/Q1883-1)</f>
        <v/>
      </c>
      <c r="S1883" s="10">
        <f>IF(OR(L1883="",J1883=""),"",L1883*J1883)</f>
        <v/>
      </c>
      <c r="T1883" s="10">
        <f>IF(P1883="","",StartBank+SUM(P$2:P1883))</f>
        <v/>
      </c>
    </row>
    <row r="1884">
      <c r="A1884" s="22" t="n"/>
      <c r="G1884" s="21" t="n"/>
      <c r="H1884" s="11" t="n"/>
      <c r="I1884" s="21">
        <f>IF(OR(H1884="",H1884=0),"",1/H1884)</f>
        <v/>
      </c>
      <c r="J1884" s="11">
        <f>IF(OR(G1884="",H1884=""),"",H1884*G1884-1)</f>
        <v/>
      </c>
      <c r="K1884" s="10">
        <f>IF(OR(G1884="",H1884="",G1884&lt;=1),"",IF(J1884&lt;IF(D1884="Builder",MinEdgeBuilder,IF(D1884="Player",MinEdgePlayer,MinEdgeSingle)),0,ROUND(MIN(IF(D1884="Single",KellySingle,KellyBuilder)*(StartBank+SUM(P$1:P1883))*J1884/(G1884-1),IF(D1884="Builder",CapBuilder,CapSingle)*Unit),2)))</f>
        <v/>
      </c>
      <c r="L1884" s="10" t="n"/>
      <c r="N1884" s="10" t="n"/>
      <c r="O1884" s="10">
        <f>IF(L1884="","",IF(M1884="Won",L1884*G1884,IF(M1884="Void",L1884,IF(M1884="Cash out",N(N1884),IF(M1884="Lost",0,"")))))</f>
        <v/>
      </c>
      <c r="P1884" s="10">
        <f>IF(OR(L1884="",M1884="",M1884="Pending"),"",O1884-L1884)</f>
        <v/>
      </c>
      <c r="Q1884" s="21" t="n"/>
      <c r="R1884" s="11">
        <f>IF(OR(G1884="",Q1884=""),"",G1884/Q1884-1)</f>
        <v/>
      </c>
      <c r="S1884" s="10">
        <f>IF(OR(L1884="",J1884=""),"",L1884*J1884)</f>
        <v/>
      </c>
      <c r="T1884" s="10">
        <f>IF(P1884="","",StartBank+SUM(P$2:P1884))</f>
        <v/>
      </c>
    </row>
    <row r="1885">
      <c r="A1885" s="22" t="n"/>
      <c r="G1885" s="21" t="n"/>
      <c r="H1885" s="11" t="n"/>
      <c r="I1885" s="21">
        <f>IF(OR(H1885="",H1885=0),"",1/H1885)</f>
        <v/>
      </c>
      <c r="J1885" s="11">
        <f>IF(OR(G1885="",H1885=""),"",H1885*G1885-1)</f>
        <v/>
      </c>
      <c r="K1885" s="10">
        <f>IF(OR(G1885="",H1885="",G1885&lt;=1),"",IF(J1885&lt;IF(D1885="Builder",MinEdgeBuilder,IF(D1885="Player",MinEdgePlayer,MinEdgeSingle)),0,ROUND(MIN(IF(D1885="Single",KellySingle,KellyBuilder)*(StartBank+SUM(P$1:P1884))*J1885/(G1885-1),IF(D1885="Builder",CapBuilder,CapSingle)*Unit),2)))</f>
        <v/>
      </c>
      <c r="L1885" s="10" t="n"/>
      <c r="N1885" s="10" t="n"/>
      <c r="O1885" s="10">
        <f>IF(L1885="","",IF(M1885="Won",L1885*G1885,IF(M1885="Void",L1885,IF(M1885="Cash out",N(N1885),IF(M1885="Lost",0,"")))))</f>
        <v/>
      </c>
      <c r="P1885" s="10">
        <f>IF(OR(L1885="",M1885="",M1885="Pending"),"",O1885-L1885)</f>
        <v/>
      </c>
      <c r="Q1885" s="21" t="n"/>
      <c r="R1885" s="11">
        <f>IF(OR(G1885="",Q1885=""),"",G1885/Q1885-1)</f>
        <v/>
      </c>
      <c r="S1885" s="10">
        <f>IF(OR(L1885="",J1885=""),"",L1885*J1885)</f>
        <v/>
      </c>
      <c r="T1885" s="10">
        <f>IF(P1885="","",StartBank+SUM(P$2:P1885))</f>
        <v/>
      </c>
    </row>
    <row r="1886">
      <c r="A1886" s="22" t="n"/>
      <c r="G1886" s="21" t="n"/>
      <c r="H1886" s="11" t="n"/>
      <c r="I1886" s="21">
        <f>IF(OR(H1886="",H1886=0),"",1/H1886)</f>
        <v/>
      </c>
      <c r="J1886" s="11">
        <f>IF(OR(G1886="",H1886=""),"",H1886*G1886-1)</f>
        <v/>
      </c>
      <c r="K1886" s="10">
        <f>IF(OR(G1886="",H1886="",G1886&lt;=1),"",IF(J1886&lt;IF(D1886="Builder",MinEdgeBuilder,IF(D1886="Player",MinEdgePlayer,MinEdgeSingle)),0,ROUND(MIN(IF(D1886="Single",KellySingle,KellyBuilder)*(StartBank+SUM(P$1:P1885))*J1886/(G1886-1),IF(D1886="Builder",CapBuilder,CapSingle)*Unit),2)))</f>
        <v/>
      </c>
      <c r="L1886" s="10" t="n"/>
      <c r="N1886" s="10" t="n"/>
      <c r="O1886" s="10">
        <f>IF(L1886="","",IF(M1886="Won",L1886*G1886,IF(M1886="Void",L1886,IF(M1886="Cash out",N(N1886),IF(M1886="Lost",0,"")))))</f>
        <v/>
      </c>
      <c r="P1886" s="10">
        <f>IF(OR(L1886="",M1886="",M1886="Pending"),"",O1886-L1886)</f>
        <v/>
      </c>
      <c r="Q1886" s="21" t="n"/>
      <c r="R1886" s="11">
        <f>IF(OR(G1886="",Q1886=""),"",G1886/Q1886-1)</f>
        <v/>
      </c>
      <c r="S1886" s="10">
        <f>IF(OR(L1886="",J1886=""),"",L1886*J1886)</f>
        <v/>
      </c>
      <c r="T1886" s="10">
        <f>IF(P1886="","",StartBank+SUM(P$2:P1886))</f>
        <v/>
      </c>
    </row>
    <row r="1887">
      <c r="A1887" s="22" t="n"/>
      <c r="G1887" s="21" t="n"/>
      <c r="H1887" s="11" t="n"/>
      <c r="I1887" s="21">
        <f>IF(OR(H1887="",H1887=0),"",1/H1887)</f>
        <v/>
      </c>
      <c r="J1887" s="11">
        <f>IF(OR(G1887="",H1887=""),"",H1887*G1887-1)</f>
        <v/>
      </c>
      <c r="K1887" s="10">
        <f>IF(OR(G1887="",H1887="",G1887&lt;=1),"",IF(J1887&lt;IF(D1887="Builder",MinEdgeBuilder,IF(D1887="Player",MinEdgePlayer,MinEdgeSingle)),0,ROUND(MIN(IF(D1887="Single",KellySingle,KellyBuilder)*(StartBank+SUM(P$1:P1886))*J1887/(G1887-1),IF(D1887="Builder",CapBuilder,CapSingle)*Unit),2)))</f>
        <v/>
      </c>
      <c r="L1887" s="10" t="n"/>
      <c r="N1887" s="10" t="n"/>
      <c r="O1887" s="10">
        <f>IF(L1887="","",IF(M1887="Won",L1887*G1887,IF(M1887="Void",L1887,IF(M1887="Cash out",N(N1887),IF(M1887="Lost",0,"")))))</f>
        <v/>
      </c>
      <c r="P1887" s="10">
        <f>IF(OR(L1887="",M1887="",M1887="Pending"),"",O1887-L1887)</f>
        <v/>
      </c>
      <c r="Q1887" s="21" t="n"/>
      <c r="R1887" s="11">
        <f>IF(OR(G1887="",Q1887=""),"",G1887/Q1887-1)</f>
        <v/>
      </c>
      <c r="S1887" s="10">
        <f>IF(OR(L1887="",J1887=""),"",L1887*J1887)</f>
        <v/>
      </c>
      <c r="T1887" s="10">
        <f>IF(P1887="","",StartBank+SUM(P$2:P1887))</f>
        <v/>
      </c>
    </row>
    <row r="1888">
      <c r="A1888" s="22" t="n"/>
      <c r="G1888" s="21" t="n"/>
      <c r="H1888" s="11" t="n"/>
      <c r="I1888" s="21">
        <f>IF(OR(H1888="",H1888=0),"",1/H1888)</f>
        <v/>
      </c>
      <c r="J1888" s="11">
        <f>IF(OR(G1888="",H1888=""),"",H1888*G1888-1)</f>
        <v/>
      </c>
      <c r="K1888" s="10">
        <f>IF(OR(G1888="",H1888="",G1888&lt;=1),"",IF(J1888&lt;IF(D1888="Builder",MinEdgeBuilder,IF(D1888="Player",MinEdgePlayer,MinEdgeSingle)),0,ROUND(MIN(IF(D1888="Single",KellySingle,KellyBuilder)*(StartBank+SUM(P$1:P1887))*J1888/(G1888-1),IF(D1888="Builder",CapBuilder,CapSingle)*Unit),2)))</f>
        <v/>
      </c>
      <c r="L1888" s="10" t="n"/>
      <c r="N1888" s="10" t="n"/>
      <c r="O1888" s="10">
        <f>IF(L1888="","",IF(M1888="Won",L1888*G1888,IF(M1888="Void",L1888,IF(M1888="Cash out",N(N1888),IF(M1888="Lost",0,"")))))</f>
        <v/>
      </c>
      <c r="P1888" s="10">
        <f>IF(OR(L1888="",M1888="",M1888="Pending"),"",O1888-L1888)</f>
        <v/>
      </c>
      <c r="Q1888" s="21" t="n"/>
      <c r="R1888" s="11">
        <f>IF(OR(G1888="",Q1888=""),"",G1888/Q1888-1)</f>
        <v/>
      </c>
      <c r="S1888" s="10">
        <f>IF(OR(L1888="",J1888=""),"",L1888*J1888)</f>
        <v/>
      </c>
      <c r="T1888" s="10">
        <f>IF(P1888="","",StartBank+SUM(P$2:P1888))</f>
        <v/>
      </c>
    </row>
    <row r="1889">
      <c r="A1889" s="22" t="n"/>
      <c r="G1889" s="21" t="n"/>
      <c r="H1889" s="11" t="n"/>
      <c r="I1889" s="21">
        <f>IF(OR(H1889="",H1889=0),"",1/H1889)</f>
        <v/>
      </c>
      <c r="J1889" s="11">
        <f>IF(OR(G1889="",H1889=""),"",H1889*G1889-1)</f>
        <v/>
      </c>
      <c r="K1889" s="10">
        <f>IF(OR(G1889="",H1889="",G1889&lt;=1),"",IF(J1889&lt;IF(D1889="Builder",MinEdgeBuilder,IF(D1889="Player",MinEdgePlayer,MinEdgeSingle)),0,ROUND(MIN(IF(D1889="Single",KellySingle,KellyBuilder)*(StartBank+SUM(P$1:P1888))*J1889/(G1889-1),IF(D1889="Builder",CapBuilder,CapSingle)*Unit),2)))</f>
        <v/>
      </c>
      <c r="L1889" s="10" t="n"/>
      <c r="N1889" s="10" t="n"/>
      <c r="O1889" s="10">
        <f>IF(L1889="","",IF(M1889="Won",L1889*G1889,IF(M1889="Void",L1889,IF(M1889="Cash out",N(N1889),IF(M1889="Lost",0,"")))))</f>
        <v/>
      </c>
      <c r="P1889" s="10">
        <f>IF(OR(L1889="",M1889="",M1889="Pending"),"",O1889-L1889)</f>
        <v/>
      </c>
      <c r="Q1889" s="21" t="n"/>
      <c r="R1889" s="11">
        <f>IF(OR(G1889="",Q1889=""),"",G1889/Q1889-1)</f>
        <v/>
      </c>
      <c r="S1889" s="10">
        <f>IF(OR(L1889="",J1889=""),"",L1889*J1889)</f>
        <v/>
      </c>
      <c r="T1889" s="10">
        <f>IF(P1889="","",StartBank+SUM(P$2:P1889))</f>
        <v/>
      </c>
    </row>
    <row r="1890">
      <c r="A1890" s="22" t="n"/>
      <c r="G1890" s="21" t="n"/>
      <c r="H1890" s="11" t="n"/>
      <c r="I1890" s="21">
        <f>IF(OR(H1890="",H1890=0),"",1/H1890)</f>
        <v/>
      </c>
      <c r="J1890" s="11">
        <f>IF(OR(G1890="",H1890=""),"",H1890*G1890-1)</f>
        <v/>
      </c>
      <c r="K1890" s="10">
        <f>IF(OR(G1890="",H1890="",G1890&lt;=1),"",IF(J1890&lt;IF(D1890="Builder",MinEdgeBuilder,IF(D1890="Player",MinEdgePlayer,MinEdgeSingle)),0,ROUND(MIN(IF(D1890="Single",KellySingle,KellyBuilder)*(StartBank+SUM(P$1:P1889))*J1890/(G1890-1),IF(D1890="Builder",CapBuilder,CapSingle)*Unit),2)))</f>
        <v/>
      </c>
      <c r="L1890" s="10" t="n"/>
      <c r="N1890" s="10" t="n"/>
      <c r="O1890" s="10">
        <f>IF(L1890="","",IF(M1890="Won",L1890*G1890,IF(M1890="Void",L1890,IF(M1890="Cash out",N(N1890),IF(M1890="Lost",0,"")))))</f>
        <v/>
      </c>
      <c r="P1890" s="10">
        <f>IF(OR(L1890="",M1890="",M1890="Pending"),"",O1890-L1890)</f>
        <v/>
      </c>
      <c r="Q1890" s="21" t="n"/>
      <c r="R1890" s="11">
        <f>IF(OR(G1890="",Q1890=""),"",G1890/Q1890-1)</f>
        <v/>
      </c>
      <c r="S1890" s="10">
        <f>IF(OR(L1890="",J1890=""),"",L1890*J1890)</f>
        <v/>
      </c>
      <c r="T1890" s="10">
        <f>IF(P1890="","",StartBank+SUM(P$2:P1890))</f>
        <v/>
      </c>
    </row>
    <row r="1891">
      <c r="A1891" s="22" t="n"/>
      <c r="G1891" s="21" t="n"/>
      <c r="H1891" s="11" t="n"/>
      <c r="I1891" s="21">
        <f>IF(OR(H1891="",H1891=0),"",1/H1891)</f>
        <v/>
      </c>
      <c r="J1891" s="11">
        <f>IF(OR(G1891="",H1891=""),"",H1891*G1891-1)</f>
        <v/>
      </c>
      <c r="K1891" s="10">
        <f>IF(OR(G1891="",H1891="",G1891&lt;=1),"",IF(J1891&lt;IF(D1891="Builder",MinEdgeBuilder,IF(D1891="Player",MinEdgePlayer,MinEdgeSingle)),0,ROUND(MIN(IF(D1891="Single",KellySingle,KellyBuilder)*(StartBank+SUM(P$1:P1890))*J1891/(G1891-1),IF(D1891="Builder",CapBuilder,CapSingle)*Unit),2)))</f>
        <v/>
      </c>
      <c r="L1891" s="10" t="n"/>
      <c r="N1891" s="10" t="n"/>
      <c r="O1891" s="10">
        <f>IF(L1891="","",IF(M1891="Won",L1891*G1891,IF(M1891="Void",L1891,IF(M1891="Cash out",N(N1891),IF(M1891="Lost",0,"")))))</f>
        <v/>
      </c>
      <c r="P1891" s="10">
        <f>IF(OR(L1891="",M1891="",M1891="Pending"),"",O1891-L1891)</f>
        <v/>
      </c>
      <c r="Q1891" s="21" t="n"/>
      <c r="R1891" s="11">
        <f>IF(OR(G1891="",Q1891=""),"",G1891/Q1891-1)</f>
        <v/>
      </c>
      <c r="S1891" s="10">
        <f>IF(OR(L1891="",J1891=""),"",L1891*J1891)</f>
        <v/>
      </c>
      <c r="T1891" s="10">
        <f>IF(P1891="","",StartBank+SUM(P$2:P1891))</f>
        <v/>
      </c>
    </row>
    <row r="1892">
      <c r="A1892" s="22" t="n"/>
      <c r="G1892" s="21" t="n"/>
      <c r="H1892" s="11" t="n"/>
      <c r="I1892" s="21">
        <f>IF(OR(H1892="",H1892=0),"",1/H1892)</f>
        <v/>
      </c>
      <c r="J1892" s="11">
        <f>IF(OR(G1892="",H1892=""),"",H1892*G1892-1)</f>
        <v/>
      </c>
      <c r="K1892" s="10">
        <f>IF(OR(G1892="",H1892="",G1892&lt;=1),"",IF(J1892&lt;IF(D1892="Builder",MinEdgeBuilder,IF(D1892="Player",MinEdgePlayer,MinEdgeSingle)),0,ROUND(MIN(IF(D1892="Single",KellySingle,KellyBuilder)*(StartBank+SUM(P$1:P1891))*J1892/(G1892-1),IF(D1892="Builder",CapBuilder,CapSingle)*Unit),2)))</f>
        <v/>
      </c>
      <c r="L1892" s="10" t="n"/>
      <c r="N1892" s="10" t="n"/>
      <c r="O1892" s="10">
        <f>IF(L1892="","",IF(M1892="Won",L1892*G1892,IF(M1892="Void",L1892,IF(M1892="Cash out",N(N1892),IF(M1892="Lost",0,"")))))</f>
        <v/>
      </c>
      <c r="P1892" s="10">
        <f>IF(OR(L1892="",M1892="",M1892="Pending"),"",O1892-L1892)</f>
        <v/>
      </c>
      <c r="Q1892" s="21" t="n"/>
      <c r="R1892" s="11">
        <f>IF(OR(G1892="",Q1892=""),"",G1892/Q1892-1)</f>
        <v/>
      </c>
      <c r="S1892" s="10">
        <f>IF(OR(L1892="",J1892=""),"",L1892*J1892)</f>
        <v/>
      </c>
      <c r="T1892" s="10">
        <f>IF(P1892="","",StartBank+SUM(P$2:P1892))</f>
        <v/>
      </c>
    </row>
    <row r="1893">
      <c r="A1893" s="22" t="n"/>
      <c r="G1893" s="21" t="n"/>
      <c r="H1893" s="11" t="n"/>
      <c r="I1893" s="21">
        <f>IF(OR(H1893="",H1893=0),"",1/H1893)</f>
        <v/>
      </c>
      <c r="J1893" s="11">
        <f>IF(OR(G1893="",H1893=""),"",H1893*G1893-1)</f>
        <v/>
      </c>
      <c r="K1893" s="10">
        <f>IF(OR(G1893="",H1893="",G1893&lt;=1),"",IF(J1893&lt;IF(D1893="Builder",MinEdgeBuilder,IF(D1893="Player",MinEdgePlayer,MinEdgeSingle)),0,ROUND(MIN(IF(D1893="Single",KellySingle,KellyBuilder)*(StartBank+SUM(P$1:P1892))*J1893/(G1893-1),IF(D1893="Builder",CapBuilder,CapSingle)*Unit),2)))</f>
        <v/>
      </c>
      <c r="L1893" s="10" t="n"/>
      <c r="N1893" s="10" t="n"/>
      <c r="O1893" s="10">
        <f>IF(L1893="","",IF(M1893="Won",L1893*G1893,IF(M1893="Void",L1893,IF(M1893="Cash out",N(N1893),IF(M1893="Lost",0,"")))))</f>
        <v/>
      </c>
      <c r="P1893" s="10">
        <f>IF(OR(L1893="",M1893="",M1893="Pending"),"",O1893-L1893)</f>
        <v/>
      </c>
      <c r="Q1893" s="21" t="n"/>
      <c r="R1893" s="11">
        <f>IF(OR(G1893="",Q1893=""),"",G1893/Q1893-1)</f>
        <v/>
      </c>
      <c r="S1893" s="10">
        <f>IF(OR(L1893="",J1893=""),"",L1893*J1893)</f>
        <v/>
      </c>
      <c r="T1893" s="10">
        <f>IF(P1893="","",StartBank+SUM(P$2:P1893))</f>
        <v/>
      </c>
    </row>
    <row r="1894">
      <c r="A1894" s="22" t="n"/>
      <c r="G1894" s="21" t="n"/>
      <c r="H1894" s="11" t="n"/>
      <c r="I1894" s="21">
        <f>IF(OR(H1894="",H1894=0),"",1/H1894)</f>
        <v/>
      </c>
      <c r="J1894" s="11">
        <f>IF(OR(G1894="",H1894=""),"",H1894*G1894-1)</f>
        <v/>
      </c>
      <c r="K1894" s="10">
        <f>IF(OR(G1894="",H1894="",G1894&lt;=1),"",IF(J1894&lt;IF(D1894="Builder",MinEdgeBuilder,IF(D1894="Player",MinEdgePlayer,MinEdgeSingle)),0,ROUND(MIN(IF(D1894="Single",KellySingle,KellyBuilder)*(StartBank+SUM(P$1:P1893))*J1894/(G1894-1),IF(D1894="Builder",CapBuilder,CapSingle)*Unit),2)))</f>
        <v/>
      </c>
      <c r="L1894" s="10" t="n"/>
      <c r="N1894" s="10" t="n"/>
      <c r="O1894" s="10">
        <f>IF(L1894="","",IF(M1894="Won",L1894*G1894,IF(M1894="Void",L1894,IF(M1894="Cash out",N(N1894),IF(M1894="Lost",0,"")))))</f>
        <v/>
      </c>
      <c r="P1894" s="10">
        <f>IF(OR(L1894="",M1894="",M1894="Pending"),"",O1894-L1894)</f>
        <v/>
      </c>
      <c r="Q1894" s="21" t="n"/>
      <c r="R1894" s="11">
        <f>IF(OR(G1894="",Q1894=""),"",G1894/Q1894-1)</f>
        <v/>
      </c>
      <c r="S1894" s="10">
        <f>IF(OR(L1894="",J1894=""),"",L1894*J1894)</f>
        <v/>
      </c>
      <c r="T1894" s="10">
        <f>IF(P1894="","",StartBank+SUM(P$2:P1894))</f>
        <v/>
      </c>
    </row>
    <row r="1895">
      <c r="A1895" s="22" t="n"/>
      <c r="G1895" s="21" t="n"/>
      <c r="H1895" s="11" t="n"/>
      <c r="I1895" s="21">
        <f>IF(OR(H1895="",H1895=0),"",1/H1895)</f>
        <v/>
      </c>
      <c r="J1895" s="11">
        <f>IF(OR(G1895="",H1895=""),"",H1895*G1895-1)</f>
        <v/>
      </c>
      <c r="K1895" s="10">
        <f>IF(OR(G1895="",H1895="",G1895&lt;=1),"",IF(J1895&lt;IF(D1895="Builder",MinEdgeBuilder,IF(D1895="Player",MinEdgePlayer,MinEdgeSingle)),0,ROUND(MIN(IF(D1895="Single",KellySingle,KellyBuilder)*(StartBank+SUM(P$1:P1894))*J1895/(G1895-1),IF(D1895="Builder",CapBuilder,CapSingle)*Unit),2)))</f>
        <v/>
      </c>
      <c r="L1895" s="10" t="n"/>
      <c r="N1895" s="10" t="n"/>
      <c r="O1895" s="10">
        <f>IF(L1895="","",IF(M1895="Won",L1895*G1895,IF(M1895="Void",L1895,IF(M1895="Cash out",N(N1895),IF(M1895="Lost",0,"")))))</f>
        <v/>
      </c>
      <c r="P1895" s="10">
        <f>IF(OR(L1895="",M1895="",M1895="Pending"),"",O1895-L1895)</f>
        <v/>
      </c>
      <c r="Q1895" s="21" t="n"/>
      <c r="R1895" s="11">
        <f>IF(OR(G1895="",Q1895=""),"",G1895/Q1895-1)</f>
        <v/>
      </c>
      <c r="S1895" s="10">
        <f>IF(OR(L1895="",J1895=""),"",L1895*J1895)</f>
        <v/>
      </c>
      <c r="T1895" s="10">
        <f>IF(P1895="","",StartBank+SUM(P$2:P1895))</f>
        <v/>
      </c>
    </row>
    <row r="1896">
      <c r="A1896" s="22" t="n"/>
      <c r="G1896" s="21" t="n"/>
      <c r="H1896" s="11" t="n"/>
      <c r="I1896" s="21">
        <f>IF(OR(H1896="",H1896=0),"",1/H1896)</f>
        <v/>
      </c>
      <c r="J1896" s="11">
        <f>IF(OR(G1896="",H1896=""),"",H1896*G1896-1)</f>
        <v/>
      </c>
      <c r="K1896" s="10">
        <f>IF(OR(G1896="",H1896="",G1896&lt;=1),"",IF(J1896&lt;IF(D1896="Builder",MinEdgeBuilder,IF(D1896="Player",MinEdgePlayer,MinEdgeSingle)),0,ROUND(MIN(IF(D1896="Single",KellySingle,KellyBuilder)*(StartBank+SUM(P$1:P1895))*J1896/(G1896-1),IF(D1896="Builder",CapBuilder,CapSingle)*Unit),2)))</f>
        <v/>
      </c>
      <c r="L1896" s="10" t="n"/>
      <c r="N1896" s="10" t="n"/>
      <c r="O1896" s="10">
        <f>IF(L1896="","",IF(M1896="Won",L1896*G1896,IF(M1896="Void",L1896,IF(M1896="Cash out",N(N1896),IF(M1896="Lost",0,"")))))</f>
        <v/>
      </c>
      <c r="P1896" s="10">
        <f>IF(OR(L1896="",M1896="",M1896="Pending"),"",O1896-L1896)</f>
        <v/>
      </c>
      <c r="Q1896" s="21" t="n"/>
      <c r="R1896" s="11">
        <f>IF(OR(G1896="",Q1896=""),"",G1896/Q1896-1)</f>
        <v/>
      </c>
      <c r="S1896" s="10">
        <f>IF(OR(L1896="",J1896=""),"",L1896*J1896)</f>
        <v/>
      </c>
      <c r="T1896" s="10">
        <f>IF(P1896="","",StartBank+SUM(P$2:P1896))</f>
        <v/>
      </c>
    </row>
    <row r="1897">
      <c r="A1897" s="22" t="n"/>
      <c r="G1897" s="21" t="n"/>
      <c r="H1897" s="11" t="n"/>
      <c r="I1897" s="21">
        <f>IF(OR(H1897="",H1897=0),"",1/H1897)</f>
        <v/>
      </c>
      <c r="J1897" s="11">
        <f>IF(OR(G1897="",H1897=""),"",H1897*G1897-1)</f>
        <v/>
      </c>
      <c r="K1897" s="10">
        <f>IF(OR(G1897="",H1897="",G1897&lt;=1),"",IF(J1897&lt;IF(D1897="Builder",MinEdgeBuilder,IF(D1897="Player",MinEdgePlayer,MinEdgeSingle)),0,ROUND(MIN(IF(D1897="Single",KellySingle,KellyBuilder)*(StartBank+SUM(P$1:P1896))*J1897/(G1897-1),IF(D1897="Builder",CapBuilder,CapSingle)*Unit),2)))</f>
        <v/>
      </c>
      <c r="L1897" s="10" t="n"/>
      <c r="N1897" s="10" t="n"/>
      <c r="O1897" s="10">
        <f>IF(L1897="","",IF(M1897="Won",L1897*G1897,IF(M1897="Void",L1897,IF(M1897="Cash out",N(N1897),IF(M1897="Lost",0,"")))))</f>
        <v/>
      </c>
      <c r="P1897" s="10">
        <f>IF(OR(L1897="",M1897="",M1897="Pending"),"",O1897-L1897)</f>
        <v/>
      </c>
      <c r="Q1897" s="21" t="n"/>
      <c r="R1897" s="11">
        <f>IF(OR(G1897="",Q1897=""),"",G1897/Q1897-1)</f>
        <v/>
      </c>
      <c r="S1897" s="10">
        <f>IF(OR(L1897="",J1897=""),"",L1897*J1897)</f>
        <v/>
      </c>
      <c r="T1897" s="10">
        <f>IF(P1897="","",StartBank+SUM(P$2:P1897))</f>
        <v/>
      </c>
    </row>
    <row r="1898">
      <c r="A1898" s="22" t="n"/>
      <c r="G1898" s="21" t="n"/>
      <c r="H1898" s="11" t="n"/>
      <c r="I1898" s="21">
        <f>IF(OR(H1898="",H1898=0),"",1/H1898)</f>
        <v/>
      </c>
      <c r="J1898" s="11">
        <f>IF(OR(G1898="",H1898=""),"",H1898*G1898-1)</f>
        <v/>
      </c>
      <c r="K1898" s="10">
        <f>IF(OR(G1898="",H1898="",G1898&lt;=1),"",IF(J1898&lt;IF(D1898="Builder",MinEdgeBuilder,IF(D1898="Player",MinEdgePlayer,MinEdgeSingle)),0,ROUND(MIN(IF(D1898="Single",KellySingle,KellyBuilder)*(StartBank+SUM(P$1:P1897))*J1898/(G1898-1),IF(D1898="Builder",CapBuilder,CapSingle)*Unit),2)))</f>
        <v/>
      </c>
      <c r="L1898" s="10" t="n"/>
      <c r="N1898" s="10" t="n"/>
      <c r="O1898" s="10">
        <f>IF(L1898="","",IF(M1898="Won",L1898*G1898,IF(M1898="Void",L1898,IF(M1898="Cash out",N(N1898),IF(M1898="Lost",0,"")))))</f>
        <v/>
      </c>
      <c r="P1898" s="10">
        <f>IF(OR(L1898="",M1898="",M1898="Pending"),"",O1898-L1898)</f>
        <v/>
      </c>
      <c r="Q1898" s="21" t="n"/>
      <c r="R1898" s="11">
        <f>IF(OR(G1898="",Q1898=""),"",G1898/Q1898-1)</f>
        <v/>
      </c>
      <c r="S1898" s="10">
        <f>IF(OR(L1898="",J1898=""),"",L1898*J1898)</f>
        <v/>
      </c>
      <c r="T1898" s="10">
        <f>IF(P1898="","",StartBank+SUM(P$2:P1898))</f>
        <v/>
      </c>
    </row>
    <row r="1899">
      <c r="A1899" s="22" t="n"/>
      <c r="G1899" s="21" t="n"/>
      <c r="H1899" s="11" t="n"/>
      <c r="I1899" s="21">
        <f>IF(OR(H1899="",H1899=0),"",1/H1899)</f>
        <v/>
      </c>
      <c r="J1899" s="11">
        <f>IF(OR(G1899="",H1899=""),"",H1899*G1899-1)</f>
        <v/>
      </c>
      <c r="K1899" s="10">
        <f>IF(OR(G1899="",H1899="",G1899&lt;=1),"",IF(J1899&lt;IF(D1899="Builder",MinEdgeBuilder,IF(D1899="Player",MinEdgePlayer,MinEdgeSingle)),0,ROUND(MIN(IF(D1899="Single",KellySingle,KellyBuilder)*(StartBank+SUM(P$1:P1898))*J1899/(G1899-1),IF(D1899="Builder",CapBuilder,CapSingle)*Unit),2)))</f>
        <v/>
      </c>
      <c r="L1899" s="10" t="n"/>
      <c r="N1899" s="10" t="n"/>
      <c r="O1899" s="10">
        <f>IF(L1899="","",IF(M1899="Won",L1899*G1899,IF(M1899="Void",L1899,IF(M1899="Cash out",N(N1899),IF(M1899="Lost",0,"")))))</f>
        <v/>
      </c>
      <c r="P1899" s="10">
        <f>IF(OR(L1899="",M1899="",M1899="Pending"),"",O1899-L1899)</f>
        <v/>
      </c>
      <c r="Q1899" s="21" t="n"/>
      <c r="R1899" s="11">
        <f>IF(OR(G1899="",Q1899=""),"",G1899/Q1899-1)</f>
        <v/>
      </c>
      <c r="S1899" s="10">
        <f>IF(OR(L1899="",J1899=""),"",L1899*J1899)</f>
        <v/>
      </c>
      <c r="T1899" s="10">
        <f>IF(P1899="","",StartBank+SUM(P$2:P1899))</f>
        <v/>
      </c>
    </row>
    <row r="1900">
      <c r="A1900" s="22" t="n"/>
      <c r="G1900" s="21" t="n"/>
      <c r="H1900" s="11" t="n"/>
      <c r="I1900" s="21">
        <f>IF(OR(H1900="",H1900=0),"",1/H1900)</f>
        <v/>
      </c>
      <c r="J1900" s="11">
        <f>IF(OR(G1900="",H1900=""),"",H1900*G1900-1)</f>
        <v/>
      </c>
      <c r="K1900" s="10">
        <f>IF(OR(G1900="",H1900="",G1900&lt;=1),"",IF(J1900&lt;IF(D1900="Builder",MinEdgeBuilder,IF(D1900="Player",MinEdgePlayer,MinEdgeSingle)),0,ROUND(MIN(IF(D1900="Single",KellySingle,KellyBuilder)*(StartBank+SUM(P$1:P1899))*J1900/(G1900-1),IF(D1900="Builder",CapBuilder,CapSingle)*Unit),2)))</f>
        <v/>
      </c>
      <c r="L1900" s="10" t="n"/>
      <c r="N1900" s="10" t="n"/>
      <c r="O1900" s="10">
        <f>IF(L1900="","",IF(M1900="Won",L1900*G1900,IF(M1900="Void",L1900,IF(M1900="Cash out",N(N1900),IF(M1900="Lost",0,"")))))</f>
        <v/>
      </c>
      <c r="P1900" s="10">
        <f>IF(OR(L1900="",M1900="",M1900="Pending"),"",O1900-L1900)</f>
        <v/>
      </c>
      <c r="Q1900" s="21" t="n"/>
      <c r="R1900" s="11">
        <f>IF(OR(G1900="",Q1900=""),"",G1900/Q1900-1)</f>
        <v/>
      </c>
      <c r="S1900" s="10">
        <f>IF(OR(L1900="",J1900=""),"",L1900*J1900)</f>
        <v/>
      </c>
      <c r="T1900" s="10">
        <f>IF(P1900="","",StartBank+SUM(P$2:P1900))</f>
        <v/>
      </c>
    </row>
    <row r="1901">
      <c r="A1901" s="22" t="n"/>
      <c r="G1901" s="21" t="n"/>
      <c r="H1901" s="11" t="n"/>
      <c r="I1901" s="21">
        <f>IF(OR(H1901="",H1901=0),"",1/H1901)</f>
        <v/>
      </c>
      <c r="J1901" s="11">
        <f>IF(OR(G1901="",H1901=""),"",H1901*G1901-1)</f>
        <v/>
      </c>
      <c r="K1901" s="10">
        <f>IF(OR(G1901="",H1901="",G1901&lt;=1),"",IF(J1901&lt;IF(D1901="Builder",MinEdgeBuilder,IF(D1901="Player",MinEdgePlayer,MinEdgeSingle)),0,ROUND(MIN(IF(D1901="Single",KellySingle,KellyBuilder)*(StartBank+SUM(P$1:P1900))*J1901/(G1901-1),IF(D1901="Builder",CapBuilder,CapSingle)*Unit),2)))</f>
        <v/>
      </c>
      <c r="L1901" s="10" t="n"/>
      <c r="N1901" s="10" t="n"/>
      <c r="O1901" s="10">
        <f>IF(L1901="","",IF(M1901="Won",L1901*G1901,IF(M1901="Void",L1901,IF(M1901="Cash out",N(N1901),IF(M1901="Lost",0,"")))))</f>
        <v/>
      </c>
      <c r="P1901" s="10">
        <f>IF(OR(L1901="",M1901="",M1901="Pending"),"",O1901-L1901)</f>
        <v/>
      </c>
      <c r="Q1901" s="21" t="n"/>
      <c r="R1901" s="11">
        <f>IF(OR(G1901="",Q1901=""),"",G1901/Q1901-1)</f>
        <v/>
      </c>
      <c r="S1901" s="10">
        <f>IF(OR(L1901="",J1901=""),"",L1901*J1901)</f>
        <v/>
      </c>
      <c r="T1901" s="10">
        <f>IF(P1901="","",StartBank+SUM(P$2:P1901))</f>
        <v/>
      </c>
    </row>
    <row r="1902">
      <c r="A1902" s="22" t="n"/>
      <c r="G1902" s="21" t="n"/>
      <c r="H1902" s="11" t="n"/>
      <c r="I1902" s="21">
        <f>IF(OR(H1902="",H1902=0),"",1/H1902)</f>
        <v/>
      </c>
      <c r="J1902" s="11">
        <f>IF(OR(G1902="",H1902=""),"",H1902*G1902-1)</f>
        <v/>
      </c>
      <c r="K1902" s="10">
        <f>IF(OR(G1902="",H1902="",G1902&lt;=1),"",IF(J1902&lt;IF(D1902="Builder",MinEdgeBuilder,IF(D1902="Player",MinEdgePlayer,MinEdgeSingle)),0,ROUND(MIN(IF(D1902="Single",KellySingle,KellyBuilder)*(StartBank+SUM(P$1:P1901))*J1902/(G1902-1),IF(D1902="Builder",CapBuilder,CapSingle)*Unit),2)))</f>
        <v/>
      </c>
      <c r="L1902" s="10" t="n"/>
      <c r="N1902" s="10" t="n"/>
      <c r="O1902" s="10">
        <f>IF(L1902="","",IF(M1902="Won",L1902*G1902,IF(M1902="Void",L1902,IF(M1902="Cash out",N(N1902),IF(M1902="Lost",0,"")))))</f>
        <v/>
      </c>
      <c r="P1902" s="10">
        <f>IF(OR(L1902="",M1902="",M1902="Pending"),"",O1902-L1902)</f>
        <v/>
      </c>
      <c r="Q1902" s="21" t="n"/>
      <c r="R1902" s="11">
        <f>IF(OR(G1902="",Q1902=""),"",G1902/Q1902-1)</f>
        <v/>
      </c>
      <c r="S1902" s="10">
        <f>IF(OR(L1902="",J1902=""),"",L1902*J1902)</f>
        <v/>
      </c>
      <c r="T1902" s="10">
        <f>IF(P1902="","",StartBank+SUM(P$2:P1902))</f>
        <v/>
      </c>
    </row>
    <row r="1903">
      <c r="A1903" s="22" t="n"/>
      <c r="G1903" s="21" t="n"/>
      <c r="H1903" s="11" t="n"/>
      <c r="I1903" s="21">
        <f>IF(OR(H1903="",H1903=0),"",1/H1903)</f>
        <v/>
      </c>
      <c r="J1903" s="11">
        <f>IF(OR(G1903="",H1903=""),"",H1903*G1903-1)</f>
        <v/>
      </c>
      <c r="K1903" s="10">
        <f>IF(OR(G1903="",H1903="",G1903&lt;=1),"",IF(J1903&lt;IF(D1903="Builder",MinEdgeBuilder,IF(D1903="Player",MinEdgePlayer,MinEdgeSingle)),0,ROUND(MIN(IF(D1903="Single",KellySingle,KellyBuilder)*(StartBank+SUM(P$1:P1902))*J1903/(G1903-1),IF(D1903="Builder",CapBuilder,CapSingle)*Unit),2)))</f>
        <v/>
      </c>
      <c r="L1903" s="10" t="n"/>
      <c r="N1903" s="10" t="n"/>
      <c r="O1903" s="10">
        <f>IF(L1903="","",IF(M1903="Won",L1903*G1903,IF(M1903="Void",L1903,IF(M1903="Cash out",N(N1903),IF(M1903="Lost",0,"")))))</f>
        <v/>
      </c>
      <c r="P1903" s="10">
        <f>IF(OR(L1903="",M1903="",M1903="Pending"),"",O1903-L1903)</f>
        <v/>
      </c>
      <c r="Q1903" s="21" t="n"/>
      <c r="R1903" s="11">
        <f>IF(OR(G1903="",Q1903=""),"",G1903/Q1903-1)</f>
        <v/>
      </c>
      <c r="S1903" s="10">
        <f>IF(OR(L1903="",J1903=""),"",L1903*J1903)</f>
        <v/>
      </c>
      <c r="T1903" s="10">
        <f>IF(P1903="","",StartBank+SUM(P$2:P1903))</f>
        <v/>
      </c>
    </row>
    <row r="1904">
      <c r="A1904" s="22" t="n"/>
      <c r="G1904" s="21" t="n"/>
      <c r="H1904" s="11" t="n"/>
      <c r="I1904" s="21">
        <f>IF(OR(H1904="",H1904=0),"",1/H1904)</f>
        <v/>
      </c>
      <c r="J1904" s="11">
        <f>IF(OR(G1904="",H1904=""),"",H1904*G1904-1)</f>
        <v/>
      </c>
      <c r="K1904" s="10">
        <f>IF(OR(G1904="",H1904="",G1904&lt;=1),"",IF(J1904&lt;IF(D1904="Builder",MinEdgeBuilder,IF(D1904="Player",MinEdgePlayer,MinEdgeSingle)),0,ROUND(MIN(IF(D1904="Single",KellySingle,KellyBuilder)*(StartBank+SUM(P$1:P1903))*J1904/(G1904-1),IF(D1904="Builder",CapBuilder,CapSingle)*Unit),2)))</f>
        <v/>
      </c>
      <c r="L1904" s="10" t="n"/>
      <c r="N1904" s="10" t="n"/>
      <c r="O1904" s="10">
        <f>IF(L1904="","",IF(M1904="Won",L1904*G1904,IF(M1904="Void",L1904,IF(M1904="Cash out",N(N1904),IF(M1904="Lost",0,"")))))</f>
        <v/>
      </c>
      <c r="P1904" s="10">
        <f>IF(OR(L1904="",M1904="",M1904="Pending"),"",O1904-L1904)</f>
        <v/>
      </c>
      <c r="Q1904" s="21" t="n"/>
      <c r="R1904" s="11">
        <f>IF(OR(G1904="",Q1904=""),"",G1904/Q1904-1)</f>
        <v/>
      </c>
      <c r="S1904" s="10">
        <f>IF(OR(L1904="",J1904=""),"",L1904*J1904)</f>
        <v/>
      </c>
      <c r="T1904" s="10">
        <f>IF(P1904="","",StartBank+SUM(P$2:P1904))</f>
        <v/>
      </c>
    </row>
    <row r="1905">
      <c r="A1905" s="22" t="n"/>
      <c r="G1905" s="21" t="n"/>
      <c r="H1905" s="11" t="n"/>
      <c r="I1905" s="21">
        <f>IF(OR(H1905="",H1905=0),"",1/H1905)</f>
        <v/>
      </c>
      <c r="J1905" s="11">
        <f>IF(OR(G1905="",H1905=""),"",H1905*G1905-1)</f>
        <v/>
      </c>
      <c r="K1905" s="10">
        <f>IF(OR(G1905="",H1905="",G1905&lt;=1),"",IF(J1905&lt;IF(D1905="Builder",MinEdgeBuilder,IF(D1905="Player",MinEdgePlayer,MinEdgeSingle)),0,ROUND(MIN(IF(D1905="Single",KellySingle,KellyBuilder)*(StartBank+SUM(P$1:P1904))*J1905/(G1905-1),IF(D1905="Builder",CapBuilder,CapSingle)*Unit),2)))</f>
        <v/>
      </c>
      <c r="L1905" s="10" t="n"/>
      <c r="N1905" s="10" t="n"/>
      <c r="O1905" s="10">
        <f>IF(L1905="","",IF(M1905="Won",L1905*G1905,IF(M1905="Void",L1905,IF(M1905="Cash out",N(N1905),IF(M1905="Lost",0,"")))))</f>
        <v/>
      </c>
      <c r="P1905" s="10">
        <f>IF(OR(L1905="",M1905="",M1905="Pending"),"",O1905-L1905)</f>
        <v/>
      </c>
      <c r="Q1905" s="21" t="n"/>
      <c r="R1905" s="11">
        <f>IF(OR(G1905="",Q1905=""),"",G1905/Q1905-1)</f>
        <v/>
      </c>
      <c r="S1905" s="10">
        <f>IF(OR(L1905="",J1905=""),"",L1905*J1905)</f>
        <v/>
      </c>
      <c r="T1905" s="10">
        <f>IF(P1905="","",StartBank+SUM(P$2:P1905))</f>
        <v/>
      </c>
    </row>
    <row r="1906">
      <c r="A1906" s="22" t="n"/>
      <c r="G1906" s="21" t="n"/>
      <c r="H1906" s="11" t="n"/>
      <c r="I1906" s="21">
        <f>IF(OR(H1906="",H1906=0),"",1/H1906)</f>
        <v/>
      </c>
      <c r="J1906" s="11">
        <f>IF(OR(G1906="",H1906=""),"",H1906*G1906-1)</f>
        <v/>
      </c>
      <c r="K1906" s="10">
        <f>IF(OR(G1906="",H1906="",G1906&lt;=1),"",IF(J1906&lt;IF(D1906="Builder",MinEdgeBuilder,IF(D1906="Player",MinEdgePlayer,MinEdgeSingle)),0,ROUND(MIN(IF(D1906="Single",KellySingle,KellyBuilder)*(StartBank+SUM(P$1:P1905))*J1906/(G1906-1),IF(D1906="Builder",CapBuilder,CapSingle)*Unit),2)))</f>
        <v/>
      </c>
      <c r="L1906" s="10" t="n"/>
      <c r="N1906" s="10" t="n"/>
      <c r="O1906" s="10">
        <f>IF(L1906="","",IF(M1906="Won",L1906*G1906,IF(M1906="Void",L1906,IF(M1906="Cash out",N(N1906),IF(M1906="Lost",0,"")))))</f>
        <v/>
      </c>
      <c r="P1906" s="10">
        <f>IF(OR(L1906="",M1906="",M1906="Pending"),"",O1906-L1906)</f>
        <v/>
      </c>
      <c r="Q1906" s="21" t="n"/>
      <c r="R1906" s="11">
        <f>IF(OR(G1906="",Q1906=""),"",G1906/Q1906-1)</f>
        <v/>
      </c>
      <c r="S1906" s="10">
        <f>IF(OR(L1906="",J1906=""),"",L1906*J1906)</f>
        <v/>
      </c>
      <c r="T1906" s="10">
        <f>IF(P1906="","",StartBank+SUM(P$2:P1906))</f>
        <v/>
      </c>
    </row>
    <row r="1907">
      <c r="A1907" s="22" t="n"/>
      <c r="G1907" s="21" t="n"/>
      <c r="H1907" s="11" t="n"/>
      <c r="I1907" s="21">
        <f>IF(OR(H1907="",H1907=0),"",1/H1907)</f>
        <v/>
      </c>
      <c r="J1907" s="11">
        <f>IF(OR(G1907="",H1907=""),"",H1907*G1907-1)</f>
        <v/>
      </c>
      <c r="K1907" s="10">
        <f>IF(OR(G1907="",H1907="",G1907&lt;=1),"",IF(J1907&lt;IF(D1907="Builder",MinEdgeBuilder,IF(D1907="Player",MinEdgePlayer,MinEdgeSingle)),0,ROUND(MIN(IF(D1907="Single",KellySingle,KellyBuilder)*(StartBank+SUM(P$1:P1906))*J1907/(G1907-1),IF(D1907="Builder",CapBuilder,CapSingle)*Unit),2)))</f>
        <v/>
      </c>
      <c r="L1907" s="10" t="n"/>
      <c r="N1907" s="10" t="n"/>
      <c r="O1907" s="10">
        <f>IF(L1907="","",IF(M1907="Won",L1907*G1907,IF(M1907="Void",L1907,IF(M1907="Cash out",N(N1907),IF(M1907="Lost",0,"")))))</f>
        <v/>
      </c>
      <c r="P1907" s="10">
        <f>IF(OR(L1907="",M1907="",M1907="Pending"),"",O1907-L1907)</f>
        <v/>
      </c>
      <c r="Q1907" s="21" t="n"/>
      <c r="R1907" s="11">
        <f>IF(OR(G1907="",Q1907=""),"",G1907/Q1907-1)</f>
        <v/>
      </c>
      <c r="S1907" s="10">
        <f>IF(OR(L1907="",J1907=""),"",L1907*J1907)</f>
        <v/>
      </c>
      <c r="T1907" s="10">
        <f>IF(P1907="","",StartBank+SUM(P$2:P1907))</f>
        <v/>
      </c>
    </row>
    <row r="1908">
      <c r="A1908" s="22" t="n"/>
      <c r="G1908" s="21" t="n"/>
      <c r="H1908" s="11" t="n"/>
      <c r="I1908" s="21">
        <f>IF(OR(H1908="",H1908=0),"",1/H1908)</f>
        <v/>
      </c>
      <c r="J1908" s="11">
        <f>IF(OR(G1908="",H1908=""),"",H1908*G1908-1)</f>
        <v/>
      </c>
      <c r="K1908" s="10">
        <f>IF(OR(G1908="",H1908="",G1908&lt;=1),"",IF(J1908&lt;IF(D1908="Builder",MinEdgeBuilder,IF(D1908="Player",MinEdgePlayer,MinEdgeSingle)),0,ROUND(MIN(IF(D1908="Single",KellySingle,KellyBuilder)*(StartBank+SUM(P$1:P1907))*J1908/(G1908-1),IF(D1908="Builder",CapBuilder,CapSingle)*Unit),2)))</f>
        <v/>
      </c>
      <c r="L1908" s="10" t="n"/>
      <c r="N1908" s="10" t="n"/>
      <c r="O1908" s="10">
        <f>IF(L1908="","",IF(M1908="Won",L1908*G1908,IF(M1908="Void",L1908,IF(M1908="Cash out",N(N1908),IF(M1908="Lost",0,"")))))</f>
        <v/>
      </c>
      <c r="P1908" s="10">
        <f>IF(OR(L1908="",M1908="",M1908="Pending"),"",O1908-L1908)</f>
        <v/>
      </c>
      <c r="Q1908" s="21" t="n"/>
      <c r="R1908" s="11">
        <f>IF(OR(G1908="",Q1908=""),"",G1908/Q1908-1)</f>
        <v/>
      </c>
      <c r="S1908" s="10">
        <f>IF(OR(L1908="",J1908=""),"",L1908*J1908)</f>
        <v/>
      </c>
      <c r="T1908" s="10">
        <f>IF(P1908="","",StartBank+SUM(P$2:P1908))</f>
        <v/>
      </c>
    </row>
    <row r="1909">
      <c r="A1909" s="22" t="n"/>
      <c r="G1909" s="21" t="n"/>
      <c r="H1909" s="11" t="n"/>
      <c r="I1909" s="21">
        <f>IF(OR(H1909="",H1909=0),"",1/H1909)</f>
        <v/>
      </c>
      <c r="J1909" s="11">
        <f>IF(OR(G1909="",H1909=""),"",H1909*G1909-1)</f>
        <v/>
      </c>
      <c r="K1909" s="10">
        <f>IF(OR(G1909="",H1909="",G1909&lt;=1),"",IF(J1909&lt;IF(D1909="Builder",MinEdgeBuilder,IF(D1909="Player",MinEdgePlayer,MinEdgeSingle)),0,ROUND(MIN(IF(D1909="Single",KellySingle,KellyBuilder)*(StartBank+SUM(P$1:P1908))*J1909/(G1909-1),IF(D1909="Builder",CapBuilder,CapSingle)*Unit),2)))</f>
        <v/>
      </c>
      <c r="L1909" s="10" t="n"/>
      <c r="N1909" s="10" t="n"/>
      <c r="O1909" s="10">
        <f>IF(L1909="","",IF(M1909="Won",L1909*G1909,IF(M1909="Void",L1909,IF(M1909="Cash out",N(N1909),IF(M1909="Lost",0,"")))))</f>
        <v/>
      </c>
      <c r="P1909" s="10">
        <f>IF(OR(L1909="",M1909="",M1909="Pending"),"",O1909-L1909)</f>
        <v/>
      </c>
      <c r="Q1909" s="21" t="n"/>
      <c r="R1909" s="11">
        <f>IF(OR(G1909="",Q1909=""),"",G1909/Q1909-1)</f>
        <v/>
      </c>
      <c r="S1909" s="10">
        <f>IF(OR(L1909="",J1909=""),"",L1909*J1909)</f>
        <v/>
      </c>
      <c r="T1909" s="10">
        <f>IF(P1909="","",StartBank+SUM(P$2:P1909))</f>
        <v/>
      </c>
    </row>
    <row r="1910">
      <c r="A1910" s="22" t="n"/>
      <c r="G1910" s="21" t="n"/>
      <c r="H1910" s="11" t="n"/>
      <c r="I1910" s="21">
        <f>IF(OR(H1910="",H1910=0),"",1/H1910)</f>
        <v/>
      </c>
      <c r="J1910" s="11">
        <f>IF(OR(G1910="",H1910=""),"",H1910*G1910-1)</f>
        <v/>
      </c>
      <c r="K1910" s="10">
        <f>IF(OR(G1910="",H1910="",G1910&lt;=1),"",IF(J1910&lt;IF(D1910="Builder",MinEdgeBuilder,IF(D1910="Player",MinEdgePlayer,MinEdgeSingle)),0,ROUND(MIN(IF(D1910="Single",KellySingle,KellyBuilder)*(StartBank+SUM(P$1:P1909))*J1910/(G1910-1),IF(D1910="Builder",CapBuilder,CapSingle)*Unit),2)))</f>
        <v/>
      </c>
      <c r="L1910" s="10" t="n"/>
      <c r="N1910" s="10" t="n"/>
      <c r="O1910" s="10">
        <f>IF(L1910="","",IF(M1910="Won",L1910*G1910,IF(M1910="Void",L1910,IF(M1910="Cash out",N(N1910),IF(M1910="Lost",0,"")))))</f>
        <v/>
      </c>
      <c r="P1910" s="10">
        <f>IF(OR(L1910="",M1910="",M1910="Pending"),"",O1910-L1910)</f>
        <v/>
      </c>
      <c r="Q1910" s="21" t="n"/>
      <c r="R1910" s="11">
        <f>IF(OR(G1910="",Q1910=""),"",G1910/Q1910-1)</f>
        <v/>
      </c>
      <c r="S1910" s="10">
        <f>IF(OR(L1910="",J1910=""),"",L1910*J1910)</f>
        <v/>
      </c>
      <c r="T1910" s="10">
        <f>IF(P1910="","",StartBank+SUM(P$2:P1910))</f>
        <v/>
      </c>
    </row>
    <row r="1911">
      <c r="A1911" s="22" t="n"/>
      <c r="G1911" s="21" t="n"/>
      <c r="H1911" s="11" t="n"/>
      <c r="I1911" s="21">
        <f>IF(OR(H1911="",H1911=0),"",1/H1911)</f>
        <v/>
      </c>
      <c r="J1911" s="11">
        <f>IF(OR(G1911="",H1911=""),"",H1911*G1911-1)</f>
        <v/>
      </c>
      <c r="K1911" s="10">
        <f>IF(OR(G1911="",H1911="",G1911&lt;=1),"",IF(J1911&lt;IF(D1911="Builder",MinEdgeBuilder,IF(D1911="Player",MinEdgePlayer,MinEdgeSingle)),0,ROUND(MIN(IF(D1911="Single",KellySingle,KellyBuilder)*(StartBank+SUM(P$1:P1910))*J1911/(G1911-1),IF(D1911="Builder",CapBuilder,CapSingle)*Unit),2)))</f>
        <v/>
      </c>
      <c r="L1911" s="10" t="n"/>
      <c r="N1911" s="10" t="n"/>
      <c r="O1911" s="10">
        <f>IF(L1911="","",IF(M1911="Won",L1911*G1911,IF(M1911="Void",L1911,IF(M1911="Cash out",N(N1911),IF(M1911="Lost",0,"")))))</f>
        <v/>
      </c>
      <c r="P1911" s="10">
        <f>IF(OR(L1911="",M1911="",M1911="Pending"),"",O1911-L1911)</f>
        <v/>
      </c>
      <c r="Q1911" s="21" t="n"/>
      <c r="R1911" s="11">
        <f>IF(OR(G1911="",Q1911=""),"",G1911/Q1911-1)</f>
        <v/>
      </c>
      <c r="S1911" s="10">
        <f>IF(OR(L1911="",J1911=""),"",L1911*J1911)</f>
        <v/>
      </c>
      <c r="T1911" s="10">
        <f>IF(P1911="","",StartBank+SUM(P$2:P1911))</f>
        <v/>
      </c>
    </row>
    <row r="1912">
      <c r="A1912" s="22" t="n"/>
      <c r="G1912" s="21" t="n"/>
      <c r="H1912" s="11" t="n"/>
      <c r="I1912" s="21">
        <f>IF(OR(H1912="",H1912=0),"",1/H1912)</f>
        <v/>
      </c>
      <c r="J1912" s="11">
        <f>IF(OR(G1912="",H1912=""),"",H1912*G1912-1)</f>
        <v/>
      </c>
      <c r="K1912" s="10">
        <f>IF(OR(G1912="",H1912="",G1912&lt;=1),"",IF(J1912&lt;IF(D1912="Builder",MinEdgeBuilder,IF(D1912="Player",MinEdgePlayer,MinEdgeSingle)),0,ROUND(MIN(IF(D1912="Single",KellySingle,KellyBuilder)*(StartBank+SUM(P$1:P1911))*J1912/(G1912-1),IF(D1912="Builder",CapBuilder,CapSingle)*Unit),2)))</f>
        <v/>
      </c>
      <c r="L1912" s="10" t="n"/>
      <c r="N1912" s="10" t="n"/>
      <c r="O1912" s="10">
        <f>IF(L1912="","",IF(M1912="Won",L1912*G1912,IF(M1912="Void",L1912,IF(M1912="Cash out",N(N1912),IF(M1912="Lost",0,"")))))</f>
        <v/>
      </c>
      <c r="P1912" s="10">
        <f>IF(OR(L1912="",M1912="",M1912="Pending"),"",O1912-L1912)</f>
        <v/>
      </c>
      <c r="Q1912" s="21" t="n"/>
      <c r="R1912" s="11">
        <f>IF(OR(G1912="",Q1912=""),"",G1912/Q1912-1)</f>
        <v/>
      </c>
      <c r="S1912" s="10">
        <f>IF(OR(L1912="",J1912=""),"",L1912*J1912)</f>
        <v/>
      </c>
      <c r="T1912" s="10">
        <f>IF(P1912="","",StartBank+SUM(P$2:P1912))</f>
        <v/>
      </c>
    </row>
    <row r="1913">
      <c r="A1913" s="22" t="n"/>
      <c r="G1913" s="21" t="n"/>
      <c r="H1913" s="11" t="n"/>
      <c r="I1913" s="21">
        <f>IF(OR(H1913="",H1913=0),"",1/H1913)</f>
        <v/>
      </c>
      <c r="J1913" s="11">
        <f>IF(OR(G1913="",H1913=""),"",H1913*G1913-1)</f>
        <v/>
      </c>
      <c r="K1913" s="10">
        <f>IF(OR(G1913="",H1913="",G1913&lt;=1),"",IF(J1913&lt;IF(D1913="Builder",MinEdgeBuilder,IF(D1913="Player",MinEdgePlayer,MinEdgeSingle)),0,ROUND(MIN(IF(D1913="Single",KellySingle,KellyBuilder)*(StartBank+SUM(P$1:P1912))*J1913/(G1913-1),IF(D1913="Builder",CapBuilder,CapSingle)*Unit),2)))</f>
        <v/>
      </c>
      <c r="L1913" s="10" t="n"/>
      <c r="N1913" s="10" t="n"/>
      <c r="O1913" s="10">
        <f>IF(L1913="","",IF(M1913="Won",L1913*G1913,IF(M1913="Void",L1913,IF(M1913="Cash out",N(N1913),IF(M1913="Lost",0,"")))))</f>
        <v/>
      </c>
      <c r="P1913" s="10">
        <f>IF(OR(L1913="",M1913="",M1913="Pending"),"",O1913-L1913)</f>
        <v/>
      </c>
      <c r="Q1913" s="21" t="n"/>
      <c r="R1913" s="11">
        <f>IF(OR(G1913="",Q1913=""),"",G1913/Q1913-1)</f>
        <v/>
      </c>
      <c r="S1913" s="10">
        <f>IF(OR(L1913="",J1913=""),"",L1913*J1913)</f>
        <v/>
      </c>
      <c r="T1913" s="10">
        <f>IF(P1913="","",StartBank+SUM(P$2:P1913))</f>
        <v/>
      </c>
    </row>
    <row r="1914">
      <c r="A1914" s="22" t="n"/>
      <c r="G1914" s="21" t="n"/>
      <c r="H1914" s="11" t="n"/>
      <c r="I1914" s="21">
        <f>IF(OR(H1914="",H1914=0),"",1/H1914)</f>
        <v/>
      </c>
      <c r="J1914" s="11">
        <f>IF(OR(G1914="",H1914=""),"",H1914*G1914-1)</f>
        <v/>
      </c>
      <c r="K1914" s="10">
        <f>IF(OR(G1914="",H1914="",G1914&lt;=1),"",IF(J1914&lt;IF(D1914="Builder",MinEdgeBuilder,IF(D1914="Player",MinEdgePlayer,MinEdgeSingle)),0,ROUND(MIN(IF(D1914="Single",KellySingle,KellyBuilder)*(StartBank+SUM(P$1:P1913))*J1914/(G1914-1),IF(D1914="Builder",CapBuilder,CapSingle)*Unit),2)))</f>
        <v/>
      </c>
      <c r="L1914" s="10" t="n"/>
      <c r="N1914" s="10" t="n"/>
      <c r="O1914" s="10">
        <f>IF(L1914="","",IF(M1914="Won",L1914*G1914,IF(M1914="Void",L1914,IF(M1914="Cash out",N(N1914),IF(M1914="Lost",0,"")))))</f>
        <v/>
      </c>
      <c r="P1914" s="10">
        <f>IF(OR(L1914="",M1914="",M1914="Pending"),"",O1914-L1914)</f>
        <v/>
      </c>
      <c r="Q1914" s="21" t="n"/>
      <c r="R1914" s="11">
        <f>IF(OR(G1914="",Q1914=""),"",G1914/Q1914-1)</f>
        <v/>
      </c>
      <c r="S1914" s="10">
        <f>IF(OR(L1914="",J1914=""),"",L1914*J1914)</f>
        <v/>
      </c>
      <c r="T1914" s="10">
        <f>IF(P1914="","",StartBank+SUM(P$2:P1914))</f>
        <v/>
      </c>
    </row>
    <row r="1915">
      <c r="A1915" s="22" t="n"/>
      <c r="G1915" s="21" t="n"/>
      <c r="H1915" s="11" t="n"/>
      <c r="I1915" s="21">
        <f>IF(OR(H1915="",H1915=0),"",1/H1915)</f>
        <v/>
      </c>
      <c r="J1915" s="11">
        <f>IF(OR(G1915="",H1915=""),"",H1915*G1915-1)</f>
        <v/>
      </c>
      <c r="K1915" s="10">
        <f>IF(OR(G1915="",H1915="",G1915&lt;=1),"",IF(J1915&lt;IF(D1915="Builder",MinEdgeBuilder,IF(D1915="Player",MinEdgePlayer,MinEdgeSingle)),0,ROUND(MIN(IF(D1915="Single",KellySingle,KellyBuilder)*(StartBank+SUM(P$1:P1914))*J1915/(G1915-1),IF(D1915="Builder",CapBuilder,CapSingle)*Unit),2)))</f>
        <v/>
      </c>
      <c r="L1915" s="10" t="n"/>
      <c r="N1915" s="10" t="n"/>
      <c r="O1915" s="10">
        <f>IF(L1915="","",IF(M1915="Won",L1915*G1915,IF(M1915="Void",L1915,IF(M1915="Cash out",N(N1915),IF(M1915="Lost",0,"")))))</f>
        <v/>
      </c>
      <c r="P1915" s="10">
        <f>IF(OR(L1915="",M1915="",M1915="Pending"),"",O1915-L1915)</f>
        <v/>
      </c>
      <c r="Q1915" s="21" t="n"/>
      <c r="R1915" s="11">
        <f>IF(OR(G1915="",Q1915=""),"",G1915/Q1915-1)</f>
        <v/>
      </c>
      <c r="S1915" s="10">
        <f>IF(OR(L1915="",J1915=""),"",L1915*J1915)</f>
        <v/>
      </c>
      <c r="T1915" s="10">
        <f>IF(P1915="","",StartBank+SUM(P$2:P1915))</f>
        <v/>
      </c>
    </row>
    <row r="1916">
      <c r="A1916" s="22" t="n"/>
      <c r="G1916" s="21" t="n"/>
      <c r="H1916" s="11" t="n"/>
      <c r="I1916" s="21">
        <f>IF(OR(H1916="",H1916=0),"",1/H1916)</f>
        <v/>
      </c>
      <c r="J1916" s="11">
        <f>IF(OR(G1916="",H1916=""),"",H1916*G1916-1)</f>
        <v/>
      </c>
      <c r="K1916" s="10">
        <f>IF(OR(G1916="",H1916="",G1916&lt;=1),"",IF(J1916&lt;IF(D1916="Builder",MinEdgeBuilder,IF(D1916="Player",MinEdgePlayer,MinEdgeSingle)),0,ROUND(MIN(IF(D1916="Single",KellySingle,KellyBuilder)*(StartBank+SUM(P$1:P1915))*J1916/(G1916-1),IF(D1916="Builder",CapBuilder,CapSingle)*Unit),2)))</f>
        <v/>
      </c>
      <c r="L1916" s="10" t="n"/>
      <c r="N1916" s="10" t="n"/>
      <c r="O1916" s="10">
        <f>IF(L1916="","",IF(M1916="Won",L1916*G1916,IF(M1916="Void",L1916,IF(M1916="Cash out",N(N1916),IF(M1916="Lost",0,"")))))</f>
        <v/>
      </c>
      <c r="P1916" s="10">
        <f>IF(OR(L1916="",M1916="",M1916="Pending"),"",O1916-L1916)</f>
        <v/>
      </c>
      <c r="Q1916" s="21" t="n"/>
      <c r="R1916" s="11">
        <f>IF(OR(G1916="",Q1916=""),"",G1916/Q1916-1)</f>
        <v/>
      </c>
      <c r="S1916" s="10">
        <f>IF(OR(L1916="",J1916=""),"",L1916*J1916)</f>
        <v/>
      </c>
      <c r="T1916" s="10">
        <f>IF(P1916="","",StartBank+SUM(P$2:P1916))</f>
        <v/>
      </c>
    </row>
    <row r="1917">
      <c r="A1917" s="22" t="n"/>
      <c r="G1917" s="21" t="n"/>
      <c r="H1917" s="11" t="n"/>
      <c r="I1917" s="21">
        <f>IF(OR(H1917="",H1917=0),"",1/H1917)</f>
        <v/>
      </c>
      <c r="J1917" s="11">
        <f>IF(OR(G1917="",H1917=""),"",H1917*G1917-1)</f>
        <v/>
      </c>
      <c r="K1917" s="10">
        <f>IF(OR(G1917="",H1917="",G1917&lt;=1),"",IF(J1917&lt;IF(D1917="Builder",MinEdgeBuilder,IF(D1917="Player",MinEdgePlayer,MinEdgeSingle)),0,ROUND(MIN(IF(D1917="Single",KellySingle,KellyBuilder)*(StartBank+SUM(P$1:P1916))*J1917/(G1917-1),IF(D1917="Builder",CapBuilder,CapSingle)*Unit),2)))</f>
        <v/>
      </c>
      <c r="L1917" s="10" t="n"/>
      <c r="N1917" s="10" t="n"/>
      <c r="O1917" s="10">
        <f>IF(L1917="","",IF(M1917="Won",L1917*G1917,IF(M1917="Void",L1917,IF(M1917="Cash out",N(N1917),IF(M1917="Lost",0,"")))))</f>
        <v/>
      </c>
      <c r="P1917" s="10">
        <f>IF(OR(L1917="",M1917="",M1917="Pending"),"",O1917-L1917)</f>
        <v/>
      </c>
      <c r="Q1917" s="21" t="n"/>
      <c r="R1917" s="11">
        <f>IF(OR(G1917="",Q1917=""),"",G1917/Q1917-1)</f>
        <v/>
      </c>
      <c r="S1917" s="10">
        <f>IF(OR(L1917="",J1917=""),"",L1917*J1917)</f>
        <v/>
      </c>
      <c r="T1917" s="10">
        <f>IF(P1917="","",StartBank+SUM(P$2:P1917))</f>
        <v/>
      </c>
    </row>
    <row r="1918">
      <c r="A1918" s="22" t="n"/>
      <c r="G1918" s="21" t="n"/>
      <c r="H1918" s="11" t="n"/>
      <c r="I1918" s="21">
        <f>IF(OR(H1918="",H1918=0),"",1/H1918)</f>
        <v/>
      </c>
      <c r="J1918" s="11">
        <f>IF(OR(G1918="",H1918=""),"",H1918*G1918-1)</f>
        <v/>
      </c>
      <c r="K1918" s="10">
        <f>IF(OR(G1918="",H1918="",G1918&lt;=1),"",IF(J1918&lt;IF(D1918="Builder",MinEdgeBuilder,IF(D1918="Player",MinEdgePlayer,MinEdgeSingle)),0,ROUND(MIN(IF(D1918="Single",KellySingle,KellyBuilder)*(StartBank+SUM(P$1:P1917))*J1918/(G1918-1),IF(D1918="Builder",CapBuilder,CapSingle)*Unit),2)))</f>
        <v/>
      </c>
      <c r="L1918" s="10" t="n"/>
      <c r="N1918" s="10" t="n"/>
      <c r="O1918" s="10">
        <f>IF(L1918="","",IF(M1918="Won",L1918*G1918,IF(M1918="Void",L1918,IF(M1918="Cash out",N(N1918),IF(M1918="Lost",0,"")))))</f>
        <v/>
      </c>
      <c r="P1918" s="10">
        <f>IF(OR(L1918="",M1918="",M1918="Pending"),"",O1918-L1918)</f>
        <v/>
      </c>
      <c r="Q1918" s="21" t="n"/>
      <c r="R1918" s="11">
        <f>IF(OR(G1918="",Q1918=""),"",G1918/Q1918-1)</f>
        <v/>
      </c>
      <c r="S1918" s="10">
        <f>IF(OR(L1918="",J1918=""),"",L1918*J1918)</f>
        <v/>
      </c>
      <c r="T1918" s="10">
        <f>IF(P1918="","",StartBank+SUM(P$2:P1918))</f>
        <v/>
      </c>
    </row>
    <row r="1919">
      <c r="A1919" s="22" t="n"/>
      <c r="G1919" s="21" t="n"/>
      <c r="H1919" s="11" t="n"/>
      <c r="I1919" s="21">
        <f>IF(OR(H1919="",H1919=0),"",1/H1919)</f>
        <v/>
      </c>
      <c r="J1919" s="11">
        <f>IF(OR(G1919="",H1919=""),"",H1919*G1919-1)</f>
        <v/>
      </c>
      <c r="K1919" s="10">
        <f>IF(OR(G1919="",H1919="",G1919&lt;=1),"",IF(J1919&lt;IF(D1919="Builder",MinEdgeBuilder,IF(D1919="Player",MinEdgePlayer,MinEdgeSingle)),0,ROUND(MIN(IF(D1919="Single",KellySingle,KellyBuilder)*(StartBank+SUM(P$1:P1918))*J1919/(G1919-1),IF(D1919="Builder",CapBuilder,CapSingle)*Unit),2)))</f>
        <v/>
      </c>
      <c r="L1919" s="10" t="n"/>
      <c r="N1919" s="10" t="n"/>
      <c r="O1919" s="10">
        <f>IF(L1919="","",IF(M1919="Won",L1919*G1919,IF(M1919="Void",L1919,IF(M1919="Cash out",N(N1919),IF(M1919="Lost",0,"")))))</f>
        <v/>
      </c>
      <c r="P1919" s="10">
        <f>IF(OR(L1919="",M1919="",M1919="Pending"),"",O1919-L1919)</f>
        <v/>
      </c>
      <c r="Q1919" s="21" t="n"/>
      <c r="R1919" s="11">
        <f>IF(OR(G1919="",Q1919=""),"",G1919/Q1919-1)</f>
        <v/>
      </c>
      <c r="S1919" s="10">
        <f>IF(OR(L1919="",J1919=""),"",L1919*J1919)</f>
        <v/>
      </c>
      <c r="T1919" s="10">
        <f>IF(P1919="","",StartBank+SUM(P$2:P1919))</f>
        <v/>
      </c>
    </row>
    <row r="1920">
      <c r="A1920" s="22" t="n"/>
      <c r="G1920" s="21" t="n"/>
      <c r="H1920" s="11" t="n"/>
      <c r="I1920" s="21">
        <f>IF(OR(H1920="",H1920=0),"",1/H1920)</f>
        <v/>
      </c>
      <c r="J1920" s="11">
        <f>IF(OR(G1920="",H1920=""),"",H1920*G1920-1)</f>
        <v/>
      </c>
      <c r="K1920" s="10">
        <f>IF(OR(G1920="",H1920="",G1920&lt;=1),"",IF(J1920&lt;IF(D1920="Builder",MinEdgeBuilder,IF(D1920="Player",MinEdgePlayer,MinEdgeSingle)),0,ROUND(MIN(IF(D1920="Single",KellySingle,KellyBuilder)*(StartBank+SUM(P$1:P1919))*J1920/(G1920-1),IF(D1920="Builder",CapBuilder,CapSingle)*Unit),2)))</f>
        <v/>
      </c>
      <c r="L1920" s="10" t="n"/>
      <c r="N1920" s="10" t="n"/>
      <c r="O1920" s="10">
        <f>IF(L1920="","",IF(M1920="Won",L1920*G1920,IF(M1920="Void",L1920,IF(M1920="Cash out",N(N1920),IF(M1920="Lost",0,"")))))</f>
        <v/>
      </c>
      <c r="P1920" s="10">
        <f>IF(OR(L1920="",M1920="",M1920="Pending"),"",O1920-L1920)</f>
        <v/>
      </c>
      <c r="Q1920" s="21" t="n"/>
      <c r="R1920" s="11">
        <f>IF(OR(G1920="",Q1920=""),"",G1920/Q1920-1)</f>
        <v/>
      </c>
      <c r="S1920" s="10">
        <f>IF(OR(L1920="",J1920=""),"",L1920*J1920)</f>
        <v/>
      </c>
      <c r="T1920" s="10">
        <f>IF(P1920="","",StartBank+SUM(P$2:P1920))</f>
        <v/>
      </c>
    </row>
    <row r="1921">
      <c r="A1921" s="22" t="n"/>
      <c r="G1921" s="21" t="n"/>
      <c r="H1921" s="11" t="n"/>
      <c r="I1921" s="21">
        <f>IF(OR(H1921="",H1921=0),"",1/H1921)</f>
        <v/>
      </c>
      <c r="J1921" s="11">
        <f>IF(OR(G1921="",H1921=""),"",H1921*G1921-1)</f>
        <v/>
      </c>
      <c r="K1921" s="10">
        <f>IF(OR(G1921="",H1921="",G1921&lt;=1),"",IF(J1921&lt;IF(D1921="Builder",MinEdgeBuilder,IF(D1921="Player",MinEdgePlayer,MinEdgeSingle)),0,ROUND(MIN(IF(D1921="Single",KellySingle,KellyBuilder)*(StartBank+SUM(P$1:P1920))*J1921/(G1921-1),IF(D1921="Builder",CapBuilder,CapSingle)*Unit),2)))</f>
        <v/>
      </c>
      <c r="L1921" s="10" t="n"/>
      <c r="N1921" s="10" t="n"/>
      <c r="O1921" s="10">
        <f>IF(L1921="","",IF(M1921="Won",L1921*G1921,IF(M1921="Void",L1921,IF(M1921="Cash out",N(N1921),IF(M1921="Lost",0,"")))))</f>
        <v/>
      </c>
      <c r="P1921" s="10">
        <f>IF(OR(L1921="",M1921="",M1921="Pending"),"",O1921-L1921)</f>
        <v/>
      </c>
      <c r="Q1921" s="21" t="n"/>
      <c r="R1921" s="11">
        <f>IF(OR(G1921="",Q1921=""),"",G1921/Q1921-1)</f>
        <v/>
      </c>
      <c r="S1921" s="10">
        <f>IF(OR(L1921="",J1921=""),"",L1921*J1921)</f>
        <v/>
      </c>
      <c r="T1921" s="10">
        <f>IF(P1921="","",StartBank+SUM(P$2:P1921))</f>
        <v/>
      </c>
    </row>
    <row r="1922">
      <c r="A1922" s="22" t="n"/>
      <c r="G1922" s="21" t="n"/>
      <c r="H1922" s="11" t="n"/>
      <c r="I1922" s="21">
        <f>IF(OR(H1922="",H1922=0),"",1/H1922)</f>
        <v/>
      </c>
      <c r="J1922" s="11">
        <f>IF(OR(G1922="",H1922=""),"",H1922*G1922-1)</f>
        <v/>
      </c>
      <c r="K1922" s="10">
        <f>IF(OR(G1922="",H1922="",G1922&lt;=1),"",IF(J1922&lt;IF(D1922="Builder",MinEdgeBuilder,IF(D1922="Player",MinEdgePlayer,MinEdgeSingle)),0,ROUND(MIN(IF(D1922="Single",KellySingle,KellyBuilder)*(StartBank+SUM(P$1:P1921))*J1922/(G1922-1),IF(D1922="Builder",CapBuilder,CapSingle)*Unit),2)))</f>
        <v/>
      </c>
      <c r="L1922" s="10" t="n"/>
      <c r="N1922" s="10" t="n"/>
      <c r="O1922" s="10">
        <f>IF(L1922="","",IF(M1922="Won",L1922*G1922,IF(M1922="Void",L1922,IF(M1922="Cash out",N(N1922),IF(M1922="Lost",0,"")))))</f>
        <v/>
      </c>
      <c r="P1922" s="10">
        <f>IF(OR(L1922="",M1922="",M1922="Pending"),"",O1922-L1922)</f>
        <v/>
      </c>
      <c r="Q1922" s="21" t="n"/>
      <c r="R1922" s="11">
        <f>IF(OR(G1922="",Q1922=""),"",G1922/Q1922-1)</f>
        <v/>
      </c>
      <c r="S1922" s="10">
        <f>IF(OR(L1922="",J1922=""),"",L1922*J1922)</f>
        <v/>
      </c>
      <c r="T1922" s="10">
        <f>IF(P1922="","",StartBank+SUM(P$2:P1922))</f>
        <v/>
      </c>
    </row>
    <row r="1923">
      <c r="A1923" s="22" t="n"/>
      <c r="G1923" s="21" t="n"/>
      <c r="H1923" s="11" t="n"/>
      <c r="I1923" s="21">
        <f>IF(OR(H1923="",H1923=0),"",1/H1923)</f>
        <v/>
      </c>
      <c r="J1923" s="11">
        <f>IF(OR(G1923="",H1923=""),"",H1923*G1923-1)</f>
        <v/>
      </c>
      <c r="K1923" s="10">
        <f>IF(OR(G1923="",H1923="",G1923&lt;=1),"",IF(J1923&lt;IF(D1923="Builder",MinEdgeBuilder,IF(D1923="Player",MinEdgePlayer,MinEdgeSingle)),0,ROUND(MIN(IF(D1923="Single",KellySingle,KellyBuilder)*(StartBank+SUM(P$1:P1922))*J1923/(G1923-1),IF(D1923="Builder",CapBuilder,CapSingle)*Unit),2)))</f>
        <v/>
      </c>
      <c r="L1923" s="10" t="n"/>
      <c r="N1923" s="10" t="n"/>
      <c r="O1923" s="10">
        <f>IF(L1923="","",IF(M1923="Won",L1923*G1923,IF(M1923="Void",L1923,IF(M1923="Cash out",N(N1923),IF(M1923="Lost",0,"")))))</f>
        <v/>
      </c>
      <c r="P1923" s="10">
        <f>IF(OR(L1923="",M1923="",M1923="Pending"),"",O1923-L1923)</f>
        <v/>
      </c>
      <c r="Q1923" s="21" t="n"/>
      <c r="R1923" s="11">
        <f>IF(OR(G1923="",Q1923=""),"",G1923/Q1923-1)</f>
        <v/>
      </c>
      <c r="S1923" s="10">
        <f>IF(OR(L1923="",J1923=""),"",L1923*J1923)</f>
        <v/>
      </c>
      <c r="T1923" s="10">
        <f>IF(P1923="","",StartBank+SUM(P$2:P1923))</f>
        <v/>
      </c>
    </row>
    <row r="1924">
      <c r="A1924" s="22" t="n"/>
      <c r="G1924" s="21" t="n"/>
      <c r="H1924" s="11" t="n"/>
      <c r="I1924" s="21">
        <f>IF(OR(H1924="",H1924=0),"",1/H1924)</f>
        <v/>
      </c>
      <c r="J1924" s="11">
        <f>IF(OR(G1924="",H1924=""),"",H1924*G1924-1)</f>
        <v/>
      </c>
      <c r="K1924" s="10">
        <f>IF(OR(G1924="",H1924="",G1924&lt;=1),"",IF(J1924&lt;IF(D1924="Builder",MinEdgeBuilder,IF(D1924="Player",MinEdgePlayer,MinEdgeSingle)),0,ROUND(MIN(IF(D1924="Single",KellySingle,KellyBuilder)*(StartBank+SUM(P$1:P1923))*J1924/(G1924-1),IF(D1924="Builder",CapBuilder,CapSingle)*Unit),2)))</f>
        <v/>
      </c>
      <c r="L1924" s="10" t="n"/>
      <c r="N1924" s="10" t="n"/>
      <c r="O1924" s="10">
        <f>IF(L1924="","",IF(M1924="Won",L1924*G1924,IF(M1924="Void",L1924,IF(M1924="Cash out",N(N1924),IF(M1924="Lost",0,"")))))</f>
        <v/>
      </c>
      <c r="P1924" s="10">
        <f>IF(OR(L1924="",M1924="",M1924="Pending"),"",O1924-L1924)</f>
        <v/>
      </c>
      <c r="Q1924" s="21" t="n"/>
      <c r="R1924" s="11">
        <f>IF(OR(G1924="",Q1924=""),"",G1924/Q1924-1)</f>
        <v/>
      </c>
      <c r="S1924" s="10">
        <f>IF(OR(L1924="",J1924=""),"",L1924*J1924)</f>
        <v/>
      </c>
      <c r="T1924" s="10">
        <f>IF(P1924="","",StartBank+SUM(P$2:P1924))</f>
        <v/>
      </c>
    </row>
    <row r="1925">
      <c r="A1925" s="22" t="n"/>
      <c r="G1925" s="21" t="n"/>
      <c r="H1925" s="11" t="n"/>
      <c r="I1925" s="21">
        <f>IF(OR(H1925="",H1925=0),"",1/H1925)</f>
        <v/>
      </c>
      <c r="J1925" s="11">
        <f>IF(OR(G1925="",H1925=""),"",H1925*G1925-1)</f>
        <v/>
      </c>
      <c r="K1925" s="10">
        <f>IF(OR(G1925="",H1925="",G1925&lt;=1),"",IF(J1925&lt;IF(D1925="Builder",MinEdgeBuilder,IF(D1925="Player",MinEdgePlayer,MinEdgeSingle)),0,ROUND(MIN(IF(D1925="Single",KellySingle,KellyBuilder)*(StartBank+SUM(P$1:P1924))*J1925/(G1925-1),IF(D1925="Builder",CapBuilder,CapSingle)*Unit),2)))</f>
        <v/>
      </c>
      <c r="L1925" s="10" t="n"/>
      <c r="N1925" s="10" t="n"/>
      <c r="O1925" s="10">
        <f>IF(L1925="","",IF(M1925="Won",L1925*G1925,IF(M1925="Void",L1925,IF(M1925="Cash out",N(N1925),IF(M1925="Lost",0,"")))))</f>
        <v/>
      </c>
      <c r="P1925" s="10">
        <f>IF(OR(L1925="",M1925="",M1925="Pending"),"",O1925-L1925)</f>
        <v/>
      </c>
      <c r="Q1925" s="21" t="n"/>
      <c r="R1925" s="11">
        <f>IF(OR(G1925="",Q1925=""),"",G1925/Q1925-1)</f>
        <v/>
      </c>
      <c r="S1925" s="10">
        <f>IF(OR(L1925="",J1925=""),"",L1925*J1925)</f>
        <v/>
      </c>
      <c r="T1925" s="10">
        <f>IF(P1925="","",StartBank+SUM(P$2:P1925))</f>
        <v/>
      </c>
    </row>
    <row r="1926">
      <c r="A1926" s="22" t="n"/>
      <c r="G1926" s="21" t="n"/>
      <c r="H1926" s="11" t="n"/>
      <c r="I1926" s="21">
        <f>IF(OR(H1926="",H1926=0),"",1/H1926)</f>
        <v/>
      </c>
      <c r="J1926" s="11">
        <f>IF(OR(G1926="",H1926=""),"",H1926*G1926-1)</f>
        <v/>
      </c>
      <c r="K1926" s="10">
        <f>IF(OR(G1926="",H1926="",G1926&lt;=1),"",IF(J1926&lt;IF(D1926="Builder",MinEdgeBuilder,IF(D1926="Player",MinEdgePlayer,MinEdgeSingle)),0,ROUND(MIN(IF(D1926="Single",KellySingle,KellyBuilder)*(StartBank+SUM(P$1:P1925))*J1926/(G1926-1),IF(D1926="Builder",CapBuilder,CapSingle)*Unit),2)))</f>
        <v/>
      </c>
      <c r="L1926" s="10" t="n"/>
      <c r="N1926" s="10" t="n"/>
      <c r="O1926" s="10">
        <f>IF(L1926="","",IF(M1926="Won",L1926*G1926,IF(M1926="Void",L1926,IF(M1926="Cash out",N(N1926),IF(M1926="Lost",0,"")))))</f>
        <v/>
      </c>
      <c r="P1926" s="10">
        <f>IF(OR(L1926="",M1926="",M1926="Pending"),"",O1926-L1926)</f>
        <v/>
      </c>
      <c r="Q1926" s="21" t="n"/>
      <c r="R1926" s="11">
        <f>IF(OR(G1926="",Q1926=""),"",G1926/Q1926-1)</f>
        <v/>
      </c>
      <c r="S1926" s="10">
        <f>IF(OR(L1926="",J1926=""),"",L1926*J1926)</f>
        <v/>
      </c>
      <c r="T1926" s="10">
        <f>IF(P1926="","",StartBank+SUM(P$2:P1926))</f>
        <v/>
      </c>
    </row>
    <row r="1927">
      <c r="A1927" s="22" t="n"/>
      <c r="G1927" s="21" t="n"/>
      <c r="H1927" s="11" t="n"/>
      <c r="I1927" s="21">
        <f>IF(OR(H1927="",H1927=0),"",1/H1927)</f>
        <v/>
      </c>
      <c r="J1927" s="11">
        <f>IF(OR(G1927="",H1927=""),"",H1927*G1927-1)</f>
        <v/>
      </c>
      <c r="K1927" s="10">
        <f>IF(OR(G1927="",H1927="",G1927&lt;=1),"",IF(J1927&lt;IF(D1927="Builder",MinEdgeBuilder,IF(D1927="Player",MinEdgePlayer,MinEdgeSingle)),0,ROUND(MIN(IF(D1927="Single",KellySingle,KellyBuilder)*(StartBank+SUM(P$1:P1926))*J1927/(G1927-1),IF(D1927="Builder",CapBuilder,CapSingle)*Unit),2)))</f>
        <v/>
      </c>
      <c r="L1927" s="10" t="n"/>
      <c r="N1927" s="10" t="n"/>
      <c r="O1927" s="10">
        <f>IF(L1927="","",IF(M1927="Won",L1927*G1927,IF(M1927="Void",L1927,IF(M1927="Cash out",N(N1927),IF(M1927="Lost",0,"")))))</f>
        <v/>
      </c>
      <c r="P1927" s="10">
        <f>IF(OR(L1927="",M1927="",M1927="Pending"),"",O1927-L1927)</f>
        <v/>
      </c>
      <c r="Q1927" s="21" t="n"/>
      <c r="R1927" s="11">
        <f>IF(OR(G1927="",Q1927=""),"",G1927/Q1927-1)</f>
        <v/>
      </c>
      <c r="S1927" s="10">
        <f>IF(OR(L1927="",J1927=""),"",L1927*J1927)</f>
        <v/>
      </c>
      <c r="T1927" s="10">
        <f>IF(P1927="","",StartBank+SUM(P$2:P1927))</f>
        <v/>
      </c>
    </row>
    <row r="1928">
      <c r="A1928" s="22" t="n"/>
      <c r="G1928" s="21" t="n"/>
      <c r="H1928" s="11" t="n"/>
      <c r="I1928" s="21">
        <f>IF(OR(H1928="",H1928=0),"",1/H1928)</f>
        <v/>
      </c>
      <c r="J1928" s="11">
        <f>IF(OR(G1928="",H1928=""),"",H1928*G1928-1)</f>
        <v/>
      </c>
      <c r="K1928" s="10">
        <f>IF(OR(G1928="",H1928="",G1928&lt;=1),"",IF(J1928&lt;IF(D1928="Builder",MinEdgeBuilder,IF(D1928="Player",MinEdgePlayer,MinEdgeSingle)),0,ROUND(MIN(IF(D1928="Single",KellySingle,KellyBuilder)*(StartBank+SUM(P$1:P1927))*J1928/(G1928-1),IF(D1928="Builder",CapBuilder,CapSingle)*Unit),2)))</f>
        <v/>
      </c>
      <c r="L1928" s="10" t="n"/>
      <c r="N1928" s="10" t="n"/>
      <c r="O1928" s="10">
        <f>IF(L1928="","",IF(M1928="Won",L1928*G1928,IF(M1928="Void",L1928,IF(M1928="Cash out",N(N1928),IF(M1928="Lost",0,"")))))</f>
        <v/>
      </c>
      <c r="P1928" s="10">
        <f>IF(OR(L1928="",M1928="",M1928="Pending"),"",O1928-L1928)</f>
        <v/>
      </c>
      <c r="Q1928" s="21" t="n"/>
      <c r="R1928" s="11">
        <f>IF(OR(G1928="",Q1928=""),"",G1928/Q1928-1)</f>
        <v/>
      </c>
      <c r="S1928" s="10">
        <f>IF(OR(L1928="",J1928=""),"",L1928*J1928)</f>
        <v/>
      </c>
      <c r="T1928" s="10">
        <f>IF(P1928="","",StartBank+SUM(P$2:P1928))</f>
        <v/>
      </c>
    </row>
    <row r="1929">
      <c r="A1929" s="22" t="n"/>
      <c r="G1929" s="21" t="n"/>
      <c r="H1929" s="11" t="n"/>
      <c r="I1929" s="21">
        <f>IF(OR(H1929="",H1929=0),"",1/H1929)</f>
        <v/>
      </c>
      <c r="J1929" s="11">
        <f>IF(OR(G1929="",H1929=""),"",H1929*G1929-1)</f>
        <v/>
      </c>
      <c r="K1929" s="10">
        <f>IF(OR(G1929="",H1929="",G1929&lt;=1),"",IF(J1929&lt;IF(D1929="Builder",MinEdgeBuilder,IF(D1929="Player",MinEdgePlayer,MinEdgeSingle)),0,ROUND(MIN(IF(D1929="Single",KellySingle,KellyBuilder)*(StartBank+SUM(P$1:P1928))*J1929/(G1929-1),IF(D1929="Builder",CapBuilder,CapSingle)*Unit),2)))</f>
        <v/>
      </c>
      <c r="L1929" s="10" t="n"/>
      <c r="N1929" s="10" t="n"/>
      <c r="O1929" s="10">
        <f>IF(L1929="","",IF(M1929="Won",L1929*G1929,IF(M1929="Void",L1929,IF(M1929="Cash out",N(N1929),IF(M1929="Lost",0,"")))))</f>
        <v/>
      </c>
      <c r="P1929" s="10">
        <f>IF(OR(L1929="",M1929="",M1929="Pending"),"",O1929-L1929)</f>
        <v/>
      </c>
      <c r="Q1929" s="21" t="n"/>
      <c r="R1929" s="11">
        <f>IF(OR(G1929="",Q1929=""),"",G1929/Q1929-1)</f>
        <v/>
      </c>
      <c r="S1929" s="10">
        <f>IF(OR(L1929="",J1929=""),"",L1929*J1929)</f>
        <v/>
      </c>
      <c r="T1929" s="10">
        <f>IF(P1929="","",StartBank+SUM(P$2:P1929))</f>
        <v/>
      </c>
    </row>
    <row r="1930">
      <c r="A1930" s="22" t="n"/>
      <c r="G1930" s="21" t="n"/>
      <c r="H1930" s="11" t="n"/>
      <c r="I1930" s="21">
        <f>IF(OR(H1930="",H1930=0),"",1/H1930)</f>
        <v/>
      </c>
      <c r="J1930" s="11">
        <f>IF(OR(G1930="",H1930=""),"",H1930*G1930-1)</f>
        <v/>
      </c>
      <c r="K1930" s="10">
        <f>IF(OR(G1930="",H1930="",G1930&lt;=1),"",IF(J1930&lt;IF(D1930="Builder",MinEdgeBuilder,IF(D1930="Player",MinEdgePlayer,MinEdgeSingle)),0,ROUND(MIN(IF(D1930="Single",KellySingle,KellyBuilder)*(StartBank+SUM(P$1:P1929))*J1930/(G1930-1),IF(D1930="Builder",CapBuilder,CapSingle)*Unit),2)))</f>
        <v/>
      </c>
      <c r="L1930" s="10" t="n"/>
      <c r="N1930" s="10" t="n"/>
      <c r="O1930" s="10">
        <f>IF(L1930="","",IF(M1930="Won",L1930*G1930,IF(M1930="Void",L1930,IF(M1930="Cash out",N(N1930),IF(M1930="Lost",0,"")))))</f>
        <v/>
      </c>
      <c r="P1930" s="10">
        <f>IF(OR(L1930="",M1930="",M1930="Pending"),"",O1930-L1930)</f>
        <v/>
      </c>
      <c r="Q1930" s="21" t="n"/>
      <c r="R1930" s="11">
        <f>IF(OR(G1930="",Q1930=""),"",G1930/Q1930-1)</f>
        <v/>
      </c>
      <c r="S1930" s="10">
        <f>IF(OR(L1930="",J1930=""),"",L1930*J1930)</f>
        <v/>
      </c>
      <c r="T1930" s="10">
        <f>IF(P1930="","",StartBank+SUM(P$2:P1930))</f>
        <v/>
      </c>
    </row>
    <row r="1931">
      <c r="A1931" s="22" t="n"/>
      <c r="G1931" s="21" t="n"/>
      <c r="H1931" s="11" t="n"/>
      <c r="I1931" s="21">
        <f>IF(OR(H1931="",H1931=0),"",1/H1931)</f>
        <v/>
      </c>
      <c r="J1931" s="11">
        <f>IF(OR(G1931="",H1931=""),"",H1931*G1931-1)</f>
        <v/>
      </c>
      <c r="K1931" s="10">
        <f>IF(OR(G1931="",H1931="",G1931&lt;=1),"",IF(J1931&lt;IF(D1931="Builder",MinEdgeBuilder,IF(D1931="Player",MinEdgePlayer,MinEdgeSingle)),0,ROUND(MIN(IF(D1931="Single",KellySingle,KellyBuilder)*(StartBank+SUM(P$1:P1930))*J1931/(G1931-1),IF(D1931="Builder",CapBuilder,CapSingle)*Unit),2)))</f>
        <v/>
      </c>
      <c r="L1931" s="10" t="n"/>
      <c r="N1931" s="10" t="n"/>
      <c r="O1931" s="10">
        <f>IF(L1931="","",IF(M1931="Won",L1931*G1931,IF(M1931="Void",L1931,IF(M1931="Cash out",N(N1931),IF(M1931="Lost",0,"")))))</f>
        <v/>
      </c>
      <c r="P1931" s="10">
        <f>IF(OR(L1931="",M1931="",M1931="Pending"),"",O1931-L1931)</f>
        <v/>
      </c>
      <c r="Q1931" s="21" t="n"/>
      <c r="R1931" s="11">
        <f>IF(OR(G1931="",Q1931=""),"",G1931/Q1931-1)</f>
        <v/>
      </c>
      <c r="S1931" s="10">
        <f>IF(OR(L1931="",J1931=""),"",L1931*J1931)</f>
        <v/>
      </c>
      <c r="T1931" s="10">
        <f>IF(P1931="","",StartBank+SUM(P$2:P1931))</f>
        <v/>
      </c>
    </row>
    <row r="1932">
      <c r="A1932" s="22" t="n"/>
      <c r="G1932" s="21" t="n"/>
      <c r="H1932" s="11" t="n"/>
      <c r="I1932" s="21">
        <f>IF(OR(H1932="",H1932=0),"",1/H1932)</f>
        <v/>
      </c>
      <c r="J1932" s="11">
        <f>IF(OR(G1932="",H1932=""),"",H1932*G1932-1)</f>
        <v/>
      </c>
      <c r="K1932" s="10">
        <f>IF(OR(G1932="",H1932="",G1932&lt;=1),"",IF(J1932&lt;IF(D1932="Builder",MinEdgeBuilder,IF(D1932="Player",MinEdgePlayer,MinEdgeSingle)),0,ROUND(MIN(IF(D1932="Single",KellySingle,KellyBuilder)*(StartBank+SUM(P$1:P1931))*J1932/(G1932-1),IF(D1932="Builder",CapBuilder,CapSingle)*Unit),2)))</f>
        <v/>
      </c>
      <c r="L1932" s="10" t="n"/>
      <c r="N1932" s="10" t="n"/>
      <c r="O1932" s="10">
        <f>IF(L1932="","",IF(M1932="Won",L1932*G1932,IF(M1932="Void",L1932,IF(M1932="Cash out",N(N1932),IF(M1932="Lost",0,"")))))</f>
        <v/>
      </c>
      <c r="P1932" s="10">
        <f>IF(OR(L1932="",M1932="",M1932="Pending"),"",O1932-L1932)</f>
        <v/>
      </c>
      <c r="Q1932" s="21" t="n"/>
      <c r="R1932" s="11">
        <f>IF(OR(G1932="",Q1932=""),"",G1932/Q1932-1)</f>
        <v/>
      </c>
      <c r="S1932" s="10">
        <f>IF(OR(L1932="",J1932=""),"",L1932*J1932)</f>
        <v/>
      </c>
      <c r="T1932" s="10">
        <f>IF(P1932="","",StartBank+SUM(P$2:P1932))</f>
        <v/>
      </c>
    </row>
    <row r="1933">
      <c r="A1933" s="22" t="n"/>
      <c r="G1933" s="21" t="n"/>
      <c r="H1933" s="11" t="n"/>
      <c r="I1933" s="21">
        <f>IF(OR(H1933="",H1933=0),"",1/H1933)</f>
        <v/>
      </c>
      <c r="J1933" s="11">
        <f>IF(OR(G1933="",H1933=""),"",H1933*G1933-1)</f>
        <v/>
      </c>
      <c r="K1933" s="10">
        <f>IF(OR(G1933="",H1933="",G1933&lt;=1),"",IF(J1933&lt;IF(D1933="Builder",MinEdgeBuilder,IF(D1933="Player",MinEdgePlayer,MinEdgeSingle)),0,ROUND(MIN(IF(D1933="Single",KellySingle,KellyBuilder)*(StartBank+SUM(P$1:P1932))*J1933/(G1933-1),IF(D1933="Builder",CapBuilder,CapSingle)*Unit),2)))</f>
        <v/>
      </c>
      <c r="L1933" s="10" t="n"/>
      <c r="N1933" s="10" t="n"/>
      <c r="O1933" s="10">
        <f>IF(L1933="","",IF(M1933="Won",L1933*G1933,IF(M1933="Void",L1933,IF(M1933="Cash out",N(N1933),IF(M1933="Lost",0,"")))))</f>
        <v/>
      </c>
      <c r="P1933" s="10">
        <f>IF(OR(L1933="",M1933="",M1933="Pending"),"",O1933-L1933)</f>
        <v/>
      </c>
      <c r="Q1933" s="21" t="n"/>
      <c r="R1933" s="11">
        <f>IF(OR(G1933="",Q1933=""),"",G1933/Q1933-1)</f>
        <v/>
      </c>
      <c r="S1933" s="10">
        <f>IF(OR(L1933="",J1933=""),"",L1933*J1933)</f>
        <v/>
      </c>
      <c r="T1933" s="10">
        <f>IF(P1933="","",StartBank+SUM(P$2:P1933))</f>
        <v/>
      </c>
    </row>
    <row r="1934">
      <c r="A1934" s="22" t="n"/>
      <c r="G1934" s="21" t="n"/>
      <c r="H1934" s="11" t="n"/>
      <c r="I1934" s="21">
        <f>IF(OR(H1934="",H1934=0),"",1/H1934)</f>
        <v/>
      </c>
      <c r="J1934" s="11">
        <f>IF(OR(G1934="",H1934=""),"",H1934*G1934-1)</f>
        <v/>
      </c>
      <c r="K1934" s="10">
        <f>IF(OR(G1934="",H1934="",G1934&lt;=1),"",IF(J1934&lt;IF(D1934="Builder",MinEdgeBuilder,IF(D1934="Player",MinEdgePlayer,MinEdgeSingle)),0,ROUND(MIN(IF(D1934="Single",KellySingle,KellyBuilder)*(StartBank+SUM(P$1:P1933))*J1934/(G1934-1),IF(D1934="Builder",CapBuilder,CapSingle)*Unit),2)))</f>
        <v/>
      </c>
      <c r="L1934" s="10" t="n"/>
      <c r="N1934" s="10" t="n"/>
      <c r="O1934" s="10">
        <f>IF(L1934="","",IF(M1934="Won",L1934*G1934,IF(M1934="Void",L1934,IF(M1934="Cash out",N(N1934),IF(M1934="Lost",0,"")))))</f>
        <v/>
      </c>
      <c r="P1934" s="10">
        <f>IF(OR(L1934="",M1934="",M1934="Pending"),"",O1934-L1934)</f>
        <v/>
      </c>
      <c r="Q1934" s="21" t="n"/>
      <c r="R1934" s="11">
        <f>IF(OR(G1934="",Q1934=""),"",G1934/Q1934-1)</f>
        <v/>
      </c>
      <c r="S1934" s="10">
        <f>IF(OR(L1934="",J1934=""),"",L1934*J1934)</f>
        <v/>
      </c>
      <c r="T1934" s="10">
        <f>IF(P1934="","",StartBank+SUM(P$2:P1934))</f>
        <v/>
      </c>
    </row>
    <row r="1935">
      <c r="A1935" s="22" t="n"/>
      <c r="G1935" s="21" t="n"/>
      <c r="H1935" s="11" t="n"/>
      <c r="I1935" s="21">
        <f>IF(OR(H1935="",H1935=0),"",1/H1935)</f>
        <v/>
      </c>
      <c r="J1935" s="11">
        <f>IF(OR(G1935="",H1935=""),"",H1935*G1935-1)</f>
        <v/>
      </c>
      <c r="K1935" s="10">
        <f>IF(OR(G1935="",H1935="",G1935&lt;=1),"",IF(J1935&lt;IF(D1935="Builder",MinEdgeBuilder,IF(D1935="Player",MinEdgePlayer,MinEdgeSingle)),0,ROUND(MIN(IF(D1935="Single",KellySingle,KellyBuilder)*(StartBank+SUM(P$1:P1934))*J1935/(G1935-1),IF(D1935="Builder",CapBuilder,CapSingle)*Unit),2)))</f>
        <v/>
      </c>
      <c r="L1935" s="10" t="n"/>
      <c r="N1935" s="10" t="n"/>
      <c r="O1935" s="10">
        <f>IF(L1935="","",IF(M1935="Won",L1935*G1935,IF(M1935="Void",L1935,IF(M1935="Cash out",N(N1935),IF(M1935="Lost",0,"")))))</f>
        <v/>
      </c>
      <c r="P1935" s="10">
        <f>IF(OR(L1935="",M1935="",M1935="Pending"),"",O1935-L1935)</f>
        <v/>
      </c>
      <c r="Q1935" s="21" t="n"/>
      <c r="R1935" s="11">
        <f>IF(OR(G1935="",Q1935=""),"",G1935/Q1935-1)</f>
        <v/>
      </c>
      <c r="S1935" s="10">
        <f>IF(OR(L1935="",J1935=""),"",L1935*J1935)</f>
        <v/>
      </c>
      <c r="T1935" s="10">
        <f>IF(P1935="","",StartBank+SUM(P$2:P1935))</f>
        <v/>
      </c>
    </row>
    <row r="1936">
      <c r="A1936" s="22" t="n"/>
      <c r="G1936" s="21" t="n"/>
      <c r="H1936" s="11" t="n"/>
      <c r="I1936" s="21">
        <f>IF(OR(H1936="",H1936=0),"",1/H1936)</f>
        <v/>
      </c>
      <c r="J1936" s="11">
        <f>IF(OR(G1936="",H1936=""),"",H1936*G1936-1)</f>
        <v/>
      </c>
      <c r="K1936" s="10">
        <f>IF(OR(G1936="",H1936="",G1936&lt;=1),"",IF(J1936&lt;IF(D1936="Builder",MinEdgeBuilder,IF(D1936="Player",MinEdgePlayer,MinEdgeSingle)),0,ROUND(MIN(IF(D1936="Single",KellySingle,KellyBuilder)*(StartBank+SUM(P$1:P1935))*J1936/(G1936-1),IF(D1936="Builder",CapBuilder,CapSingle)*Unit),2)))</f>
        <v/>
      </c>
      <c r="L1936" s="10" t="n"/>
      <c r="N1936" s="10" t="n"/>
      <c r="O1936" s="10">
        <f>IF(L1936="","",IF(M1936="Won",L1936*G1936,IF(M1936="Void",L1936,IF(M1936="Cash out",N(N1936),IF(M1936="Lost",0,"")))))</f>
        <v/>
      </c>
      <c r="P1936" s="10">
        <f>IF(OR(L1936="",M1936="",M1936="Pending"),"",O1936-L1936)</f>
        <v/>
      </c>
      <c r="Q1936" s="21" t="n"/>
      <c r="R1936" s="11">
        <f>IF(OR(G1936="",Q1936=""),"",G1936/Q1936-1)</f>
        <v/>
      </c>
      <c r="S1936" s="10">
        <f>IF(OR(L1936="",J1936=""),"",L1936*J1936)</f>
        <v/>
      </c>
      <c r="T1936" s="10">
        <f>IF(P1936="","",StartBank+SUM(P$2:P1936))</f>
        <v/>
      </c>
    </row>
    <row r="1937">
      <c r="A1937" s="22" t="n"/>
      <c r="G1937" s="21" t="n"/>
      <c r="H1937" s="11" t="n"/>
      <c r="I1937" s="21">
        <f>IF(OR(H1937="",H1937=0),"",1/H1937)</f>
        <v/>
      </c>
      <c r="J1937" s="11">
        <f>IF(OR(G1937="",H1937=""),"",H1937*G1937-1)</f>
        <v/>
      </c>
      <c r="K1937" s="10">
        <f>IF(OR(G1937="",H1937="",G1937&lt;=1),"",IF(J1937&lt;IF(D1937="Builder",MinEdgeBuilder,IF(D1937="Player",MinEdgePlayer,MinEdgeSingle)),0,ROUND(MIN(IF(D1937="Single",KellySingle,KellyBuilder)*(StartBank+SUM(P$1:P1936))*J1937/(G1937-1),IF(D1937="Builder",CapBuilder,CapSingle)*Unit),2)))</f>
        <v/>
      </c>
      <c r="L1937" s="10" t="n"/>
      <c r="N1937" s="10" t="n"/>
      <c r="O1937" s="10">
        <f>IF(L1937="","",IF(M1937="Won",L1937*G1937,IF(M1937="Void",L1937,IF(M1937="Cash out",N(N1937),IF(M1937="Lost",0,"")))))</f>
        <v/>
      </c>
      <c r="P1937" s="10">
        <f>IF(OR(L1937="",M1937="",M1937="Pending"),"",O1937-L1937)</f>
        <v/>
      </c>
      <c r="Q1937" s="21" t="n"/>
      <c r="R1937" s="11">
        <f>IF(OR(G1937="",Q1937=""),"",G1937/Q1937-1)</f>
        <v/>
      </c>
      <c r="S1937" s="10">
        <f>IF(OR(L1937="",J1937=""),"",L1937*J1937)</f>
        <v/>
      </c>
      <c r="T1937" s="10">
        <f>IF(P1937="","",StartBank+SUM(P$2:P1937))</f>
        <v/>
      </c>
    </row>
    <row r="1938">
      <c r="A1938" s="22" t="n"/>
      <c r="G1938" s="21" t="n"/>
      <c r="H1938" s="11" t="n"/>
      <c r="I1938" s="21">
        <f>IF(OR(H1938="",H1938=0),"",1/H1938)</f>
        <v/>
      </c>
      <c r="J1938" s="11">
        <f>IF(OR(G1938="",H1938=""),"",H1938*G1938-1)</f>
        <v/>
      </c>
      <c r="K1938" s="10">
        <f>IF(OR(G1938="",H1938="",G1938&lt;=1),"",IF(J1938&lt;IF(D1938="Builder",MinEdgeBuilder,IF(D1938="Player",MinEdgePlayer,MinEdgeSingle)),0,ROUND(MIN(IF(D1938="Single",KellySingle,KellyBuilder)*(StartBank+SUM(P$1:P1937))*J1938/(G1938-1),IF(D1938="Builder",CapBuilder,CapSingle)*Unit),2)))</f>
        <v/>
      </c>
      <c r="L1938" s="10" t="n"/>
      <c r="N1938" s="10" t="n"/>
      <c r="O1938" s="10">
        <f>IF(L1938="","",IF(M1938="Won",L1938*G1938,IF(M1938="Void",L1938,IF(M1938="Cash out",N(N1938),IF(M1938="Lost",0,"")))))</f>
        <v/>
      </c>
      <c r="P1938" s="10">
        <f>IF(OR(L1938="",M1938="",M1938="Pending"),"",O1938-L1938)</f>
        <v/>
      </c>
      <c r="Q1938" s="21" t="n"/>
      <c r="R1938" s="11">
        <f>IF(OR(G1938="",Q1938=""),"",G1938/Q1938-1)</f>
        <v/>
      </c>
      <c r="S1938" s="10">
        <f>IF(OR(L1938="",J1938=""),"",L1938*J1938)</f>
        <v/>
      </c>
      <c r="T1938" s="10">
        <f>IF(P1938="","",StartBank+SUM(P$2:P1938))</f>
        <v/>
      </c>
    </row>
    <row r="1939">
      <c r="A1939" s="22" t="n"/>
      <c r="G1939" s="21" t="n"/>
      <c r="H1939" s="11" t="n"/>
      <c r="I1939" s="21">
        <f>IF(OR(H1939="",H1939=0),"",1/H1939)</f>
        <v/>
      </c>
      <c r="J1939" s="11">
        <f>IF(OR(G1939="",H1939=""),"",H1939*G1939-1)</f>
        <v/>
      </c>
      <c r="K1939" s="10">
        <f>IF(OR(G1939="",H1939="",G1939&lt;=1),"",IF(J1939&lt;IF(D1939="Builder",MinEdgeBuilder,IF(D1939="Player",MinEdgePlayer,MinEdgeSingle)),0,ROUND(MIN(IF(D1939="Single",KellySingle,KellyBuilder)*(StartBank+SUM(P$1:P1938))*J1939/(G1939-1),IF(D1939="Builder",CapBuilder,CapSingle)*Unit),2)))</f>
        <v/>
      </c>
      <c r="L1939" s="10" t="n"/>
      <c r="N1939" s="10" t="n"/>
      <c r="O1939" s="10">
        <f>IF(L1939="","",IF(M1939="Won",L1939*G1939,IF(M1939="Void",L1939,IF(M1939="Cash out",N(N1939),IF(M1939="Lost",0,"")))))</f>
        <v/>
      </c>
      <c r="P1939" s="10">
        <f>IF(OR(L1939="",M1939="",M1939="Pending"),"",O1939-L1939)</f>
        <v/>
      </c>
      <c r="Q1939" s="21" t="n"/>
      <c r="R1939" s="11">
        <f>IF(OR(G1939="",Q1939=""),"",G1939/Q1939-1)</f>
        <v/>
      </c>
      <c r="S1939" s="10">
        <f>IF(OR(L1939="",J1939=""),"",L1939*J1939)</f>
        <v/>
      </c>
      <c r="T1939" s="10">
        <f>IF(P1939="","",StartBank+SUM(P$2:P1939))</f>
        <v/>
      </c>
    </row>
    <row r="1940">
      <c r="A1940" s="22" t="n"/>
      <c r="G1940" s="21" t="n"/>
      <c r="H1940" s="11" t="n"/>
      <c r="I1940" s="21">
        <f>IF(OR(H1940="",H1940=0),"",1/H1940)</f>
        <v/>
      </c>
      <c r="J1940" s="11">
        <f>IF(OR(G1940="",H1940=""),"",H1940*G1940-1)</f>
        <v/>
      </c>
      <c r="K1940" s="10">
        <f>IF(OR(G1940="",H1940="",G1940&lt;=1),"",IF(J1940&lt;IF(D1940="Builder",MinEdgeBuilder,IF(D1940="Player",MinEdgePlayer,MinEdgeSingle)),0,ROUND(MIN(IF(D1940="Single",KellySingle,KellyBuilder)*(StartBank+SUM(P$1:P1939))*J1940/(G1940-1),IF(D1940="Builder",CapBuilder,CapSingle)*Unit),2)))</f>
        <v/>
      </c>
      <c r="L1940" s="10" t="n"/>
      <c r="N1940" s="10" t="n"/>
      <c r="O1940" s="10">
        <f>IF(L1940="","",IF(M1940="Won",L1940*G1940,IF(M1940="Void",L1940,IF(M1940="Cash out",N(N1940),IF(M1940="Lost",0,"")))))</f>
        <v/>
      </c>
      <c r="P1940" s="10">
        <f>IF(OR(L1940="",M1940="",M1940="Pending"),"",O1940-L1940)</f>
        <v/>
      </c>
      <c r="Q1940" s="21" t="n"/>
      <c r="R1940" s="11">
        <f>IF(OR(G1940="",Q1940=""),"",G1940/Q1940-1)</f>
        <v/>
      </c>
      <c r="S1940" s="10">
        <f>IF(OR(L1940="",J1940=""),"",L1940*J1940)</f>
        <v/>
      </c>
      <c r="T1940" s="10">
        <f>IF(P1940="","",StartBank+SUM(P$2:P1940))</f>
        <v/>
      </c>
    </row>
    <row r="1941">
      <c r="A1941" s="22" t="n"/>
      <c r="G1941" s="21" t="n"/>
      <c r="H1941" s="11" t="n"/>
      <c r="I1941" s="21">
        <f>IF(OR(H1941="",H1941=0),"",1/H1941)</f>
        <v/>
      </c>
      <c r="J1941" s="11">
        <f>IF(OR(G1941="",H1941=""),"",H1941*G1941-1)</f>
        <v/>
      </c>
      <c r="K1941" s="10">
        <f>IF(OR(G1941="",H1941="",G1941&lt;=1),"",IF(J1941&lt;IF(D1941="Builder",MinEdgeBuilder,IF(D1941="Player",MinEdgePlayer,MinEdgeSingle)),0,ROUND(MIN(IF(D1941="Single",KellySingle,KellyBuilder)*(StartBank+SUM(P$1:P1940))*J1941/(G1941-1),IF(D1941="Builder",CapBuilder,CapSingle)*Unit),2)))</f>
        <v/>
      </c>
      <c r="L1941" s="10" t="n"/>
      <c r="N1941" s="10" t="n"/>
      <c r="O1941" s="10">
        <f>IF(L1941="","",IF(M1941="Won",L1941*G1941,IF(M1941="Void",L1941,IF(M1941="Cash out",N(N1941),IF(M1941="Lost",0,"")))))</f>
        <v/>
      </c>
      <c r="P1941" s="10">
        <f>IF(OR(L1941="",M1941="",M1941="Pending"),"",O1941-L1941)</f>
        <v/>
      </c>
      <c r="Q1941" s="21" t="n"/>
      <c r="R1941" s="11">
        <f>IF(OR(G1941="",Q1941=""),"",G1941/Q1941-1)</f>
        <v/>
      </c>
      <c r="S1941" s="10">
        <f>IF(OR(L1941="",J1941=""),"",L1941*J1941)</f>
        <v/>
      </c>
      <c r="T1941" s="10">
        <f>IF(P1941="","",StartBank+SUM(P$2:P1941))</f>
        <v/>
      </c>
    </row>
    <row r="1942">
      <c r="A1942" s="22" t="n"/>
      <c r="G1942" s="21" t="n"/>
      <c r="H1942" s="11" t="n"/>
      <c r="I1942" s="21">
        <f>IF(OR(H1942="",H1942=0),"",1/H1942)</f>
        <v/>
      </c>
      <c r="J1942" s="11">
        <f>IF(OR(G1942="",H1942=""),"",H1942*G1942-1)</f>
        <v/>
      </c>
      <c r="K1942" s="10">
        <f>IF(OR(G1942="",H1942="",G1942&lt;=1),"",IF(J1942&lt;IF(D1942="Builder",MinEdgeBuilder,IF(D1942="Player",MinEdgePlayer,MinEdgeSingle)),0,ROUND(MIN(IF(D1942="Single",KellySingle,KellyBuilder)*(StartBank+SUM(P$1:P1941))*J1942/(G1942-1),IF(D1942="Builder",CapBuilder,CapSingle)*Unit),2)))</f>
        <v/>
      </c>
      <c r="L1942" s="10" t="n"/>
      <c r="N1942" s="10" t="n"/>
      <c r="O1942" s="10">
        <f>IF(L1942="","",IF(M1942="Won",L1942*G1942,IF(M1942="Void",L1942,IF(M1942="Cash out",N(N1942),IF(M1942="Lost",0,"")))))</f>
        <v/>
      </c>
      <c r="P1942" s="10">
        <f>IF(OR(L1942="",M1942="",M1942="Pending"),"",O1942-L1942)</f>
        <v/>
      </c>
      <c r="Q1942" s="21" t="n"/>
      <c r="R1942" s="11">
        <f>IF(OR(G1942="",Q1942=""),"",G1942/Q1942-1)</f>
        <v/>
      </c>
      <c r="S1942" s="10">
        <f>IF(OR(L1942="",J1942=""),"",L1942*J1942)</f>
        <v/>
      </c>
      <c r="T1942" s="10">
        <f>IF(P1942="","",StartBank+SUM(P$2:P1942))</f>
        <v/>
      </c>
    </row>
    <row r="1943">
      <c r="A1943" s="22" t="n"/>
      <c r="G1943" s="21" t="n"/>
      <c r="H1943" s="11" t="n"/>
      <c r="I1943" s="21">
        <f>IF(OR(H1943="",H1943=0),"",1/H1943)</f>
        <v/>
      </c>
      <c r="J1943" s="11">
        <f>IF(OR(G1943="",H1943=""),"",H1943*G1943-1)</f>
        <v/>
      </c>
      <c r="K1943" s="10">
        <f>IF(OR(G1943="",H1943="",G1943&lt;=1),"",IF(J1943&lt;IF(D1943="Builder",MinEdgeBuilder,IF(D1943="Player",MinEdgePlayer,MinEdgeSingle)),0,ROUND(MIN(IF(D1943="Single",KellySingle,KellyBuilder)*(StartBank+SUM(P$1:P1942))*J1943/(G1943-1),IF(D1943="Builder",CapBuilder,CapSingle)*Unit),2)))</f>
        <v/>
      </c>
      <c r="L1943" s="10" t="n"/>
      <c r="N1943" s="10" t="n"/>
      <c r="O1943" s="10">
        <f>IF(L1943="","",IF(M1943="Won",L1943*G1943,IF(M1943="Void",L1943,IF(M1943="Cash out",N(N1943),IF(M1943="Lost",0,"")))))</f>
        <v/>
      </c>
      <c r="P1943" s="10">
        <f>IF(OR(L1943="",M1943="",M1943="Pending"),"",O1943-L1943)</f>
        <v/>
      </c>
      <c r="Q1943" s="21" t="n"/>
      <c r="R1943" s="11">
        <f>IF(OR(G1943="",Q1943=""),"",G1943/Q1943-1)</f>
        <v/>
      </c>
      <c r="S1943" s="10">
        <f>IF(OR(L1943="",J1943=""),"",L1943*J1943)</f>
        <v/>
      </c>
      <c r="T1943" s="10">
        <f>IF(P1943="","",StartBank+SUM(P$2:P1943))</f>
        <v/>
      </c>
    </row>
    <row r="1944">
      <c r="A1944" s="22" t="n"/>
      <c r="G1944" s="21" t="n"/>
      <c r="H1944" s="11" t="n"/>
      <c r="I1944" s="21">
        <f>IF(OR(H1944="",H1944=0),"",1/H1944)</f>
        <v/>
      </c>
      <c r="J1944" s="11">
        <f>IF(OR(G1944="",H1944=""),"",H1944*G1944-1)</f>
        <v/>
      </c>
      <c r="K1944" s="10">
        <f>IF(OR(G1944="",H1944="",G1944&lt;=1),"",IF(J1944&lt;IF(D1944="Builder",MinEdgeBuilder,IF(D1944="Player",MinEdgePlayer,MinEdgeSingle)),0,ROUND(MIN(IF(D1944="Single",KellySingle,KellyBuilder)*(StartBank+SUM(P$1:P1943))*J1944/(G1944-1),IF(D1944="Builder",CapBuilder,CapSingle)*Unit),2)))</f>
        <v/>
      </c>
      <c r="L1944" s="10" t="n"/>
      <c r="N1944" s="10" t="n"/>
      <c r="O1944" s="10">
        <f>IF(L1944="","",IF(M1944="Won",L1944*G1944,IF(M1944="Void",L1944,IF(M1944="Cash out",N(N1944),IF(M1944="Lost",0,"")))))</f>
        <v/>
      </c>
      <c r="P1944" s="10">
        <f>IF(OR(L1944="",M1944="",M1944="Pending"),"",O1944-L1944)</f>
        <v/>
      </c>
      <c r="Q1944" s="21" t="n"/>
      <c r="R1944" s="11">
        <f>IF(OR(G1944="",Q1944=""),"",G1944/Q1944-1)</f>
        <v/>
      </c>
      <c r="S1944" s="10">
        <f>IF(OR(L1944="",J1944=""),"",L1944*J1944)</f>
        <v/>
      </c>
      <c r="T1944" s="10">
        <f>IF(P1944="","",StartBank+SUM(P$2:P1944))</f>
        <v/>
      </c>
    </row>
    <row r="1945">
      <c r="A1945" s="22" t="n"/>
      <c r="G1945" s="21" t="n"/>
      <c r="H1945" s="11" t="n"/>
      <c r="I1945" s="21">
        <f>IF(OR(H1945="",H1945=0),"",1/H1945)</f>
        <v/>
      </c>
      <c r="J1945" s="11">
        <f>IF(OR(G1945="",H1945=""),"",H1945*G1945-1)</f>
        <v/>
      </c>
      <c r="K1945" s="10">
        <f>IF(OR(G1945="",H1945="",G1945&lt;=1),"",IF(J1945&lt;IF(D1945="Builder",MinEdgeBuilder,IF(D1945="Player",MinEdgePlayer,MinEdgeSingle)),0,ROUND(MIN(IF(D1945="Single",KellySingle,KellyBuilder)*(StartBank+SUM(P$1:P1944))*J1945/(G1945-1),IF(D1945="Builder",CapBuilder,CapSingle)*Unit),2)))</f>
        <v/>
      </c>
      <c r="L1945" s="10" t="n"/>
      <c r="N1945" s="10" t="n"/>
      <c r="O1945" s="10">
        <f>IF(L1945="","",IF(M1945="Won",L1945*G1945,IF(M1945="Void",L1945,IF(M1945="Cash out",N(N1945),IF(M1945="Lost",0,"")))))</f>
        <v/>
      </c>
      <c r="P1945" s="10">
        <f>IF(OR(L1945="",M1945="",M1945="Pending"),"",O1945-L1945)</f>
        <v/>
      </c>
      <c r="Q1945" s="21" t="n"/>
      <c r="R1945" s="11">
        <f>IF(OR(G1945="",Q1945=""),"",G1945/Q1945-1)</f>
        <v/>
      </c>
      <c r="S1945" s="10">
        <f>IF(OR(L1945="",J1945=""),"",L1945*J1945)</f>
        <v/>
      </c>
      <c r="T1945" s="10">
        <f>IF(P1945="","",StartBank+SUM(P$2:P1945))</f>
        <v/>
      </c>
    </row>
    <row r="1946">
      <c r="A1946" s="22" t="n"/>
      <c r="G1946" s="21" t="n"/>
      <c r="H1946" s="11" t="n"/>
      <c r="I1946" s="21">
        <f>IF(OR(H1946="",H1946=0),"",1/H1946)</f>
        <v/>
      </c>
      <c r="J1946" s="11">
        <f>IF(OR(G1946="",H1946=""),"",H1946*G1946-1)</f>
        <v/>
      </c>
      <c r="K1946" s="10">
        <f>IF(OR(G1946="",H1946="",G1946&lt;=1),"",IF(J1946&lt;IF(D1946="Builder",MinEdgeBuilder,IF(D1946="Player",MinEdgePlayer,MinEdgeSingle)),0,ROUND(MIN(IF(D1946="Single",KellySingle,KellyBuilder)*(StartBank+SUM(P$1:P1945))*J1946/(G1946-1),IF(D1946="Builder",CapBuilder,CapSingle)*Unit),2)))</f>
        <v/>
      </c>
      <c r="L1946" s="10" t="n"/>
      <c r="N1946" s="10" t="n"/>
      <c r="O1946" s="10">
        <f>IF(L1946="","",IF(M1946="Won",L1946*G1946,IF(M1946="Void",L1946,IF(M1946="Cash out",N(N1946),IF(M1946="Lost",0,"")))))</f>
        <v/>
      </c>
      <c r="P1946" s="10">
        <f>IF(OR(L1946="",M1946="",M1946="Pending"),"",O1946-L1946)</f>
        <v/>
      </c>
      <c r="Q1946" s="21" t="n"/>
      <c r="R1946" s="11">
        <f>IF(OR(G1946="",Q1946=""),"",G1946/Q1946-1)</f>
        <v/>
      </c>
      <c r="S1946" s="10">
        <f>IF(OR(L1946="",J1946=""),"",L1946*J1946)</f>
        <v/>
      </c>
      <c r="T1946" s="10">
        <f>IF(P1946="","",StartBank+SUM(P$2:P1946))</f>
        <v/>
      </c>
    </row>
    <row r="1947">
      <c r="A1947" s="22" t="n"/>
      <c r="G1947" s="21" t="n"/>
      <c r="H1947" s="11" t="n"/>
      <c r="I1947" s="21">
        <f>IF(OR(H1947="",H1947=0),"",1/H1947)</f>
        <v/>
      </c>
      <c r="J1947" s="11">
        <f>IF(OR(G1947="",H1947=""),"",H1947*G1947-1)</f>
        <v/>
      </c>
      <c r="K1947" s="10">
        <f>IF(OR(G1947="",H1947="",G1947&lt;=1),"",IF(J1947&lt;IF(D1947="Builder",MinEdgeBuilder,IF(D1947="Player",MinEdgePlayer,MinEdgeSingle)),0,ROUND(MIN(IF(D1947="Single",KellySingle,KellyBuilder)*(StartBank+SUM(P$1:P1946))*J1947/(G1947-1),IF(D1947="Builder",CapBuilder,CapSingle)*Unit),2)))</f>
        <v/>
      </c>
      <c r="L1947" s="10" t="n"/>
      <c r="N1947" s="10" t="n"/>
      <c r="O1947" s="10">
        <f>IF(L1947="","",IF(M1947="Won",L1947*G1947,IF(M1947="Void",L1947,IF(M1947="Cash out",N(N1947),IF(M1947="Lost",0,"")))))</f>
        <v/>
      </c>
      <c r="P1947" s="10">
        <f>IF(OR(L1947="",M1947="",M1947="Pending"),"",O1947-L1947)</f>
        <v/>
      </c>
      <c r="Q1947" s="21" t="n"/>
      <c r="R1947" s="11">
        <f>IF(OR(G1947="",Q1947=""),"",G1947/Q1947-1)</f>
        <v/>
      </c>
      <c r="S1947" s="10">
        <f>IF(OR(L1947="",J1947=""),"",L1947*J1947)</f>
        <v/>
      </c>
      <c r="T1947" s="10">
        <f>IF(P1947="","",StartBank+SUM(P$2:P1947))</f>
        <v/>
      </c>
    </row>
    <row r="1948">
      <c r="A1948" s="22" t="n"/>
      <c r="G1948" s="21" t="n"/>
      <c r="H1948" s="11" t="n"/>
      <c r="I1948" s="21">
        <f>IF(OR(H1948="",H1948=0),"",1/H1948)</f>
        <v/>
      </c>
      <c r="J1948" s="11">
        <f>IF(OR(G1948="",H1948=""),"",H1948*G1948-1)</f>
        <v/>
      </c>
      <c r="K1948" s="10">
        <f>IF(OR(G1948="",H1948="",G1948&lt;=1),"",IF(J1948&lt;IF(D1948="Builder",MinEdgeBuilder,IF(D1948="Player",MinEdgePlayer,MinEdgeSingle)),0,ROUND(MIN(IF(D1948="Single",KellySingle,KellyBuilder)*(StartBank+SUM(P$1:P1947))*J1948/(G1948-1),IF(D1948="Builder",CapBuilder,CapSingle)*Unit),2)))</f>
        <v/>
      </c>
      <c r="L1948" s="10" t="n"/>
      <c r="N1948" s="10" t="n"/>
      <c r="O1948" s="10">
        <f>IF(L1948="","",IF(M1948="Won",L1948*G1948,IF(M1948="Void",L1948,IF(M1948="Cash out",N(N1948),IF(M1948="Lost",0,"")))))</f>
        <v/>
      </c>
      <c r="P1948" s="10">
        <f>IF(OR(L1948="",M1948="",M1948="Pending"),"",O1948-L1948)</f>
        <v/>
      </c>
      <c r="Q1948" s="21" t="n"/>
      <c r="R1948" s="11">
        <f>IF(OR(G1948="",Q1948=""),"",G1948/Q1948-1)</f>
        <v/>
      </c>
      <c r="S1948" s="10">
        <f>IF(OR(L1948="",J1948=""),"",L1948*J1948)</f>
        <v/>
      </c>
      <c r="T1948" s="10">
        <f>IF(P1948="","",StartBank+SUM(P$2:P1948))</f>
        <v/>
      </c>
    </row>
    <row r="1949">
      <c r="A1949" s="22" t="n"/>
      <c r="G1949" s="21" t="n"/>
      <c r="H1949" s="11" t="n"/>
      <c r="I1949" s="21">
        <f>IF(OR(H1949="",H1949=0),"",1/H1949)</f>
        <v/>
      </c>
      <c r="J1949" s="11">
        <f>IF(OR(G1949="",H1949=""),"",H1949*G1949-1)</f>
        <v/>
      </c>
      <c r="K1949" s="10">
        <f>IF(OR(G1949="",H1949="",G1949&lt;=1),"",IF(J1949&lt;IF(D1949="Builder",MinEdgeBuilder,IF(D1949="Player",MinEdgePlayer,MinEdgeSingle)),0,ROUND(MIN(IF(D1949="Single",KellySingle,KellyBuilder)*(StartBank+SUM(P$1:P1948))*J1949/(G1949-1),IF(D1949="Builder",CapBuilder,CapSingle)*Unit),2)))</f>
        <v/>
      </c>
      <c r="L1949" s="10" t="n"/>
      <c r="N1949" s="10" t="n"/>
      <c r="O1949" s="10">
        <f>IF(L1949="","",IF(M1949="Won",L1949*G1949,IF(M1949="Void",L1949,IF(M1949="Cash out",N(N1949),IF(M1949="Lost",0,"")))))</f>
        <v/>
      </c>
      <c r="P1949" s="10">
        <f>IF(OR(L1949="",M1949="",M1949="Pending"),"",O1949-L1949)</f>
        <v/>
      </c>
      <c r="Q1949" s="21" t="n"/>
      <c r="R1949" s="11">
        <f>IF(OR(G1949="",Q1949=""),"",G1949/Q1949-1)</f>
        <v/>
      </c>
      <c r="S1949" s="10">
        <f>IF(OR(L1949="",J1949=""),"",L1949*J1949)</f>
        <v/>
      </c>
      <c r="T1949" s="10">
        <f>IF(P1949="","",StartBank+SUM(P$2:P1949))</f>
        <v/>
      </c>
    </row>
    <row r="1950">
      <c r="A1950" s="22" t="n"/>
      <c r="G1950" s="21" t="n"/>
      <c r="H1950" s="11" t="n"/>
      <c r="I1950" s="21">
        <f>IF(OR(H1950="",H1950=0),"",1/H1950)</f>
        <v/>
      </c>
      <c r="J1950" s="11">
        <f>IF(OR(G1950="",H1950=""),"",H1950*G1950-1)</f>
        <v/>
      </c>
      <c r="K1950" s="10">
        <f>IF(OR(G1950="",H1950="",G1950&lt;=1),"",IF(J1950&lt;IF(D1950="Builder",MinEdgeBuilder,IF(D1950="Player",MinEdgePlayer,MinEdgeSingle)),0,ROUND(MIN(IF(D1950="Single",KellySingle,KellyBuilder)*(StartBank+SUM(P$1:P1949))*J1950/(G1950-1),IF(D1950="Builder",CapBuilder,CapSingle)*Unit),2)))</f>
        <v/>
      </c>
      <c r="L1950" s="10" t="n"/>
      <c r="N1950" s="10" t="n"/>
      <c r="O1950" s="10">
        <f>IF(L1950="","",IF(M1950="Won",L1950*G1950,IF(M1950="Void",L1950,IF(M1950="Cash out",N(N1950),IF(M1950="Lost",0,"")))))</f>
        <v/>
      </c>
      <c r="P1950" s="10">
        <f>IF(OR(L1950="",M1950="",M1950="Pending"),"",O1950-L1950)</f>
        <v/>
      </c>
      <c r="Q1950" s="21" t="n"/>
      <c r="R1950" s="11">
        <f>IF(OR(G1950="",Q1950=""),"",G1950/Q1950-1)</f>
        <v/>
      </c>
      <c r="S1950" s="10">
        <f>IF(OR(L1950="",J1950=""),"",L1950*J1950)</f>
        <v/>
      </c>
      <c r="T1950" s="10">
        <f>IF(P1950="","",StartBank+SUM(P$2:P1950))</f>
        <v/>
      </c>
    </row>
    <row r="1951">
      <c r="A1951" s="22" t="n"/>
      <c r="G1951" s="21" t="n"/>
      <c r="H1951" s="11" t="n"/>
      <c r="I1951" s="21">
        <f>IF(OR(H1951="",H1951=0),"",1/H1951)</f>
        <v/>
      </c>
      <c r="J1951" s="11">
        <f>IF(OR(G1951="",H1951=""),"",H1951*G1951-1)</f>
        <v/>
      </c>
      <c r="K1951" s="10">
        <f>IF(OR(G1951="",H1951="",G1951&lt;=1),"",IF(J1951&lt;IF(D1951="Builder",MinEdgeBuilder,IF(D1951="Player",MinEdgePlayer,MinEdgeSingle)),0,ROUND(MIN(IF(D1951="Single",KellySingle,KellyBuilder)*(StartBank+SUM(P$1:P1950))*J1951/(G1951-1),IF(D1951="Builder",CapBuilder,CapSingle)*Unit),2)))</f>
        <v/>
      </c>
      <c r="L1951" s="10" t="n"/>
      <c r="N1951" s="10" t="n"/>
      <c r="O1951" s="10">
        <f>IF(L1951="","",IF(M1951="Won",L1951*G1951,IF(M1951="Void",L1951,IF(M1951="Cash out",N(N1951),IF(M1951="Lost",0,"")))))</f>
        <v/>
      </c>
      <c r="P1951" s="10">
        <f>IF(OR(L1951="",M1951="",M1951="Pending"),"",O1951-L1951)</f>
        <v/>
      </c>
      <c r="Q1951" s="21" t="n"/>
      <c r="R1951" s="11">
        <f>IF(OR(G1951="",Q1951=""),"",G1951/Q1951-1)</f>
        <v/>
      </c>
      <c r="S1951" s="10">
        <f>IF(OR(L1951="",J1951=""),"",L1951*J1951)</f>
        <v/>
      </c>
      <c r="T1951" s="10">
        <f>IF(P1951="","",StartBank+SUM(P$2:P1951))</f>
        <v/>
      </c>
    </row>
    <row r="1952">
      <c r="A1952" s="22" t="n"/>
      <c r="G1952" s="21" t="n"/>
      <c r="H1952" s="11" t="n"/>
      <c r="I1952" s="21">
        <f>IF(OR(H1952="",H1952=0),"",1/H1952)</f>
        <v/>
      </c>
      <c r="J1952" s="11">
        <f>IF(OR(G1952="",H1952=""),"",H1952*G1952-1)</f>
        <v/>
      </c>
      <c r="K1952" s="10">
        <f>IF(OR(G1952="",H1952="",G1952&lt;=1),"",IF(J1952&lt;IF(D1952="Builder",MinEdgeBuilder,IF(D1952="Player",MinEdgePlayer,MinEdgeSingle)),0,ROUND(MIN(IF(D1952="Single",KellySingle,KellyBuilder)*(StartBank+SUM(P$1:P1951))*J1952/(G1952-1),IF(D1952="Builder",CapBuilder,CapSingle)*Unit),2)))</f>
        <v/>
      </c>
      <c r="L1952" s="10" t="n"/>
      <c r="N1952" s="10" t="n"/>
      <c r="O1952" s="10">
        <f>IF(L1952="","",IF(M1952="Won",L1952*G1952,IF(M1952="Void",L1952,IF(M1952="Cash out",N(N1952),IF(M1952="Lost",0,"")))))</f>
        <v/>
      </c>
      <c r="P1952" s="10">
        <f>IF(OR(L1952="",M1952="",M1952="Pending"),"",O1952-L1952)</f>
        <v/>
      </c>
      <c r="Q1952" s="21" t="n"/>
      <c r="R1952" s="11">
        <f>IF(OR(G1952="",Q1952=""),"",G1952/Q1952-1)</f>
        <v/>
      </c>
      <c r="S1952" s="10">
        <f>IF(OR(L1952="",J1952=""),"",L1952*J1952)</f>
        <v/>
      </c>
      <c r="T1952" s="10">
        <f>IF(P1952="","",StartBank+SUM(P$2:P1952))</f>
        <v/>
      </c>
    </row>
    <row r="1953">
      <c r="A1953" s="22" t="n"/>
      <c r="G1953" s="21" t="n"/>
      <c r="H1953" s="11" t="n"/>
      <c r="I1953" s="21">
        <f>IF(OR(H1953="",H1953=0),"",1/H1953)</f>
        <v/>
      </c>
      <c r="J1953" s="11">
        <f>IF(OR(G1953="",H1953=""),"",H1953*G1953-1)</f>
        <v/>
      </c>
      <c r="K1953" s="10">
        <f>IF(OR(G1953="",H1953="",G1953&lt;=1),"",IF(J1953&lt;IF(D1953="Builder",MinEdgeBuilder,IF(D1953="Player",MinEdgePlayer,MinEdgeSingle)),0,ROUND(MIN(IF(D1953="Single",KellySingle,KellyBuilder)*(StartBank+SUM(P$1:P1952))*J1953/(G1953-1),IF(D1953="Builder",CapBuilder,CapSingle)*Unit),2)))</f>
        <v/>
      </c>
      <c r="L1953" s="10" t="n"/>
      <c r="N1953" s="10" t="n"/>
      <c r="O1953" s="10">
        <f>IF(L1953="","",IF(M1953="Won",L1953*G1953,IF(M1953="Void",L1953,IF(M1953="Cash out",N(N1953),IF(M1953="Lost",0,"")))))</f>
        <v/>
      </c>
      <c r="P1953" s="10">
        <f>IF(OR(L1953="",M1953="",M1953="Pending"),"",O1953-L1953)</f>
        <v/>
      </c>
      <c r="Q1953" s="21" t="n"/>
      <c r="R1953" s="11">
        <f>IF(OR(G1953="",Q1953=""),"",G1953/Q1953-1)</f>
        <v/>
      </c>
      <c r="S1953" s="10">
        <f>IF(OR(L1953="",J1953=""),"",L1953*J1953)</f>
        <v/>
      </c>
      <c r="T1953" s="10">
        <f>IF(P1953="","",StartBank+SUM(P$2:P1953))</f>
        <v/>
      </c>
    </row>
    <row r="1954">
      <c r="A1954" s="22" t="n"/>
      <c r="G1954" s="21" t="n"/>
      <c r="H1954" s="11" t="n"/>
      <c r="I1954" s="21">
        <f>IF(OR(H1954="",H1954=0),"",1/H1954)</f>
        <v/>
      </c>
      <c r="J1954" s="11">
        <f>IF(OR(G1954="",H1954=""),"",H1954*G1954-1)</f>
        <v/>
      </c>
      <c r="K1954" s="10">
        <f>IF(OR(G1954="",H1954="",G1954&lt;=1),"",IF(J1954&lt;IF(D1954="Builder",MinEdgeBuilder,IF(D1954="Player",MinEdgePlayer,MinEdgeSingle)),0,ROUND(MIN(IF(D1954="Single",KellySingle,KellyBuilder)*(StartBank+SUM(P$1:P1953))*J1954/(G1954-1),IF(D1954="Builder",CapBuilder,CapSingle)*Unit),2)))</f>
        <v/>
      </c>
      <c r="L1954" s="10" t="n"/>
      <c r="N1954" s="10" t="n"/>
      <c r="O1954" s="10">
        <f>IF(L1954="","",IF(M1954="Won",L1954*G1954,IF(M1954="Void",L1954,IF(M1954="Cash out",N(N1954),IF(M1954="Lost",0,"")))))</f>
        <v/>
      </c>
      <c r="P1954" s="10">
        <f>IF(OR(L1954="",M1954="",M1954="Pending"),"",O1954-L1954)</f>
        <v/>
      </c>
      <c r="Q1954" s="21" t="n"/>
      <c r="R1954" s="11">
        <f>IF(OR(G1954="",Q1954=""),"",G1954/Q1954-1)</f>
        <v/>
      </c>
      <c r="S1954" s="10">
        <f>IF(OR(L1954="",J1954=""),"",L1954*J1954)</f>
        <v/>
      </c>
      <c r="T1954" s="10">
        <f>IF(P1954="","",StartBank+SUM(P$2:P1954))</f>
        <v/>
      </c>
    </row>
    <row r="1955">
      <c r="A1955" s="22" t="n"/>
      <c r="G1955" s="21" t="n"/>
      <c r="H1955" s="11" t="n"/>
      <c r="I1955" s="21">
        <f>IF(OR(H1955="",H1955=0),"",1/H1955)</f>
        <v/>
      </c>
      <c r="J1955" s="11">
        <f>IF(OR(G1955="",H1955=""),"",H1955*G1955-1)</f>
        <v/>
      </c>
      <c r="K1955" s="10">
        <f>IF(OR(G1955="",H1955="",G1955&lt;=1),"",IF(J1955&lt;IF(D1955="Builder",MinEdgeBuilder,IF(D1955="Player",MinEdgePlayer,MinEdgeSingle)),0,ROUND(MIN(IF(D1955="Single",KellySingle,KellyBuilder)*(StartBank+SUM(P$1:P1954))*J1955/(G1955-1),IF(D1955="Builder",CapBuilder,CapSingle)*Unit),2)))</f>
        <v/>
      </c>
      <c r="L1955" s="10" t="n"/>
      <c r="N1955" s="10" t="n"/>
      <c r="O1955" s="10">
        <f>IF(L1955="","",IF(M1955="Won",L1955*G1955,IF(M1955="Void",L1955,IF(M1955="Cash out",N(N1955),IF(M1955="Lost",0,"")))))</f>
        <v/>
      </c>
      <c r="P1955" s="10">
        <f>IF(OR(L1955="",M1955="",M1955="Pending"),"",O1955-L1955)</f>
        <v/>
      </c>
      <c r="Q1955" s="21" t="n"/>
      <c r="R1955" s="11">
        <f>IF(OR(G1955="",Q1955=""),"",G1955/Q1955-1)</f>
        <v/>
      </c>
      <c r="S1955" s="10">
        <f>IF(OR(L1955="",J1955=""),"",L1955*J1955)</f>
        <v/>
      </c>
      <c r="T1955" s="10">
        <f>IF(P1955="","",StartBank+SUM(P$2:P1955))</f>
        <v/>
      </c>
    </row>
    <row r="1956">
      <c r="A1956" s="22" t="n"/>
      <c r="G1956" s="21" t="n"/>
      <c r="H1956" s="11" t="n"/>
      <c r="I1956" s="21">
        <f>IF(OR(H1956="",H1956=0),"",1/H1956)</f>
        <v/>
      </c>
      <c r="J1956" s="11">
        <f>IF(OR(G1956="",H1956=""),"",H1956*G1956-1)</f>
        <v/>
      </c>
      <c r="K1956" s="10">
        <f>IF(OR(G1956="",H1956="",G1956&lt;=1),"",IF(J1956&lt;IF(D1956="Builder",MinEdgeBuilder,IF(D1956="Player",MinEdgePlayer,MinEdgeSingle)),0,ROUND(MIN(IF(D1956="Single",KellySingle,KellyBuilder)*(StartBank+SUM(P$1:P1955))*J1956/(G1956-1),IF(D1956="Builder",CapBuilder,CapSingle)*Unit),2)))</f>
        <v/>
      </c>
      <c r="L1956" s="10" t="n"/>
      <c r="N1956" s="10" t="n"/>
      <c r="O1956" s="10">
        <f>IF(L1956="","",IF(M1956="Won",L1956*G1956,IF(M1956="Void",L1956,IF(M1956="Cash out",N(N1956),IF(M1956="Lost",0,"")))))</f>
        <v/>
      </c>
      <c r="P1956" s="10">
        <f>IF(OR(L1956="",M1956="",M1956="Pending"),"",O1956-L1956)</f>
        <v/>
      </c>
      <c r="Q1956" s="21" t="n"/>
      <c r="R1956" s="11">
        <f>IF(OR(G1956="",Q1956=""),"",G1956/Q1956-1)</f>
        <v/>
      </c>
      <c r="S1956" s="10">
        <f>IF(OR(L1956="",J1956=""),"",L1956*J1956)</f>
        <v/>
      </c>
      <c r="T1956" s="10">
        <f>IF(P1956="","",StartBank+SUM(P$2:P1956))</f>
        <v/>
      </c>
    </row>
    <row r="1957">
      <c r="A1957" s="22" t="n"/>
      <c r="G1957" s="21" t="n"/>
      <c r="H1957" s="11" t="n"/>
      <c r="I1957" s="21">
        <f>IF(OR(H1957="",H1957=0),"",1/H1957)</f>
        <v/>
      </c>
      <c r="J1957" s="11">
        <f>IF(OR(G1957="",H1957=""),"",H1957*G1957-1)</f>
        <v/>
      </c>
      <c r="K1957" s="10">
        <f>IF(OR(G1957="",H1957="",G1957&lt;=1),"",IF(J1957&lt;IF(D1957="Builder",MinEdgeBuilder,IF(D1957="Player",MinEdgePlayer,MinEdgeSingle)),0,ROUND(MIN(IF(D1957="Single",KellySingle,KellyBuilder)*(StartBank+SUM(P$1:P1956))*J1957/(G1957-1),IF(D1957="Builder",CapBuilder,CapSingle)*Unit),2)))</f>
        <v/>
      </c>
      <c r="L1957" s="10" t="n"/>
      <c r="N1957" s="10" t="n"/>
      <c r="O1957" s="10">
        <f>IF(L1957="","",IF(M1957="Won",L1957*G1957,IF(M1957="Void",L1957,IF(M1957="Cash out",N(N1957),IF(M1957="Lost",0,"")))))</f>
        <v/>
      </c>
      <c r="P1957" s="10">
        <f>IF(OR(L1957="",M1957="",M1957="Pending"),"",O1957-L1957)</f>
        <v/>
      </c>
      <c r="Q1957" s="21" t="n"/>
      <c r="R1957" s="11">
        <f>IF(OR(G1957="",Q1957=""),"",G1957/Q1957-1)</f>
        <v/>
      </c>
      <c r="S1957" s="10">
        <f>IF(OR(L1957="",J1957=""),"",L1957*J1957)</f>
        <v/>
      </c>
      <c r="T1957" s="10">
        <f>IF(P1957="","",StartBank+SUM(P$2:P1957))</f>
        <v/>
      </c>
    </row>
    <row r="1958">
      <c r="A1958" s="22" t="n"/>
      <c r="G1958" s="21" t="n"/>
      <c r="H1958" s="11" t="n"/>
      <c r="I1958" s="21">
        <f>IF(OR(H1958="",H1958=0),"",1/H1958)</f>
        <v/>
      </c>
      <c r="J1958" s="11">
        <f>IF(OR(G1958="",H1958=""),"",H1958*G1958-1)</f>
        <v/>
      </c>
      <c r="K1958" s="10">
        <f>IF(OR(G1958="",H1958="",G1958&lt;=1),"",IF(J1958&lt;IF(D1958="Builder",MinEdgeBuilder,IF(D1958="Player",MinEdgePlayer,MinEdgeSingle)),0,ROUND(MIN(IF(D1958="Single",KellySingle,KellyBuilder)*(StartBank+SUM(P$1:P1957))*J1958/(G1958-1),IF(D1958="Builder",CapBuilder,CapSingle)*Unit),2)))</f>
        <v/>
      </c>
      <c r="L1958" s="10" t="n"/>
      <c r="N1958" s="10" t="n"/>
      <c r="O1958" s="10">
        <f>IF(L1958="","",IF(M1958="Won",L1958*G1958,IF(M1958="Void",L1958,IF(M1958="Cash out",N(N1958),IF(M1958="Lost",0,"")))))</f>
        <v/>
      </c>
      <c r="P1958" s="10">
        <f>IF(OR(L1958="",M1958="",M1958="Pending"),"",O1958-L1958)</f>
        <v/>
      </c>
      <c r="Q1958" s="21" t="n"/>
      <c r="R1958" s="11">
        <f>IF(OR(G1958="",Q1958=""),"",G1958/Q1958-1)</f>
        <v/>
      </c>
      <c r="S1958" s="10">
        <f>IF(OR(L1958="",J1958=""),"",L1958*J1958)</f>
        <v/>
      </c>
      <c r="T1958" s="10">
        <f>IF(P1958="","",StartBank+SUM(P$2:P1958))</f>
        <v/>
      </c>
    </row>
    <row r="1959">
      <c r="A1959" s="22" t="n"/>
      <c r="G1959" s="21" t="n"/>
      <c r="H1959" s="11" t="n"/>
      <c r="I1959" s="21">
        <f>IF(OR(H1959="",H1959=0),"",1/H1959)</f>
        <v/>
      </c>
      <c r="J1959" s="11">
        <f>IF(OR(G1959="",H1959=""),"",H1959*G1959-1)</f>
        <v/>
      </c>
      <c r="K1959" s="10">
        <f>IF(OR(G1959="",H1959="",G1959&lt;=1),"",IF(J1959&lt;IF(D1959="Builder",MinEdgeBuilder,IF(D1959="Player",MinEdgePlayer,MinEdgeSingle)),0,ROUND(MIN(IF(D1959="Single",KellySingle,KellyBuilder)*(StartBank+SUM(P$1:P1958))*J1959/(G1959-1),IF(D1959="Builder",CapBuilder,CapSingle)*Unit),2)))</f>
        <v/>
      </c>
      <c r="L1959" s="10" t="n"/>
      <c r="N1959" s="10" t="n"/>
      <c r="O1959" s="10">
        <f>IF(L1959="","",IF(M1959="Won",L1959*G1959,IF(M1959="Void",L1959,IF(M1959="Cash out",N(N1959),IF(M1959="Lost",0,"")))))</f>
        <v/>
      </c>
      <c r="P1959" s="10">
        <f>IF(OR(L1959="",M1959="",M1959="Pending"),"",O1959-L1959)</f>
        <v/>
      </c>
      <c r="Q1959" s="21" t="n"/>
      <c r="R1959" s="11">
        <f>IF(OR(G1959="",Q1959=""),"",G1959/Q1959-1)</f>
        <v/>
      </c>
      <c r="S1959" s="10">
        <f>IF(OR(L1959="",J1959=""),"",L1959*J1959)</f>
        <v/>
      </c>
      <c r="T1959" s="10">
        <f>IF(P1959="","",StartBank+SUM(P$2:P1959))</f>
        <v/>
      </c>
    </row>
    <row r="1960">
      <c r="A1960" s="22" t="n"/>
      <c r="G1960" s="21" t="n"/>
      <c r="H1960" s="11" t="n"/>
      <c r="I1960" s="21">
        <f>IF(OR(H1960="",H1960=0),"",1/H1960)</f>
        <v/>
      </c>
      <c r="J1960" s="11">
        <f>IF(OR(G1960="",H1960=""),"",H1960*G1960-1)</f>
        <v/>
      </c>
      <c r="K1960" s="10">
        <f>IF(OR(G1960="",H1960="",G1960&lt;=1),"",IF(J1960&lt;IF(D1960="Builder",MinEdgeBuilder,IF(D1960="Player",MinEdgePlayer,MinEdgeSingle)),0,ROUND(MIN(IF(D1960="Single",KellySingle,KellyBuilder)*(StartBank+SUM(P$1:P1959))*J1960/(G1960-1),IF(D1960="Builder",CapBuilder,CapSingle)*Unit),2)))</f>
        <v/>
      </c>
      <c r="L1960" s="10" t="n"/>
      <c r="N1960" s="10" t="n"/>
      <c r="O1960" s="10">
        <f>IF(L1960="","",IF(M1960="Won",L1960*G1960,IF(M1960="Void",L1960,IF(M1960="Cash out",N(N1960),IF(M1960="Lost",0,"")))))</f>
        <v/>
      </c>
      <c r="P1960" s="10">
        <f>IF(OR(L1960="",M1960="",M1960="Pending"),"",O1960-L1960)</f>
        <v/>
      </c>
      <c r="Q1960" s="21" t="n"/>
      <c r="R1960" s="11">
        <f>IF(OR(G1960="",Q1960=""),"",G1960/Q1960-1)</f>
        <v/>
      </c>
      <c r="S1960" s="10">
        <f>IF(OR(L1960="",J1960=""),"",L1960*J1960)</f>
        <v/>
      </c>
      <c r="T1960" s="10">
        <f>IF(P1960="","",StartBank+SUM(P$2:P1960))</f>
        <v/>
      </c>
    </row>
    <row r="1961">
      <c r="A1961" s="22" t="n"/>
      <c r="G1961" s="21" t="n"/>
      <c r="H1961" s="11" t="n"/>
      <c r="I1961" s="21">
        <f>IF(OR(H1961="",H1961=0),"",1/H1961)</f>
        <v/>
      </c>
      <c r="J1961" s="11">
        <f>IF(OR(G1961="",H1961=""),"",H1961*G1961-1)</f>
        <v/>
      </c>
      <c r="K1961" s="10">
        <f>IF(OR(G1961="",H1961="",G1961&lt;=1),"",IF(J1961&lt;IF(D1961="Builder",MinEdgeBuilder,IF(D1961="Player",MinEdgePlayer,MinEdgeSingle)),0,ROUND(MIN(IF(D1961="Single",KellySingle,KellyBuilder)*(StartBank+SUM(P$1:P1960))*J1961/(G1961-1),IF(D1961="Builder",CapBuilder,CapSingle)*Unit),2)))</f>
        <v/>
      </c>
      <c r="L1961" s="10" t="n"/>
      <c r="N1961" s="10" t="n"/>
      <c r="O1961" s="10">
        <f>IF(L1961="","",IF(M1961="Won",L1961*G1961,IF(M1961="Void",L1961,IF(M1961="Cash out",N(N1961),IF(M1961="Lost",0,"")))))</f>
        <v/>
      </c>
      <c r="P1961" s="10">
        <f>IF(OR(L1961="",M1961="",M1961="Pending"),"",O1961-L1961)</f>
        <v/>
      </c>
      <c r="Q1961" s="21" t="n"/>
      <c r="R1961" s="11">
        <f>IF(OR(G1961="",Q1961=""),"",G1961/Q1961-1)</f>
        <v/>
      </c>
      <c r="S1961" s="10">
        <f>IF(OR(L1961="",J1961=""),"",L1961*J1961)</f>
        <v/>
      </c>
      <c r="T1961" s="10">
        <f>IF(P1961="","",StartBank+SUM(P$2:P1961))</f>
        <v/>
      </c>
    </row>
    <row r="1962">
      <c r="A1962" s="22" t="n"/>
      <c r="G1962" s="21" t="n"/>
      <c r="H1962" s="11" t="n"/>
      <c r="I1962" s="21">
        <f>IF(OR(H1962="",H1962=0),"",1/H1962)</f>
        <v/>
      </c>
      <c r="J1962" s="11">
        <f>IF(OR(G1962="",H1962=""),"",H1962*G1962-1)</f>
        <v/>
      </c>
      <c r="K1962" s="10">
        <f>IF(OR(G1962="",H1962="",G1962&lt;=1),"",IF(J1962&lt;IF(D1962="Builder",MinEdgeBuilder,IF(D1962="Player",MinEdgePlayer,MinEdgeSingle)),0,ROUND(MIN(IF(D1962="Single",KellySingle,KellyBuilder)*(StartBank+SUM(P$1:P1961))*J1962/(G1962-1),IF(D1962="Builder",CapBuilder,CapSingle)*Unit),2)))</f>
        <v/>
      </c>
      <c r="L1962" s="10" t="n"/>
      <c r="N1962" s="10" t="n"/>
      <c r="O1962" s="10">
        <f>IF(L1962="","",IF(M1962="Won",L1962*G1962,IF(M1962="Void",L1962,IF(M1962="Cash out",N(N1962),IF(M1962="Lost",0,"")))))</f>
        <v/>
      </c>
      <c r="P1962" s="10">
        <f>IF(OR(L1962="",M1962="",M1962="Pending"),"",O1962-L1962)</f>
        <v/>
      </c>
      <c r="Q1962" s="21" t="n"/>
      <c r="R1962" s="11">
        <f>IF(OR(G1962="",Q1962=""),"",G1962/Q1962-1)</f>
        <v/>
      </c>
      <c r="S1962" s="10">
        <f>IF(OR(L1962="",J1962=""),"",L1962*J1962)</f>
        <v/>
      </c>
      <c r="T1962" s="10">
        <f>IF(P1962="","",StartBank+SUM(P$2:P1962))</f>
        <v/>
      </c>
    </row>
    <row r="1963">
      <c r="A1963" s="22" t="n"/>
      <c r="G1963" s="21" t="n"/>
      <c r="H1963" s="11" t="n"/>
      <c r="I1963" s="21">
        <f>IF(OR(H1963="",H1963=0),"",1/H1963)</f>
        <v/>
      </c>
      <c r="J1963" s="11">
        <f>IF(OR(G1963="",H1963=""),"",H1963*G1963-1)</f>
        <v/>
      </c>
      <c r="K1963" s="10">
        <f>IF(OR(G1963="",H1963="",G1963&lt;=1),"",IF(J1963&lt;IF(D1963="Builder",MinEdgeBuilder,IF(D1963="Player",MinEdgePlayer,MinEdgeSingle)),0,ROUND(MIN(IF(D1963="Single",KellySingle,KellyBuilder)*(StartBank+SUM(P$1:P1962))*J1963/(G1963-1),IF(D1963="Builder",CapBuilder,CapSingle)*Unit),2)))</f>
        <v/>
      </c>
      <c r="L1963" s="10" t="n"/>
      <c r="N1963" s="10" t="n"/>
      <c r="O1963" s="10">
        <f>IF(L1963="","",IF(M1963="Won",L1963*G1963,IF(M1963="Void",L1963,IF(M1963="Cash out",N(N1963),IF(M1963="Lost",0,"")))))</f>
        <v/>
      </c>
      <c r="P1963" s="10">
        <f>IF(OR(L1963="",M1963="",M1963="Pending"),"",O1963-L1963)</f>
        <v/>
      </c>
      <c r="Q1963" s="21" t="n"/>
      <c r="R1963" s="11">
        <f>IF(OR(G1963="",Q1963=""),"",G1963/Q1963-1)</f>
        <v/>
      </c>
      <c r="S1963" s="10">
        <f>IF(OR(L1963="",J1963=""),"",L1963*J1963)</f>
        <v/>
      </c>
      <c r="T1963" s="10">
        <f>IF(P1963="","",StartBank+SUM(P$2:P1963))</f>
        <v/>
      </c>
    </row>
    <row r="1964">
      <c r="A1964" s="22" t="n"/>
      <c r="G1964" s="21" t="n"/>
      <c r="H1964" s="11" t="n"/>
      <c r="I1964" s="21">
        <f>IF(OR(H1964="",H1964=0),"",1/H1964)</f>
        <v/>
      </c>
      <c r="J1964" s="11">
        <f>IF(OR(G1964="",H1964=""),"",H1964*G1964-1)</f>
        <v/>
      </c>
      <c r="K1964" s="10">
        <f>IF(OR(G1964="",H1964="",G1964&lt;=1),"",IF(J1964&lt;IF(D1964="Builder",MinEdgeBuilder,IF(D1964="Player",MinEdgePlayer,MinEdgeSingle)),0,ROUND(MIN(IF(D1964="Single",KellySingle,KellyBuilder)*(StartBank+SUM(P$1:P1963))*J1964/(G1964-1),IF(D1964="Builder",CapBuilder,CapSingle)*Unit),2)))</f>
        <v/>
      </c>
      <c r="L1964" s="10" t="n"/>
      <c r="N1964" s="10" t="n"/>
      <c r="O1964" s="10">
        <f>IF(L1964="","",IF(M1964="Won",L1964*G1964,IF(M1964="Void",L1964,IF(M1964="Cash out",N(N1964),IF(M1964="Lost",0,"")))))</f>
        <v/>
      </c>
      <c r="P1964" s="10">
        <f>IF(OR(L1964="",M1964="",M1964="Pending"),"",O1964-L1964)</f>
        <v/>
      </c>
      <c r="Q1964" s="21" t="n"/>
      <c r="R1964" s="11">
        <f>IF(OR(G1964="",Q1964=""),"",G1964/Q1964-1)</f>
        <v/>
      </c>
      <c r="S1964" s="10">
        <f>IF(OR(L1964="",J1964=""),"",L1964*J1964)</f>
        <v/>
      </c>
      <c r="T1964" s="10">
        <f>IF(P1964="","",StartBank+SUM(P$2:P1964))</f>
        <v/>
      </c>
    </row>
    <row r="1965">
      <c r="A1965" s="22" t="n"/>
      <c r="G1965" s="21" t="n"/>
      <c r="H1965" s="11" t="n"/>
      <c r="I1965" s="21">
        <f>IF(OR(H1965="",H1965=0),"",1/H1965)</f>
        <v/>
      </c>
      <c r="J1965" s="11">
        <f>IF(OR(G1965="",H1965=""),"",H1965*G1965-1)</f>
        <v/>
      </c>
      <c r="K1965" s="10">
        <f>IF(OR(G1965="",H1965="",G1965&lt;=1),"",IF(J1965&lt;IF(D1965="Builder",MinEdgeBuilder,IF(D1965="Player",MinEdgePlayer,MinEdgeSingle)),0,ROUND(MIN(IF(D1965="Single",KellySingle,KellyBuilder)*(StartBank+SUM(P$1:P1964))*J1965/(G1965-1),IF(D1965="Builder",CapBuilder,CapSingle)*Unit),2)))</f>
        <v/>
      </c>
      <c r="L1965" s="10" t="n"/>
      <c r="N1965" s="10" t="n"/>
      <c r="O1965" s="10">
        <f>IF(L1965="","",IF(M1965="Won",L1965*G1965,IF(M1965="Void",L1965,IF(M1965="Cash out",N(N1965),IF(M1965="Lost",0,"")))))</f>
        <v/>
      </c>
      <c r="P1965" s="10">
        <f>IF(OR(L1965="",M1965="",M1965="Pending"),"",O1965-L1965)</f>
        <v/>
      </c>
      <c r="Q1965" s="21" t="n"/>
      <c r="R1965" s="11">
        <f>IF(OR(G1965="",Q1965=""),"",G1965/Q1965-1)</f>
        <v/>
      </c>
      <c r="S1965" s="10">
        <f>IF(OR(L1965="",J1965=""),"",L1965*J1965)</f>
        <v/>
      </c>
      <c r="T1965" s="10">
        <f>IF(P1965="","",StartBank+SUM(P$2:P1965))</f>
        <v/>
      </c>
    </row>
    <row r="1966">
      <c r="A1966" s="22" t="n"/>
      <c r="G1966" s="21" t="n"/>
      <c r="H1966" s="11" t="n"/>
      <c r="I1966" s="21">
        <f>IF(OR(H1966="",H1966=0),"",1/H1966)</f>
        <v/>
      </c>
      <c r="J1966" s="11">
        <f>IF(OR(G1966="",H1966=""),"",H1966*G1966-1)</f>
        <v/>
      </c>
      <c r="K1966" s="10">
        <f>IF(OR(G1966="",H1966="",G1966&lt;=1),"",IF(J1966&lt;IF(D1966="Builder",MinEdgeBuilder,IF(D1966="Player",MinEdgePlayer,MinEdgeSingle)),0,ROUND(MIN(IF(D1966="Single",KellySingle,KellyBuilder)*(StartBank+SUM(P$1:P1965))*J1966/(G1966-1),IF(D1966="Builder",CapBuilder,CapSingle)*Unit),2)))</f>
        <v/>
      </c>
      <c r="L1966" s="10" t="n"/>
      <c r="N1966" s="10" t="n"/>
      <c r="O1966" s="10">
        <f>IF(L1966="","",IF(M1966="Won",L1966*G1966,IF(M1966="Void",L1966,IF(M1966="Cash out",N(N1966),IF(M1966="Lost",0,"")))))</f>
        <v/>
      </c>
      <c r="P1966" s="10">
        <f>IF(OR(L1966="",M1966="",M1966="Pending"),"",O1966-L1966)</f>
        <v/>
      </c>
      <c r="Q1966" s="21" t="n"/>
      <c r="R1966" s="11">
        <f>IF(OR(G1966="",Q1966=""),"",G1966/Q1966-1)</f>
        <v/>
      </c>
      <c r="S1966" s="10">
        <f>IF(OR(L1966="",J1966=""),"",L1966*J1966)</f>
        <v/>
      </c>
      <c r="T1966" s="10">
        <f>IF(P1966="","",StartBank+SUM(P$2:P1966))</f>
        <v/>
      </c>
    </row>
    <row r="1967">
      <c r="A1967" s="22" t="n"/>
      <c r="G1967" s="21" t="n"/>
      <c r="H1967" s="11" t="n"/>
      <c r="I1967" s="21">
        <f>IF(OR(H1967="",H1967=0),"",1/H1967)</f>
        <v/>
      </c>
      <c r="J1967" s="11">
        <f>IF(OR(G1967="",H1967=""),"",H1967*G1967-1)</f>
        <v/>
      </c>
      <c r="K1967" s="10">
        <f>IF(OR(G1967="",H1967="",G1967&lt;=1),"",IF(J1967&lt;IF(D1967="Builder",MinEdgeBuilder,IF(D1967="Player",MinEdgePlayer,MinEdgeSingle)),0,ROUND(MIN(IF(D1967="Single",KellySingle,KellyBuilder)*(StartBank+SUM(P$1:P1966))*J1967/(G1967-1),IF(D1967="Builder",CapBuilder,CapSingle)*Unit),2)))</f>
        <v/>
      </c>
      <c r="L1967" s="10" t="n"/>
      <c r="N1967" s="10" t="n"/>
      <c r="O1967" s="10">
        <f>IF(L1967="","",IF(M1967="Won",L1967*G1967,IF(M1967="Void",L1967,IF(M1967="Cash out",N(N1967),IF(M1967="Lost",0,"")))))</f>
        <v/>
      </c>
      <c r="P1967" s="10">
        <f>IF(OR(L1967="",M1967="",M1967="Pending"),"",O1967-L1967)</f>
        <v/>
      </c>
      <c r="Q1967" s="21" t="n"/>
      <c r="R1967" s="11">
        <f>IF(OR(G1967="",Q1967=""),"",G1967/Q1967-1)</f>
        <v/>
      </c>
      <c r="S1967" s="10">
        <f>IF(OR(L1967="",J1967=""),"",L1967*J1967)</f>
        <v/>
      </c>
      <c r="T1967" s="10">
        <f>IF(P1967="","",StartBank+SUM(P$2:P1967))</f>
        <v/>
      </c>
    </row>
    <row r="1968">
      <c r="A1968" s="22" t="n"/>
      <c r="G1968" s="21" t="n"/>
      <c r="H1968" s="11" t="n"/>
      <c r="I1968" s="21">
        <f>IF(OR(H1968="",H1968=0),"",1/H1968)</f>
        <v/>
      </c>
      <c r="J1968" s="11">
        <f>IF(OR(G1968="",H1968=""),"",H1968*G1968-1)</f>
        <v/>
      </c>
      <c r="K1968" s="10">
        <f>IF(OR(G1968="",H1968="",G1968&lt;=1),"",IF(J1968&lt;IF(D1968="Builder",MinEdgeBuilder,IF(D1968="Player",MinEdgePlayer,MinEdgeSingle)),0,ROUND(MIN(IF(D1968="Single",KellySingle,KellyBuilder)*(StartBank+SUM(P$1:P1967))*J1968/(G1968-1),IF(D1968="Builder",CapBuilder,CapSingle)*Unit),2)))</f>
        <v/>
      </c>
      <c r="L1968" s="10" t="n"/>
      <c r="N1968" s="10" t="n"/>
      <c r="O1968" s="10">
        <f>IF(L1968="","",IF(M1968="Won",L1968*G1968,IF(M1968="Void",L1968,IF(M1968="Cash out",N(N1968),IF(M1968="Lost",0,"")))))</f>
        <v/>
      </c>
      <c r="P1968" s="10">
        <f>IF(OR(L1968="",M1968="",M1968="Pending"),"",O1968-L1968)</f>
        <v/>
      </c>
      <c r="Q1968" s="21" t="n"/>
      <c r="R1968" s="11">
        <f>IF(OR(G1968="",Q1968=""),"",G1968/Q1968-1)</f>
        <v/>
      </c>
      <c r="S1968" s="10">
        <f>IF(OR(L1968="",J1968=""),"",L1968*J1968)</f>
        <v/>
      </c>
      <c r="T1968" s="10">
        <f>IF(P1968="","",StartBank+SUM(P$2:P1968))</f>
        <v/>
      </c>
    </row>
    <row r="1969">
      <c r="A1969" s="22" t="n"/>
      <c r="G1969" s="21" t="n"/>
      <c r="H1969" s="11" t="n"/>
      <c r="I1969" s="21">
        <f>IF(OR(H1969="",H1969=0),"",1/H1969)</f>
        <v/>
      </c>
      <c r="J1969" s="11">
        <f>IF(OR(G1969="",H1969=""),"",H1969*G1969-1)</f>
        <v/>
      </c>
      <c r="K1969" s="10">
        <f>IF(OR(G1969="",H1969="",G1969&lt;=1),"",IF(J1969&lt;IF(D1969="Builder",MinEdgeBuilder,IF(D1969="Player",MinEdgePlayer,MinEdgeSingle)),0,ROUND(MIN(IF(D1969="Single",KellySingle,KellyBuilder)*(StartBank+SUM(P$1:P1968))*J1969/(G1969-1),IF(D1969="Builder",CapBuilder,CapSingle)*Unit),2)))</f>
        <v/>
      </c>
      <c r="L1969" s="10" t="n"/>
      <c r="N1969" s="10" t="n"/>
      <c r="O1969" s="10">
        <f>IF(L1969="","",IF(M1969="Won",L1969*G1969,IF(M1969="Void",L1969,IF(M1969="Cash out",N(N1969),IF(M1969="Lost",0,"")))))</f>
        <v/>
      </c>
      <c r="P1969" s="10">
        <f>IF(OR(L1969="",M1969="",M1969="Pending"),"",O1969-L1969)</f>
        <v/>
      </c>
      <c r="Q1969" s="21" t="n"/>
      <c r="R1969" s="11">
        <f>IF(OR(G1969="",Q1969=""),"",G1969/Q1969-1)</f>
        <v/>
      </c>
      <c r="S1969" s="10">
        <f>IF(OR(L1969="",J1969=""),"",L1969*J1969)</f>
        <v/>
      </c>
      <c r="T1969" s="10">
        <f>IF(P1969="","",StartBank+SUM(P$2:P1969))</f>
        <v/>
      </c>
    </row>
    <row r="1970">
      <c r="A1970" s="22" t="n"/>
      <c r="G1970" s="21" t="n"/>
      <c r="H1970" s="11" t="n"/>
      <c r="I1970" s="21">
        <f>IF(OR(H1970="",H1970=0),"",1/H1970)</f>
        <v/>
      </c>
      <c r="J1970" s="11">
        <f>IF(OR(G1970="",H1970=""),"",H1970*G1970-1)</f>
        <v/>
      </c>
      <c r="K1970" s="10">
        <f>IF(OR(G1970="",H1970="",G1970&lt;=1),"",IF(J1970&lt;IF(D1970="Builder",MinEdgeBuilder,IF(D1970="Player",MinEdgePlayer,MinEdgeSingle)),0,ROUND(MIN(IF(D1970="Single",KellySingle,KellyBuilder)*(StartBank+SUM(P$1:P1969))*J1970/(G1970-1),IF(D1970="Builder",CapBuilder,CapSingle)*Unit),2)))</f>
        <v/>
      </c>
      <c r="L1970" s="10" t="n"/>
      <c r="N1970" s="10" t="n"/>
      <c r="O1970" s="10">
        <f>IF(L1970="","",IF(M1970="Won",L1970*G1970,IF(M1970="Void",L1970,IF(M1970="Cash out",N(N1970),IF(M1970="Lost",0,"")))))</f>
        <v/>
      </c>
      <c r="P1970" s="10">
        <f>IF(OR(L1970="",M1970="",M1970="Pending"),"",O1970-L1970)</f>
        <v/>
      </c>
      <c r="Q1970" s="21" t="n"/>
      <c r="R1970" s="11">
        <f>IF(OR(G1970="",Q1970=""),"",G1970/Q1970-1)</f>
        <v/>
      </c>
      <c r="S1970" s="10">
        <f>IF(OR(L1970="",J1970=""),"",L1970*J1970)</f>
        <v/>
      </c>
      <c r="T1970" s="10">
        <f>IF(P1970="","",StartBank+SUM(P$2:P1970))</f>
        <v/>
      </c>
    </row>
    <row r="1971">
      <c r="A1971" s="22" t="n"/>
      <c r="G1971" s="21" t="n"/>
      <c r="H1971" s="11" t="n"/>
      <c r="I1971" s="21">
        <f>IF(OR(H1971="",H1971=0),"",1/H1971)</f>
        <v/>
      </c>
      <c r="J1971" s="11">
        <f>IF(OR(G1971="",H1971=""),"",H1971*G1971-1)</f>
        <v/>
      </c>
      <c r="K1971" s="10">
        <f>IF(OR(G1971="",H1971="",G1971&lt;=1),"",IF(J1971&lt;IF(D1971="Builder",MinEdgeBuilder,IF(D1971="Player",MinEdgePlayer,MinEdgeSingle)),0,ROUND(MIN(IF(D1971="Single",KellySingle,KellyBuilder)*(StartBank+SUM(P$1:P1970))*J1971/(G1971-1),IF(D1971="Builder",CapBuilder,CapSingle)*Unit),2)))</f>
        <v/>
      </c>
      <c r="L1971" s="10" t="n"/>
      <c r="N1971" s="10" t="n"/>
      <c r="O1971" s="10">
        <f>IF(L1971="","",IF(M1971="Won",L1971*G1971,IF(M1971="Void",L1971,IF(M1971="Cash out",N(N1971),IF(M1971="Lost",0,"")))))</f>
        <v/>
      </c>
      <c r="P1971" s="10">
        <f>IF(OR(L1971="",M1971="",M1971="Pending"),"",O1971-L1971)</f>
        <v/>
      </c>
      <c r="Q1971" s="21" t="n"/>
      <c r="R1971" s="11">
        <f>IF(OR(G1971="",Q1971=""),"",G1971/Q1971-1)</f>
        <v/>
      </c>
      <c r="S1971" s="10">
        <f>IF(OR(L1971="",J1971=""),"",L1971*J1971)</f>
        <v/>
      </c>
      <c r="T1971" s="10">
        <f>IF(P1971="","",StartBank+SUM(P$2:P1971))</f>
        <v/>
      </c>
    </row>
    <row r="1972">
      <c r="A1972" s="22" t="n"/>
      <c r="G1972" s="21" t="n"/>
      <c r="H1972" s="11" t="n"/>
      <c r="I1972" s="21">
        <f>IF(OR(H1972="",H1972=0),"",1/H1972)</f>
        <v/>
      </c>
      <c r="J1972" s="11">
        <f>IF(OR(G1972="",H1972=""),"",H1972*G1972-1)</f>
        <v/>
      </c>
      <c r="K1972" s="10">
        <f>IF(OR(G1972="",H1972="",G1972&lt;=1),"",IF(J1972&lt;IF(D1972="Builder",MinEdgeBuilder,IF(D1972="Player",MinEdgePlayer,MinEdgeSingle)),0,ROUND(MIN(IF(D1972="Single",KellySingle,KellyBuilder)*(StartBank+SUM(P$1:P1971))*J1972/(G1972-1),IF(D1972="Builder",CapBuilder,CapSingle)*Unit),2)))</f>
        <v/>
      </c>
      <c r="L1972" s="10" t="n"/>
      <c r="N1972" s="10" t="n"/>
      <c r="O1972" s="10">
        <f>IF(L1972="","",IF(M1972="Won",L1972*G1972,IF(M1972="Void",L1972,IF(M1972="Cash out",N(N1972),IF(M1972="Lost",0,"")))))</f>
        <v/>
      </c>
      <c r="P1972" s="10">
        <f>IF(OR(L1972="",M1972="",M1972="Pending"),"",O1972-L1972)</f>
        <v/>
      </c>
      <c r="Q1972" s="21" t="n"/>
      <c r="R1972" s="11">
        <f>IF(OR(G1972="",Q1972=""),"",G1972/Q1972-1)</f>
        <v/>
      </c>
      <c r="S1972" s="10">
        <f>IF(OR(L1972="",J1972=""),"",L1972*J1972)</f>
        <v/>
      </c>
      <c r="T1972" s="10">
        <f>IF(P1972="","",StartBank+SUM(P$2:P1972))</f>
        <v/>
      </c>
    </row>
    <row r="1973">
      <c r="A1973" s="22" t="n"/>
      <c r="G1973" s="21" t="n"/>
      <c r="H1973" s="11" t="n"/>
      <c r="I1973" s="21">
        <f>IF(OR(H1973="",H1973=0),"",1/H1973)</f>
        <v/>
      </c>
      <c r="J1973" s="11">
        <f>IF(OR(G1973="",H1973=""),"",H1973*G1973-1)</f>
        <v/>
      </c>
      <c r="K1973" s="10">
        <f>IF(OR(G1973="",H1973="",G1973&lt;=1),"",IF(J1973&lt;IF(D1973="Builder",MinEdgeBuilder,IF(D1973="Player",MinEdgePlayer,MinEdgeSingle)),0,ROUND(MIN(IF(D1973="Single",KellySingle,KellyBuilder)*(StartBank+SUM(P$1:P1972))*J1973/(G1973-1),IF(D1973="Builder",CapBuilder,CapSingle)*Unit),2)))</f>
        <v/>
      </c>
      <c r="L1973" s="10" t="n"/>
      <c r="N1973" s="10" t="n"/>
      <c r="O1973" s="10">
        <f>IF(L1973="","",IF(M1973="Won",L1973*G1973,IF(M1973="Void",L1973,IF(M1973="Cash out",N(N1973),IF(M1973="Lost",0,"")))))</f>
        <v/>
      </c>
      <c r="P1973" s="10">
        <f>IF(OR(L1973="",M1973="",M1973="Pending"),"",O1973-L1973)</f>
        <v/>
      </c>
      <c r="Q1973" s="21" t="n"/>
      <c r="R1973" s="11">
        <f>IF(OR(G1973="",Q1973=""),"",G1973/Q1973-1)</f>
        <v/>
      </c>
      <c r="S1973" s="10">
        <f>IF(OR(L1973="",J1973=""),"",L1973*J1973)</f>
        <v/>
      </c>
      <c r="T1973" s="10">
        <f>IF(P1973="","",StartBank+SUM(P$2:P1973))</f>
        <v/>
      </c>
    </row>
    <row r="1974">
      <c r="A1974" s="22" t="n"/>
      <c r="G1974" s="21" t="n"/>
      <c r="H1974" s="11" t="n"/>
      <c r="I1974" s="21">
        <f>IF(OR(H1974="",H1974=0),"",1/H1974)</f>
        <v/>
      </c>
      <c r="J1974" s="11">
        <f>IF(OR(G1974="",H1974=""),"",H1974*G1974-1)</f>
        <v/>
      </c>
      <c r="K1974" s="10">
        <f>IF(OR(G1974="",H1974="",G1974&lt;=1),"",IF(J1974&lt;IF(D1974="Builder",MinEdgeBuilder,IF(D1974="Player",MinEdgePlayer,MinEdgeSingle)),0,ROUND(MIN(IF(D1974="Single",KellySingle,KellyBuilder)*(StartBank+SUM(P$1:P1973))*J1974/(G1974-1),IF(D1974="Builder",CapBuilder,CapSingle)*Unit),2)))</f>
        <v/>
      </c>
      <c r="L1974" s="10" t="n"/>
      <c r="N1974" s="10" t="n"/>
      <c r="O1974" s="10">
        <f>IF(L1974="","",IF(M1974="Won",L1974*G1974,IF(M1974="Void",L1974,IF(M1974="Cash out",N(N1974),IF(M1974="Lost",0,"")))))</f>
        <v/>
      </c>
      <c r="P1974" s="10">
        <f>IF(OR(L1974="",M1974="",M1974="Pending"),"",O1974-L1974)</f>
        <v/>
      </c>
      <c r="Q1974" s="21" t="n"/>
      <c r="R1974" s="11">
        <f>IF(OR(G1974="",Q1974=""),"",G1974/Q1974-1)</f>
        <v/>
      </c>
      <c r="S1974" s="10">
        <f>IF(OR(L1974="",J1974=""),"",L1974*J1974)</f>
        <v/>
      </c>
      <c r="T1974" s="10">
        <f>IF(P1974="","",StartBank+SUM(P$2:P1974))</f>
        <v/>
      </c>
    </row>
    <row r="1975">
      <c r="A1975" s="22" t="n"/>
      <c r="G1975" s="21" t="n"/>
      <c r="H1975" s="11" t="n"/>
      <c r="I1975" s="21">
        <f>IF(OR(H1975="",H1975=0),"",1/H1975)</f>
        <v/>
      </c>
      <c r="J1975" s="11">
        <f>IF(OR(G1975="",H1975=""),"",H1975*G1975-1)</f>
        <v/>
      </c>
      <c r="K1975" s="10">
        <f>IF(OR(G1975="",H1975="",G1975&lt;=1),"",IF(J1975&lt;IF(D1975="Builder",MinEdgeBuilder,IF(D1975="Player",MinEdgePlayer,MinEdgeSingle)),0,ROUND(MIN(IF(D1975="Single",KellySingle,KellyBuilder)*(StartBank+SUM(P$1:P1974))*J1975/(G1975-1),IF(D1975="Builder",CapBuilder,CapSingle)*Unit),2)))</f>
        <v/>
      </c>
      <c r="L1975" s="10" t="n"/>
      <c r="N1975" s="10" t="n"/>
      <c r="O1975" s="10">
        <f>IF(L1975="","",IF(M1975="Won",L1975*G1975,IF(M1975="Void",L1975,IF(M1975="Cash out",N(N1975),IF(M1975="Lost",0,"")))))</f>
        <v/>
      </c>
      <c r="P1975" s="10">
        <f>IF(OR(L1975="",M1975="",M1975="Pending"),"",O1975-L1975)</f>
        <v/>
      </c>
      <c r="Q1975" s="21" t="n"/>
      <c r="R1975" s="11">
        <f>IF(OR(G1975="",Q1975=""),"",G1975/Q1975-1)</f>
        <v/>
      </c>
      <c r="S1975" s="10">
        <f>IF(OR(L1975="",J1975=""),"",L1975*J1975)</f>
        <v/>
      </c>
      <c r="T1975" s="10">
        <f>IF(P1975="","",StartBank+SUM(P$2:P1975))</f>
        <v/>
      </c>
    </row>
    <row r="1976">
      <c r="A1976" s="22" t="n"/>
      <c r="G1976" s="21" t="n"/>
      <c r="H1976" s="11" t="n"/>
      <c r="I1976" s="21">
        <f>IF(OR(H1976="",H1976=0),"",1/H1976)</f>
        <v/>
      </c>
      <c r="J1976" s="11">
        <f>IF(OR(G1976="",H1976=""),"",H1976*G1976-1)</f>
        <v/>
      </c>
      <c r="K1976" s="10">
        <f>IF(OR(G1976="",H1976="",G1976&lt;=1),"",IF(J1976&lt;IF(D1976="Builder",MinEdgeBuilder,IF(D1976="Player",MinEdgePlayer,MinEdgeSingle)),0,ROUND(MIN(IF(D1976="Single",KellySingle,KellyBuilder)*(StartBank+SUM(P$1:P1975))*J1976/(G1976-1),IF(D1976="Builder",CapBuilder,CapSingle)*Unit),2)))</f>
        <v/>
      </c>
      <c r="L1976" s="10" t="n"/>
      <c r="N1976" s="10" t="n"/>
      <c r="O1976" s="10">
        <f>IF(L1976="","",IF(M1976="Won",L1976*G1976,IF(M1976="Void",L1976,IF(M1976="Cash out",N(N1976),IF(M1976="Lost",0,"")))))</f>
        <v/>
      </c>
      <c r="P1976" s="10">
        <f>IF(OR(L1976="",M1976="",M1976="Pending"),"",O1976-L1976)</f>
        <v/>
      </c>
      <c r="Q1976" s="21" t="n"/>
      <c r="R1976" s="11">
        <f>IF(OR(G1976="",Q1976=""),"",G1976/Q1976-1)</f>
        <v/>
      </c>
      <c r="S1976" s="10">
        <f>IF(OR(L1976="",J1976=""),"",L1976*J1976)</f>
        <v/>
      </c>
      <c r="T1976" s="10">
        <f>IF(P1976="","",StartBank+SUM(P$2:P1976))</f>
        <v/>
      </c>
    </row>
    <row r="1977">
      <c r="A1977" s="22" t="n"/>
      <c r="G1977" s="21" t="n"/>
      <c r="H1977" s="11" t="n"/>
      <c r="I1977" s="21">
        <f>IF(OR(H1977="",H1977=0),"",1/H1977)</f>
        <v/>
      </c>
      <c r="J1977" s="11">
        <f>IF(OR(G1977="",H1977=""),"",H1977*G1977-1)</f>
        <v/>
      </c>
      <c r="K1977" s="10">
        <f>IF(OR(G1977="",H1977="",G1977&lt;=1),"",IF(J1977&lt;IF(D1977="Builder",MinEdgeBuilder,IF(D1977="Player",MinEdgePlayer,MinEdgeSingle)),0,ROUND(MIN(IF(D1977="Single",KellySingle,KellyBuilder)*(StartBank+SUM(P$1:P1976))*J1977/(G1977-1),IF(D1977="Builder",CapBuilder,CapSingle)*Unit),2)))</f>
        <v/>
      </c>
      <c r="L1977" s="10" t="n"/>
      <c r="N1977" s="10" t="n"/>
      <c r="O1977" s="10">
        <f>IF(L1977="","",IF(M1977="Won",L1977*G1977,IF(M1977="Void",L1977,IF(M1977="Cash out",N(N1977),IF(M1977="Lost",0,"")))))</f>
        <v/>
      </c>
      <c r="P1977" s="10">
        <f>IF(OR(L1977="",M1977="",M1977="Pending"),"",O1977-L1977)</f>
        <v/>
      </c>
      <c r="Q1977" s="21" t="n"/>
      <c r="R1977" s="11">
        <f>IF(OR(G1977="",Q1977=""),"",G1977/Q1977-1)</f>
        <v/>
      </c>
      <c r="S1977" s="10">
        <f>IF(OR(L1977="",J1977=""),"",L1977*J1977)</f>
        <v/>
      </c>
      <c r="T1977" s="10">
        <f>IF(P1977="","",StartBank+SUM(P$2:P1977))</f>
        <v/>
      </c>
    </row>
    <row r="1978">
      <c r="A1978" s="22" t="n"/>
      <c r="G1978" s="21" t="n"/>
      <c r="H1978" s="11" t="n"/>
      <c r="I1978" s="21">
        <f>IF(OR(H1978="",H1978=0),"",1/H1978)</f>
        <v/>
      </c>
      <c r="J1978" s="11">
        <f>IF(OR(G1978="",H1978=""),"",H1978*G1978-1)</f>
        <v/>
      </c>
      <c r="K1978" s="10">
        <f>IF(OR(G1978="",H1978="",G1978&lt;=1),"",IF(J1978&lt;IF(D1978="Builder",MinEdgeBuilder,IF(D1978="Player",MinEdgePlayer,MinEdgeSingle)),0,ROUND(MIN(IF(D1978="Single",KellySingle,KellyBuilder)*(StartBank+SUM(P$1:P1977))*J1978/(G1978-1),IF(D1978="Builder",CapBuilder,CapSingle)*Unit),2)))</f>
        <v/>
      </c>
      <c r="L1978" s="10" t="n"/>
      <c r="N1978" s="10" t="n"/>
      <c r="O1978" s="10">
        <f>IF(L1978="","",IF(M1978="Won",L1978*G1978,IF(M1978="Void",L1978,IF(M1978="Cash out",N(N1978),IF(M1978="Lost",0,"")))))</f>
        <v/>
      </c>
      <c r="P1978" s="10">
        <f>IF(OR(L1978="",M1978="",M1978="Pending"),"",O1978-L1978)</f>
        <v/>
      </c>
      <c r="Q1978" s="21" t="n"/>
      <c r="R1978" s="11">
        <f>IF(OR(G1978="",Q1978=""),"",G1978/Q1978-1)</f>
        <v/>
      </c>
      <c r="S1978" s="10">
        <f>IF(OR(L1978="",J1978=""),"",L1978*J1978)</f>
        <v/>
      </c>
      <c r="T1978" s="10">
        <f>IF(P1978="","",StartBank+SUM(P$2:P1978))</f>
        <v/>
      </c>
    </row>
    <row r="1979">
      <c r="A1979" s="22" t="n"/>
      <c r="G1979" s="21" t="n"/>
      <c r="H1979" s="11" t="n"/>
      <c r="I1979" s="21">
        <f>IF(OR(H1979="",H1979=0),"",1/H1979)</f>
        <v/>
      </c>
      <c r="J1979" s="11">
        <f>IF(OR(G1979="",H1979=""),"",H1979*G1979-1)</f>
        <v/>
      </c>
      <c r="K1979" s="10">
        <f>IF(OR(G1979="",H1979="",G1979&lt;=1),"",IF(J1979&lt;IF(D1979="Builder",MinEdgeBuilder,IF(D1979="Player",MinEdgePlayer,MinEdgeSingle)),0,ROUND(MIN(IF(D1979="Single",KellySingle,KellyBuilder)*(StartBank+SUM(P$1:P1978))*J1979/(G1979-1),IF(D1979="Builder",CapBuilder,CapSingle)*Unit),2)))</f>
        <v/>
      </c>
      <c r="L1979" s="10" t="n"/>
      <c r="N1979" s="10" t="n"/>
      <c r="O1979" s="10">
        <f>IF(L1979="","",IF(M1979="Won",L1979*G1979,IF(M1979="Void",L1979,IF(M1979="Cash out",N(N1979),IF(M1979="Lost",0,"")))))</f>
        <v/>
      </c>
      <c r="P1979" s="10">
        <f>IF(OR(L1979="",M1979="",M1979="Pending"),"",O1979-L1979)</f>
        <v/>
      </c>
      <c r="Q1979" s="21" t="n"/>
      <c r="R1979" s="11">
        <f>IF(OR(G1979="",Q1979=""),"",G1979/Q1979-1)</f>
        <v/>
      </c>
      <c r="S1979" s="10">
        <f>IF(OR(L1979="",J1979=""),"",L1979*J1979)</f>
        <v/>
      </c>
      <c r="T1979" s="10">
        <f>IF(P1979="","",StartBank+SUM(P$2:P1979))</f>
        <v/>
      </c>
    </row>
    <row r="1980">
      <c r="A1980" s="22" t="n"/>
      <c r="G1980" s="21" t="n"/>
      <c r="H1980" s="11" t="n"/>
      <c r="I1980" s="21">
        <f>IF(OR(H1980="",H1980=0),"",1/H1980)</f>
        <v/>
      </c>
      <c r="J1980" s="11">
        <f>IF(OR(G1980="",H1980=""),"",H1980*G1980-1)</f>
        <v/>
      </c>
      <c r="K1980" s="10">
        <f>IF(OR(G1980="",H1980="",G1980&lt;=1),"",IF(J1980&lt;IF(D1980="Builder",MinEdgeBuilder,IF(D1980="Player",MinEdgePlayer,MinEdgeSingle)),0,ROUND(MIN(IF(D1980="Single",KellySingle,KellyBuilder)*(StartBank+SUM(P$1:P1979))*J1980/(G1980-1),IF(D1980="Builder",CapBuilder,CapSingle)*Unit),2)))</f>
        <v/>
      </c>
      <c r="L1980" s="10" t="n"/>
      <c r="N1980" s="10" t="n"/>
      <c r="O1980" s="10">
        <f>IF(L1980="","",IF(M1980="Won",L1980*G1980,IF(M1980="Void",L1980,IF(M1980="Cash out",N(N1980),IF(M1980="Lost",0,"")))))</f>
        <v/>
      </c>
      <c r="P1980" s="10">
        <f>IF(OR(L1980="",M1980="",M1980="Pending"),"",O1980-L1980)</f>
        <v/>
      </c>
      <c r="Q1980" s="21" t="n"/>
      <c r="R1980" s="11">
        <f>IF(OR(G1980="",Q1980=""),"",G1980/Q1980-1)</f>
        <v/>
      </c>
      <c r="S1980" s="10">
        <f>IF(OR(L1980="",J1980=""),"",L1980*J1980)</f>
        <v/>
      </c>
      <c r="T1980" s="10">
        <f>IF(P1980="","",StartBank+SUM(P$2:P1980))</f>
        <v/>
      </c>
    </row>
    <row r="1981">
      <c r="A1981" s="22" t="n"/>
      <c r="G1981" s="21" t="n"/>
      <c r="H1981" s="11" t="n"/>
      <c r="I1981" s="21">
        <f>IF(OR(H1981="",H1981=0),"",1/H1981)</f>
        <v/>
      </c>
      <c r="J1981" s="11">
        <f>IF(OR(G1981="",H1981=""),"",H1981*G1981-1)</f>
        <v/>
      </c>
      <c r="K1981" s="10">
        <f>IF(OR(G1981="",H1981="",G1981&lt;=1),"",IF(J1981&lt;IF(D1981="Builder",MinEdgeBuilder,IF(D1981="Player",MinEdgePlayer,MinEdgeSingle)),0,ROUND(MIN(IF(D1981="Single",KellySingle,KellyBuilder)*(StartBank+SUM(P$1:P1980))*J1981/(G1981-1),IF(D1981="Builder",CapBuilder,CapSingle)*Unit),2)))</f>
        <v/>
      </c>
      <c r="L1981" s="10" t="n"/>
      <c r="N1981" s="10" t="n"/>
      <c r="O1981" s="10">
        <f>IF(L1981="","",IF(M1981="Won",L1981*G1981,IF(M1981="Void",L1981,IF(M1981="Cash out",N(N1981),IF(M1981="Lost",0,"")))))</f>
        <v/>
      </c>
      <c r="P1981" s="10">
        <f>IF(OR(L1981="",M1981="",M1981="Pending"),"",O1981-L1981)</f>
        <v/>
      </c>
      <c r="Q1981" s="21" t="n"/>
      <c r="R1981" s="11">
        <f>IF(OR(G1981="",Q1981=""),"",G1981/Q1981-1)</f>
        <v/>
      </c>
      <c r="S1981" s="10">
        <f>IF(OR(L1981="",J1981=""),"",L1981*J1981)</f>
        <v/>
      </c>
      <c r="T1981" s="10">
        <f>IF(P1981="","",StartBank+SUM(P$2:P1981))</f>
        <v/>
      </c>
    </row>
    <row r="1982">
      <c r="A1982" s="22" t="n"/>
      <c r="G1982" s="21" t="n"/>
      <c r="H1982" s="11" t="n"/>
      <c r="I1982" s="21">
        <f>IF(OR(H1982="",H1982=0),"",1/H1982)</f>
        <v/>
      </c>
      <c r="J1982" s="11">
        <f>IF(OR(G1982="",H1982=""),"",H1982*G1982-1)</f>
        <v/>
      </c>
      <c r="K1982" s="10">
        <f>IF(OR(G1982="",H1982="",G1982&lt;=1),"",IF(J1982&lt;IF(D1982="Builder",MinEdgeBuilder,IF(D1982="Player",MinEdgePlayer,MinEdgeSingle)),0,ROUND(MIN(IF(D1982="Single",KellySingle,KellyBuilder)*(StartBank+SUM(P$1:P1981))*J1982/(G1982-1),IF(D1982="Builder",CapBuilder,CapSingle)*Unit),2)))</f>
        <v/>
      </c>
      <c r="L1982" s="10" t="n"/>
      <c r="N1982" s="10" t="n"/>
      <c r="O1982" s="10">
        <f>IF(L1982="","",IF(M1982="Won",L1982*G1982,IF(M1982="Void",L1982,IF(M1982="Cash out",N(N1982),IF(M1982="Lost",0,"")))))</f>
        <v/>
      </c>
      <c r="P1982" s="10">
        <f>IF(OR(L1982="",M1982="",M1982="Pending"),"",O1982-L1982)</f>
        <v/>
      </c>
      <c r="Q1982" s="21" t="n"/>
      <c r="R1982" s="11">
        <f>IF(OR(G1982="",Q1982=""),"",G1982/Q1982-1)</f>
        <v/>
      </c>
      <c r="S1982" s="10">
        <f>IF(OR(L1982="",J1982=""),"",L1982*J1982)</f>
        <v/>
      </c>
      <c r="T1982" s="10">
        <f>IF(P1982="","",StartBank+SUM(P$2:P1982))</f>
        <v/>
      </c>
    </row>
    <row r="1983">
      <c r="A1983" s="22" t="n"/>
      <c r="G1983" s="21" t="n"/>
      <c r="H1983" s="11" t="n"/>
      <c r="I1983" s="21">
        <f>IF(OR(H1983="",H1983=0),"",1/H1983)</f>
        <v/>
      </c>
      <c r="J1983" s="11">
        <f>IF(OR(G1983="",H1983=""),"",H1983*G1983-1)</f>
        <v/>
      </c>
      <c r="K1983" s="10">
        <f>IF(OR(G1983="",H1983="",G1983&lt;=1),"",IF(J1983&lt;IF(D1983="Builder",MinEdgeBuilder,IF(D1983="Player",MinEdgePlayer,MinEdgeSingle)),0,ROUND(MIN(IF(D1983="Single",KellySingle,KellyBuilder)*(StartBank+SUM(P$1:P1982))*J1983/(G1983-1),IF(D1983="Builder",CapBuilder,CapSingle)*Unit),2)))</f>
        <v/>
      </c>
      <c r="L1983" s="10" t="n"/>
      <c r="N1983" s="10" t="n"/>
      <c r="O1983" s="10">
        <f>IF(L1983="","",IF(M1983="Won",L1983*G1983,IF(M1983="Void",L1983,IF(M1983="Cash out",N(N1983),IF(M1983="Lost",0,"")))))</f>
        <v/>
      </c>
      <c r="P1983" s="10">
        <f>IF(OR(L1983="",M1983="",M1983="Pending"),"",O1983-L1983)</f>
        <v/>
      </c>
      <c r="Q1983" s="21" t="n"/>
      <c r="R1983" s="11">
        <f>IF(OR(G1983="",Q1983=""),"",G1983/Q1983-1)</f>
        <v/>
      </c>
      <c r="S1983" s="10">
        <f>IF(OR(L1983="",J1983=""),"",L1983*J1983)</f>
        <v/>
      </c>
      <c r="T1983" s="10">
        <f>IF(P1983="","",StartBank+SUM(P$2:P1983))</f>
        <v/>
      </c>
    </row>
    <row r="1984">
      <c r="A1984" s="22" t="n"/>
      <c r="G1984" s="21" t="n"/>
      <c r="H1984" s="11" t="n"/>
      <c r="I1984" s="21">
        <f>IF(OR(H1984="",H1984=0),"",1/H1984)</f>
        <v/>
      </c>
      <c r="J1984" s="11">
        <f>IF(OR(G1984="",H1984=""),"",H1984*G1984-1)</f>
        <v/>
      </c>
      <c r="K1984" s="10">
        <f>IF(OR(G1984="",H1984="",G1984&lt;=1),"",IF(J1984&lt;IF(D1984="Builder",MinEdgeBuilder,IF(D1984="Player",MinEdgePlayer,MinEdgeSingle)),0,ROUND(MIN(IF(D1984="Single",KellySingle,KellyBuilder)*(StartBank+SUM(P$1:P1983))*J1984/(G1984-1),IF(D1984="Builder",CapBuilder,CapSingle)*Unit),2)))</f>
        <v/>
      </c>
      <c r="L1984" s="10" t="n"/>
      <c r="N1984" s="10" t="n"/>
      <c r="O1984" s="10">
        <f>IF(L1984="","",IF(M1984="Won",L1984*G1984,IF(M1984="Void",L1984,IF(M1984="Cash out",N(N1984),IF(M1984="Lost",0,"")))))</f>
        <v/>
      </c>
      <c r="P1984" s="10">
        <f>IF(OR(L1984="",M1984="",M1984="Pending"),"",O1984-L1984)</f>
        <v/>
      </c>
      <c r="Q1984" s="21" t="n"/>
      <c r="R1984" s="11">
        <f>IF(OR(G1984="",Q1984=""),"",G1984/Q1984-1)</f>
        <v/>
      </c>
      <c r="S1984" s="10">
        <f>IF(OR(L1984="",J1984=""),"",L1984*J1984)</f>
        <v/>
      </c>
      <c r="T1984" s="10">
        <f>IF(P1984="","",StartBank+SUM(P$2:P1984))</f>
        <v/>
      </c>
    </row>
    <row r="1985">
      <c r="A1985" s="22" t="n"/>
      <c r="G1985" s="21" t="n"/>
      <c r="H1985" s="11" t="n"/>
      <c r="I1985" s="21">
        <f>IF(OR(H1985="",H1985=0),"",1/H1985)</f>
        <v/>
      </c>
      <c r="J1985" s="11">
        <f>IF(OR(G1985="",H1985=""),"",H1985*G1985-1)</f>
        <v/>
      </c>
      <c r="K1985" s="10">
        <f>IF(OR(G1985="",H1985="",G1985&lt;=1),"",IF(J1985&lt;IF(D1985="Builder",MinEdgeBuilder,IF(D1985="Player",MinEdgePlayer,MinEdgeSingle)),0,ROUND(MIN(IF(D1985="Single",KellySingle,KellyBuilder)*(StartBank+SUM(P$1:P1984))*J1985/(G1985-1),IF(D1985="Builder",CapBuilder,CapSingle)*Unit),2)))</f>
        <v/>
      </c>
      <c r="L1985" s="10" t="n"/>
      <c r="N1985" s="10" t="n"/>
      <c r="O1985" s="10">
        <f>IF(L1985="","",IF(M1985="Won",L1985*G1985,IF(M1985="Void",L1985,IF(M1985="Cash out",N(N1985),IF(M1985="Lost",0,"")))))</f>
        <v/>
      </c>
      <c r="P1985" s="10">
        <f>IF(OR(L1985="",M1985="",M1985="Pending"),"",O1985-L1985)</f>
        <v/>
      </c>
      <c r="Q1985" s="21" t="n"/>
      <c r="R1985" s="11">
        <f>IF(OR(G1985="",Q1985=""),"",G1985/Q1985-1)</f>
        <v/>
      </c>
      <c r="S1985" s="10">
        <f>IF(OR(L1985="",J1985=""),"",L1985*J1985)</f>
        <v/>
      </c>
      <c r="T1985" s="10">
        <f>IF(P1985="","",StartBank+SUM(P$2:P1985))</f>
        <v/>
      </c>
    </row>
    <row r="1986">
      <c r="A1986" s="22" t="n"/>
      <c r="G1986" s="21" t="n"/>
      <c r="H1986" s="11" t="n"/>
      <c r="I1986" s="21">
        <f>IF(OR(H1986="",H1986=0),"",1/H1986)</f>
        <v/>
      </c>
      <c r="J1986" s="11">
        <f>IF(OR(G1986="",H1986=""),"",H1986*G1986-1)</f>
        <v/>
      </c>
      <c r="K1986" s="10">
        <f>IF(OR(G1986="",H1986="",G1986&lt;=1),"",IF(J1986&lt;IF(D1986="Builder",MinEdgeBuilder,IF(D1986="Player",MinEdgePlayer,MinEdgeSingle)),0,ROUND(MIN(IF(D1986="Single",KellySingle,KellyBuilder)*(StartBank+SUM(P$1:P1985))*J1986/(G1986-1),IF(D1986="Builder",CapBuilder,CapSingle)*Unit),2)))</f>
        <v/>
      </c>
      <c r="L1986" s="10" t="n"/>
      <c r="N1986" s="10" t="n"/>
      <c r="O1986" s="10">
        <f>IF(L1986="","",IF(M1986="Won",L1986*G1986,IF(M1986="Void",L1986,IF(M1986="Cash out",N(N1986),IF(M1986="Lost",0,"")))))</f>
        <v/>
      </c>
      <c r="P1986" s="10">
        <f>IF(OR(L1986="",M1986="",M1986="Pending"),"",O1986-L1986)</f>
        <v/>
      </c>
      <c r="Q1986" s="21" t="n"/>
      <c r="R1986" s="11">
        <f>IF(OR(G1986="",Q1986=""),"",G1986/Q1986-1)</f>
        <v/>
      </c>
      <c r="S1986" s="10">
        <f>IF(OR(L1986="",J1986=""),"",L1986*J1986)</f>
        <v/>
      </c>
      <c r="T1986" s="10">
        <f>IF(P1986="","",StartBank+SUM(P$2:P1986))</f>
        <v/>
      </c>
    </row>
    <row r="1987">
      <c r="A1987" s="22" t="n"/>
      <c r="G1987" s="21" t="n"/>
      <c r="H1987" s="11" t="n"/>
      <c r="I1987" s="21">
        <f>IF(OR(H1987="",H1987=0),"",1/H1987)</f>
        <v/>
      </c>
      <c r="J1987" s="11">
        <f>IF(OR(G1987="",H1987=""),"",H1987*G1987-1)</f>
        <v/>
      </c>
      <c r="K1987" s="10">
        <f>IF(OR(G1987="",H1987="",G1987&lt;=1),"",IF(J1987&lt;IF(D1987="Builder",MinEdgeBuilder,IF(D1987="Player",MinEdgePlayer,MinEdgeSingle)),0,ROUND(MIN(IF(D1987="Single",KellySingle,KellyBuilder)*(StartBank+SUM(P$1:P1986))*J1987/(G1987-1),IF(D1987="Builder",CapBuilder,CapSingle)*Unit),2)))</f>
        <v/>
      </c>
      <c r="L1987" s="10" t="n"/>
      <c r="N1987" s="10" t="n"/>
      <c r="O1987" s="10">
        <f>IF(L1987="","",IF(M1987="Won",L1987*G1987,IF(M1987="Void",L1987,IF(M1987="Cash out",N(N1987),IF(M1987="Lost",0,"")))))</f>
        <v/>
      </c>
      <c r="P1987" s="10">
        <f>IF(OR(L1987="",M1987="",M1987="Pending"),"",O1987-L1987)</f>
        <v/>
      </c>
      <c r="Q1987" s="21" t="n"/>
      <c r="R1987" s="11">
        <f>IF(OR(G1987="",Q1987=""),"",G1987/Q1987-1)</f>
        <v/>
      </c>
      <c r="S1987" s="10">
        <f>IF(OR(L1987="",J1987=""),"",L1987*J1987)</f>
        <v/>
      </c>
      <c r="T1987" s="10">
        <f>IF(P1987="","",StartBank+SUM(P$2:P1987))</f>
        <v/>
      </c>
    </row>
    <row r="1988">
      <c r="A1988" s="22" t="n"/>
      <c r="G1988" s="21" t="n"/>
      <c r="H1988" s="11" t="n"/>
      <c r="I1988" s="21">
        <f>IF(OR(H1988="",H1988=0),"",1/H1988)</f>
        <v/>
      </c>
      <c r="J1988" s="11">
        <f>IF(OR(G1988="",H1988=""),"",H1988*G1988-1)</f>
        <v/>
      </c>
      <c r="K1988" s="10">
        <f>IF(OR(G1988="",H1988="",G1988&lt;=1),"",IF(J1988&lt;IF(D1988="Builder",MinEdgeBuilder,IF(D1988="Player",MinEdgePlayer,MinEdgeSingle)),0,ROUND(MIN(IF(D1988="Single",KellySingle,KellyBuilder)*(StartBank+SUM(P$1:P1987))*J1988/(G1988-1),IF(D1988="Builder",CapBuilder,CapSingle)*Unit),2)))</f>
        <v/>
      </c>
      <c r="L1988" s="10" t="n"/>
      <c r="N1988" s="10" t="n"/>
      <c r="O1988" s="10">
        <f>IF(L1988="","",IF(M1988="Won",L1988*G1988,IF(M1988="Void",L1988,IF(M1988="Cash out",N(N1988),IF(M1988="Lost",0,"")))))</f>
        <v/>
      </c>
      <c r="P1988" s="10">
        <f>IF(OR(L1988="",M1988="",M1988="Pending"),"",O1988-L1988)</f>
        <v/>
      </c>
      <c r="Q1988" s="21" t="n"/>
      <c r="R1988" s="11">
        <f>IF(OR(G1988="",Q1988=""),"",G1988/Q1988-1)</f>
        <v/>
      </c>
      <c r="S1988" s="10">
        <f>IF(OR(L1988="",J1988=""),"",L1988*J1988)</f>
        <v/>
      </c>
      <c r="T1988" s="10">
        <f>IF(P1988="","",StartBank+SUM(P$2:P1988))</f>
        <v/>
      </c>
    </row>
    <row r="1989">
      <c r="A1989" s="22" t="n"/>
      <c r="G1989" s="21" t="n"/>
      <c r="H1989" s="11" t="n"/>
      <c r="I1989" s="21">
        <f>IF(OR(H1989="",H1989=0),"",1/H1989)</f>
        <v/>
      </c>
      <c r="J1989" s="11">
        <f>IF(OR(G1989="",H1989=""),"",H1989*G1989-1)</f>
        <v/>
      </c>
      <c r="K1989" s="10">
        <f>IF(OR(G1989="",H1989="",G1989&lt;=1),"",IF(J1989&lt;IF(D1989="Builder",MinEdgeBuilder,IF(D1989="Player",MinEdgePlayer,MinEdgeSingle)),0,ROUND(MIN(IF(D1989="Single",KellySingle,KellyBuilder)*(StartBank+SUM(P$1:P1988))*J1989/(G1989-1),IF(D1989="Builder",CapBuilder,CapSingle)*Unit),2)))</f>
        <v/>
      </c>
      <c r="L1989" s="10" t="n"/>
      <c r="N1989" s="10" t="n"/>
      <c r="O1989" s="10">
        <f>IF(L1989="","",IF(M1989="Won",L1989*G1989,IF(M1989="Void",L1989,IF(M1989="Cash out",N(N1989),IF(M1989="Lost",0,"")))))</f>
        <v/>
      </c>
      <c r="P1989" s="10">
        <f>IF(OR(L1989="",M1989="",M1989="Pending"),"",O1989-L1989)</f>
        <v/>
      </c>
      <c r="Q1989" s="21" t="n"/>
      <c r="R1989" s="11">
        <f>IF(OR(G1989="",Q1989=""),"",G1989/Q1989-1)</f>
        <v/>
      </c>
      <c r="S1989" s="10">
        <f>IF(OR(L1989="",J1989=""),"",L1989*J1989)</f>
        <v/>
      </c>
      <c r="T1989" s="10">
        <f>IF(P1989="","",StartBank+SUM(P$2:P1989))</f>
        <v/>
      </c>
    </row>
    <row r="1990">
      <c r="A1990" s="22" t="n"/>
      <c r="G1990" s="21" t="n"/>
      <c r="H1990" s="11" t="n"/>
      <c r="I1990" s="21">
        <f>IF(OR(H1990="",H1990=0),"",1/H1990)</f>
        <v/>
      </c>
      <c r="J1990" s="11">
        <f>IF(OR(G1990="",H1990=""),"",H1990*G1990-1)</f>
        <v/>
      </c>
      <c r="K1990" s="10">
        <f>IF(OR(G1990="",H1990="",G1990&lt;=1),"",IF(J1990&lt;IF(D1990="Builder",MinEdgeBuilder,IF(D1990="Player",MinEdgePlayer,MinEdgeSingle)),0,ROUND(MIN(IF(D1990="Single",KellySingle,KellyBuilder)*(StartBank+SUM(P$1:P1989))*J1990/(G1990-1),IF(D1990="Builder",CapBuilder,CapSingle)*Unit),2)))</f>
        <v/>
      </c>
      <c r="L1990" s="10" t="n"/>
      <c r="N1990" s="10" t="n"/>
      <c r="O1990" s="10">
        <f>IF(L1990="","",IF(M1990="Won",L1990*G1990,IF(M1990="Void",L1990,IF(M1990="Cash out",N(N1990),IF(M1990="Lost",0,"")))))</f>
        <v/>
      </c>
      <c r="P1990" s="10">
        <f>IF(OR(L1990="",M1990="",M1990="Pending"),"",O1990-L1990)</f>
        <v/>
      </c>
      <c r="Q1990" s="21" t="n"/>
      <c r="R1990" s="11">
        <f>IF(OR(G1990="",Q1990=""),"",G1990/Q1990-1)</f>
        <v/>
      </c>
      <c r="S1990" s="10">
        <f>IF(OR(L1990="",J1990=""),"",L1990*J1990)</f>
        <v/>
      </c>
      <c r="T1990" s="10">
        <f>IF(P1990="","",StartBank+SUM(P$2:P1990))</f>
        <v/>
      </c>
    </row>
    <row r="1991">
      <c r="A1991" s="22" t="n"/>
      <c r="G1991" s="21" t="n"/>
      <c r="H1991" s="11" t="n"/>
      <c r="I1991" s="21">
        <f>IF(OR(H1991="",H1991=0),"",1/H1991)</f>
        <v/>
      </c>
      <c r="J1991" s="11">
        <f>IF(OR(G1991="",H1991=""),"",H1991*G1991-1)</f>
        <v/>
      </c>
      <c r="K1991" s="10">
        <f>IF(OR(G1991="",H1991="",G1991&lt;=1),"",IF(J1991&lt;IF(D1991="Builder",MinEdgeBuilder,IF(D1991="Player",MinEdgePlayer,MinEdgeSingle)),0,ROUND(MIN(IF(D1991="Single",KellySingle,KellyBuilder)*(StartBank+SUM(P$1:P1990))*J1991/(G1991-1),IF(D1991="Builder",CapBuilder,CapSingle)*Unit),2)))</f>
        <v/>
      </c>
      <c r="L1991" s="10" t="n"/>
      <c r="N1991" s="10" t="n"/>
      <c r="O1991" s="10">
        <f>IF(L1991="","",IF(M1991="Won",L1991*G1991,IF(M1991="Void",L1991,IF(M1991="Cash out",N(N1991),IF(M1991="Lost",0,"")))))</f>
        <v/>
      </c>
      <c r="P1991" s="10">
        <f>IF(OR(L1991="",M1991="",M1991="Pending"),"",O1991-L1991)</f>
        <v/>
      </c>
      <c r="Q1991" s="21" t="n"/>
      <c r="R1991" s="11">
        <f>IF(OR(G1991="",Q1991=""),"",G1991/Q1991-1)</f>
        <v/>
      </c>
      <c r="S1991" s="10">
        <f>IF(OR(L1991="",J1991=""),"",L1991*J1991)</f>
        <v/>
      </c>
      <c r="T1991" s="10">
        <f>IF(P1991="","",StartBank+SUM(P$2:P1991))</f>
        <v/>
      </c>
    </row>
    <row r="1992">
      <c r="A1992" s="22" t="n"/>
      <c r="G1992" s="21" t="n"/>
      <c r="H1992" s="11" t="n"/>
      <c r="I1992" s="21">
        <f>IF(OR(H1992="",H1992=0),"",1/H1992)</f>
        <v/>
      </c>
      <c r="J1992" s="11">
        <f>IF(OR(G1992="",H1992=""),"",H1992*G1992-1)</f>
        <v/>
      </c>
      <c r="K1992" s="10">
        <f>IF(OR(G1992="",H1992="",G1992&lt;=1),"",IF(J1992&lt;IF(D1992="Builder",MinEdgeBuilder,IF(D1992="Player",MinEdgePlayer,MinEdgeSingle)),0,ROUND(MIN(IF(D1992="Single",KellySingle,KellyBuilder)*(StartBank+SUM(P$1:P1991))*J1992/(G1992-1),IF(D1992="Builder",CapBuilder,CapSingle)*Unit),2)))</f>
        <v/>
      </c>
      <c r="L1992" s="10" t="n"/>
      <c r="N1992" s="10" t="n"/>
      <c r="O1992" s="10">
        <f>IF(L1992="","",IF(M1992="Won",L1992*G1992,IF(M1992="Void",L1992,IF(M1992="Cash out",N(N1992),IF(M1992="Lost",0,"")))))</f>
        <v/>
      </c>
      <c r="P1992" s="10">
        <f>IF(OR(L1992="",M1992="",M1992="Pending"),"",O1992-L1992)</f>
        <v/>
      </c>
      <c r="Q1992" s="21" t="n"/>
      <c r="R1992" s="11">
        <f>IF(OR(G1992="",Q1992=""),"",G1992/Q1992-1)</f>
        <v/>
      </c>
      <c r="S1992" s="10">
        <f>IF(OR(L1992="",J1992=""),"",L1992*J1992)</f>
        <v/>
      </c>
      <c r="T1992" s="10">
        <f>IF(P1992="","",StartBank+SUM(P$2:P1992))</f>
        <v/>
      </c>
    </row>
    <row r="1993">
      <c r="A1993" s="22" t="n"/>
      <c r="G1993" s="21" t="n"/>
      <c r="H1993" s="11" t="n"/>
      <c r="I1993" s="21">
        <f>IF(OR(H1993="",H1993=0),"",1/H1993)</f>
        <v/>
      </c>
      <c r="J1993" s="11">
        <f>IF(OR(G1993="",H1993=""),"",H1993*G1993-1)</f>
        <v/>
      </c>
      <c r="K1993" s="10">
        <f>IF(OR(G1993="",H1993="",G1993&lt;=1),"",IF(J1993&lt;IF(D1993="Builder",MinEdgeBuilder,IF(D1993="Player",MinEdgePlayer,MinEdgeSingle)),0,ROUND(MIN(IF(D1993="Single",KellySingle,KellyBuilder)*(StartBank+SUM(P$1:P1992))*J1993/(G1993-1),IF(D1993="Builder",CapBuilder,CapSingle)*Unit),2)))</f>
        <v/>
      </c>
      <c r="L1993" s="10" t="n"/>
      <c r="N1993" s="10" t="n"/>
      <c r="O1993" s="10">
        <f>IF(L1993="","",IF(M1993="Won",L1993*G1993,IF(M1993="Void",L1993,IF(M1993="Cash out",N(N1993),IF(M1993="Lost",0,"")))))</f>
        <v/>
      </c>
      <c r="P1993" s="10">
        <f>IF(OR(L1993="",M1993="",M1993="Pending"),"",O1993-L1993)</f>
        <v/>
      </c>
      <c r="Q1993" s="21" t="n"/>
      <c r="R1993" s="11">
        <f>IF(OR(G1993="",Q1993=""),"",G1993/Q1993-1)</f>
        <v/>
      </c>
      <c r="S1993" s="10">
        <f>IF(OR(L1993="",J1993=""),"",L1993*J1993)</f>
        <v/>
      </c>
      <c r="T1993" s="10">
        <f>IF(P1993="","",StartBank+SUM(P$2:P1993))</f>
        <v/>
      </c>
    </row>
    <row r="1994">
      <c r="A1994" s="22" t="n"/>
      <c r="G1994" s="21" t="n"/>
      <c r="H1994" s="11" t="n"/>
      <c r="I1994" s="21">
        <f>IF(OR(H1994="",H1994=0),"",1/H1994)</f>
        <v/>
      </c>
      <c r="J1994" s="11">
        <f>IF(OR(G1994="",H1994=""),"",H1994*G1994-1)</f>
        <v/>
      </c>
      <c r="K1994" s="10">
        <f>IF(OR(G1994="",H1994="",G1994&lt;=1),"",IF(J1994&lt;IF(D1994="Builder",MinEdgeBuilder,IF(D1994="Player",MinEdgePlayer,MinEdgeSingle)),0,ROUND(MIN(IF(D1994="Single",KellySingle,KellyBuilder)*(StartBank+SUM(P$1:P1993))*J1994/(G1994-1),IF(D1994="Builder",CapBuilder,CapSingle)*Unit),2)))</f>
        <v/>
      </c>
      <c r="L1994" s="10" t="n"/>
      <c r="N1994" s="10" t="n"/>
      <c r="O1994" s="10">
        <f>IF(L1994="","",IF(M1994="Won",L1994*G1994,IF(M1994="Void",L1994,IF(M1994="Cash out",N(N1994),IF(M1994="Lost",0,"")))))</f>
        <v/>
      </c>
      <c r="P1994" s="10">
        <f>IF(OR(L1994="",M1994="",M1994="Pending"),"",O1994-L1994)</f>
        <v/>
      </c>
      <c r="Q1994" s="21" t="n"/>
      <c r="R1994" s="11">
        <f>IF(OR(G1994="",Q1994=""),"",G1994/Q1994-1)</f>
        <v/>
      </c>
      <c r="S1994" s="10">
        <f>IF(OR(L1994="",J1994=""),"",L1994*J1994)</f>
        <v/>
      </c>
      <c r="T1994" s="10">
        <f>IF(P1994="","",StartBank+SUM(P$2:P1994))</f>
        <v/>
      </c>
    </row>
    <row r="1995">
      <c r="A1995" s="22" t="n"/>
      <c r="G1995" s="21" t="n"/>
      <c r="H1995" s="11" t="n"/>
      <c r="I1995" s="21">
        <f>IF(OR(H1995="",H1995=0),"",1/H1995)</f>
        <v/>
      </c>
      <c r="J1995" s="11">
        <f>IF(OR(G1995="",H1995=""),"",H1995*G1995-1)</f>
        <v/>
      </c>
      <c r="K1995" s="10">
        <f>IF(OR(G1995="",H1995="",G1995&lt;=1),"",IF(J1995&lt;IF(D1995="Builder",MinEdgeBuilder,IF(D1995="Player",MinEdgePlayer,MinEdgeSingle)),0,ROUND(MIN(IF(D1995="Single",KellySingle,KellyBuilder)*(StartBank+SUM(P$1:P1994))*J1995/(G1995-1),IF(D1995="Builder",CapBuilder,CapSingle)*Unit),2)))</f>
        <v/>
      </c>
      <c r="L1995" s="10" t="n"/>
      <c r="N1995" s="10" t="n"/>
      <c r="O1995" s="10">
        <f>IF(L1995="","",IF(M1995="Won",L1995*G1995,IF(M1995="Void",L1995,IF(M1995="Cash out",N(N1995),IF(M1995="Lost",0,"")))))</f>
        <v/>
      </c>
      <c r="P1995" s="10">
        <f>IF(OR(L1995="",M1995="",M1995="Pending"),"",O1995-L1995)</f>
        <v/>
      </c>
      <c r="Q1995" s="21" t="n"/>
      <c r="R1995" s="11">
        <f>IF(OR(G1995="",Q1995=""),"",G1995/Q1995-1)</f>
        <v/>
      </c>
      <c r="S1995" s="10">
        <f>IF(OR(L1995="",J1995=""),"",L1995*J1995)</f>
        <v/>
      </c>
      <c r="T1995" s="10">
        <f>IF(P1995="","",StartBank+SUM(P$2:P1995))</f>
        <v/>
      </c>
    </row>
    <row r="1996">
      <c r="A1996" s="22" t="n"/>
      <c r="G1996" s="21" t="n"/>
      <c r="H1996" s="11" t="n"/>
      <c r="I1996" s="21">
        <f>IF(OR(H1996="",H1996=0),"",1/H1996)</f>
        <v/>
      </c>
      <c r="J1996" s="11">
        <f>IF(OR(G1996="",H1996=""),"",H1996*G1996-1)</f>
        <v/>
      </c>
      <c r="K1996" s="10">
        <f>IF(OR(G1996="",H1996="",G1996&lt;=1),"",IF(J1996&lt;IF(D1996="Builder",MinEdgeBuilder,IF(D1996="Player",MinEdgePlayer,MinEdgeSingle)),0,ROUND(MIN(IF(D1996="Single",KellySingle,KellyBuilder)*(StartBank+SUM(P$1:P1995))*J1996/(G1996-1),IF(D1996="Builder",CapBuilder,CapSingle)*Unit),2)))</f>
        <v/>
      </c>
      <c r="L1996" s="10" t="n"/>
      <c r="N1996" s="10" t="n"/>
      <c r="O1996" s="10">
        <f>IF(L1996="","",IF(M1996="Won",L1996*G1996,IF(M1996="Void",L1996,IF(M1996="Cash out",N(N1996),IF(M1996="Lost",0,"")))))</f>
        <v/>
      </c>
      <c r="P1996" s="10">
        <f>IF(OR(L1996="",M1996="",M1996="Pending"),"",O1996-L1996)</f>
        <v/>
      </c>
      <c r="Q1996" s="21" t="n"/>
      <c r="R1996" s="11">
        <f>IF(OR(G1996="",Q1996=""),"",G1996/Q1996-1)</f>
        <v/>
      </c>
      <c r="S1996" s="10">
        <f>IF(OR(L1996="",J1996=""),"",L1996*J1996)</f>
        <v/>
      </c>
      <c r="T1996" s="10">
        <f>IF(P1996="","",StartBank+SUM(P$2:P1996))</f>
        <v/>
      </c>
    </row>
    <row r="1997">
      <c r="A1997" s="22" t="n"/>
      <c r="G1997" s="21" t="n"/>
      <c r="H1997" s="11" t="n"/>
      <c r="I1997" s="21">
        <f>IF(OR(H1997="",H1997=0),"",1/H1997)</f>
        <v/>
      </c>
      <c r="J1997" s="11">
        <f>IF(OR(G1997="",H1997=""),"",H1997*G1997-1)</f>
        <v/>
      </c>
      <c r="K1997" s="10">
        <f>IF(OR(G1997="",H1997="",G1997&lt;=1),"",IF(J1997&lt;IF(D1997="Builder",MinEdgeBuilder,IF(D1997="Player",MinEdgePlayer,MinEdgeSingle)),0,ROUND(MIN(IF(D1997="Single",KellySingle,KellyBuilder)*(StartBank+SUM(P$1:P1996))*J1997/(G1997-1),IF(D1997="Builder",CapBuilder,CapSingle)*Unit),2)))</f>
        <v/>
      </c>
      <c r="L1997" s="10" t="n"/>
      <c r="N1997" s="10" t="n"/>
      <c r="O1997" s="10">
        <f>IF(L1997="","",IF(M1997="Won",L1997*G1997,IF(M1997="Void",L1997,IF(M1997="Cash out",N(N1997),IF(M1997="Lost",0,"")))))</f>
        <v/>
      </c>
      <c r="P1997" s="10">
        <f>IF(OR(L1997="",M1997="",M1997="Pending"),"",O1997-L1997)</f>
        <v/>
      </c>
      <c r="Q1997" s="21" t="n"/>
      <c r="R1997" s="11">
        <f>IF(OR(G1997="",Q1997=""),"",G1997/Q1997-1)</f>
        <v/>
      </c>
      <c r="S1997" s="10">
        <f>IF(OR(L1997="",J1997=""),"",L1997*J1997)</f>
        <v/>
      </c>
      <c r="T1997" s="10">
        <f>IF(P1997="","",StartBank+SUM(P$2:P1997))</f>
        <v/>
      </c>
    </row>
    <row r="1998">
      <c r="A1998" s="22" t="n"/>
      <c r="G1998" s="21" t="n"/>
      <c r="H1998" s="11" t="n"/>
      <c r="I1998" s="21">
        <f>IF(OR(H1998="",H1998=0),"",1/H1998)</f>
        <v/>
      </c>
      <c r="J1998" s="11">
        <f>IF(OR(G1998="",H1998=""),"",H1998*G1998-1)</f>
        <v/>
      </c>
      <c r="K1998" s="10">
        <f>IF(OR(G1998="",H1998="",G1998&lt;=1),"",IF(J1998&lt;IF(D1998="Builder",MinEdgeBuilder,IF(D1998="Player",MinEdgePlayer,MinEdgeSingle)),0,ROUND(MIN(IF(D1998="Single",KellySingle,KellyBuilder)*(StartBank+SUM(P$1:P1997))*J1998/(G1998-1),IF(D1998="Builder",CapBuilder,CapSingle)*Unit),2)))</f>
        <v/>
      </c>
      <c r="L1998" s="10" t="n"/>
      <c r="N1998" s="10" t="n"/>
      <c r="O1998" s="10">
        <f>IF(L1998="","",IF(M1998="Won",L1998*G1998,IF(M1998="Void",L1998,IF(M1998="Cash out",N(N1998),IF(M1998="Lost",0,"")))))</f>
        <v/>
      </c>
      <c r="P1998" s="10">
        <f>IF(OR(L1998="",M1998="",M1998="Pending"),"",O1998-L1998)</f>
        <v/>
      </c>
      <c r="Q1998" s="21" t="n"/>
      <c r="R1998" s="11">
        <f>IF(OR(G1998="",Q1998=""),"",G1998/Q1998-1)</f>
        <v/>
      </c>
      <c r="S1998" s="10">
        <f>IF(OR(L1998="",J1998=""),"",L1998*J1998)</f>
        <v/>
      </c>
      <c r="T1998" s="10">
        <f>IF(P1998="","",StartBank+SUM(P$2:P1998))</f>
        <v/>
      </c>
    </row>
    <row r="1999">
      <c r="A1999" s="22" t="n"/>
      <c r="G1999" s="21" t="n"/>
      <c r="H1999" s="11" t="n"/>
      <c r="I1999" s="21">
        <f>IF(OR(H1999="",H1999=0),"",1/H1999)</f>
        <v/>
      </c>
      <c r="J1999" s="11">
        <f>IF(OR(G1999="",H1999=""),"",H1999*G1999-1)</f>
        <v/>
      </c>
      <c r="K1999" s="10">
        <f>IF(OR(G1999="",H1999="",G1999&lt;=1),"",IF(J1999&lt;IF(D1999="Builder",MinEdgeBuilder,IF(D1999="Player",MinEdgePlayer,MinEdgeSingle)),0,ROUND(MIN(IF(D1999="Single",KellySingle,KellyBuilder)*(StartBank+SUM(P$1:P1998))*J1999/(G1999-1),IF(D1999="Builder",CapBuilder,CapSingle)*Unit),2)))</f>
        <v/>
      </c>
      <c r="L1999" s="10" t="n"/>
      <c r="N1999" s="10" t="n"/>
      <c r="O1999" s="10">
        <f>IF(L1999="","",IF(M1999="Won",L1999*G1999,IF(M1999="Void",L1999,IF(M1999="Cash out",N(N1999),IF(M1999="Lost",0,"")))))</f>
        <v/>
      </c>
      <c r="P1999" s="10">
        <f>IF(OR(L1999="",M1999="",M1999="Pending"),"",O1999-L1999)</f>
        <v/>
      </c>
      <c r="Q1999" s="21" t="n"/>
      <c r="R1999" s="11">
        <f>IF(OR(G1999="",Q1999=""),"",G1999/Q1999-1)</f>
        <v/>
      </c>
      <c r="S1999" s="10">
        <f>IF(OR(L1999="",J1999=""),"",L1999*J1999)</f>
        <v/>
      </c>
      <c r="T1999" s="10">
        <f>IF(P1999="","",StartBank+SUM(P$2:P1999))</f>
        <v/>
      </c>
    </row>
    <row r="2000">
      <c r="A2000" s="22" t="n"/>
      <c r="G2000" s="21" t="n"/>
      <c r="H2000" s="11" t="n"/>
      <c r="I2000" s="21">
        <f>IF(OR(H2000="",H2000=0),"",1/H2000)</f>
        <v/>
      </c>
      <c r="J2000" s="11">
        <f>IF(OR(G2000="",H2000=""),"",H2000*G2000-1)</f>
        <v/>
      </c>
      <c r="K2000" s="10">
        <f>IF(OR(G2000="",H2000="",G2000&lt;=1),"",IF(J2000&lt;IF(D2000="Builder",MinEdgeBuilder,IF(D2000="Player",MinEdgePlayer,MinEdgeSingle)),0,ROUND(MIN(IF(D2000="Single",KellySingle,KellyBuilder)*(StartBank+SUM(P$1:P1999))*J2000/(G2000-1),IF(D2000="Builder",CapBuilder,CapSingle)*Unit),2)))</f>
        <v/>
      </c>
      <c r="L2000" s="10" t="n"/>
      <c r="N2000" s="10" t="n"/>
      <c r="O2000" s="10">
        <f>IF(L2000="","",IF(M2000="Won",L2000*G2000,IF(M2000="Void",L2000,IF(M2000="Cash out",N(N2000),IF(M2000="Lost",0,"")))))</f>
        <v/>
      </c>
      <c r="P2000" s="10">
        <f>IF(OR(L2000="",M2000="",M2000="Pending"),"",O2000-L2000)</f>
        <v/>
      </c>
      <c r="Q2000" s="21" t="n"/>
      <c r="R2000" s="11">
        <f>IF(OR(G2000="",Q2000=""),"",G2000/Q2000-1)</f>
        <v/>
      </c>
      <c r="S2000" s="10">
        <f>IF(OR(L2000="",J2000=""),"",L2000*J2000)</f>
        <v/>
      </c>
      <c r="T2000" s="10">
        <f>IF(P2000="","",StartBank+SUM(P$2:P2000))</f>
        <v/>
      </c>
    </row>
    <row r="2001">
      <c r="A2001" s="22" t="n"/>
      <c r="G2001" s="21" t="n"/>
      <c r="H2001" s="11" t="n"/>
      <c r="I2001" s="21">
        <f>IF(OR(H2001="",H2001=0),"",1/H2001)</f>
        <v/>
      </c>
      <c r="J2001" s="11">
        <f>IF(OR(G2001="",H2001=""),"",H2001*G2001-1)</f>
        <v/>
      </c>
      <c r="K2001" s="10">
        <f>IF(OR(G2001="",H2001="",G2001&lt;=1),"",IF(J2001&lt;IF(D2001="Builder",MinEdgeBuilder,IF(D2001="Player",MinEdgePlayer,MinEdgeSingle)),0,ROUND(MIN(IF(D2001="Single",KellySingle,KellyBuilder)*(StartBank+SUM(P$1:P2000))*J2001/(G2001-1),IF(D2001="Builder",CapBuilder,CapSingle)*Unit),2)))</f>
        <v/>
      </c>
      <c r="L2001" s="10" t="n"/>
      <c r="N2001" s="10" t="n"/>
      <c r="O2001" s="10">
        <f>IF(L2001="","",IF(M2001="Won",L2001*G2001,IF(M2001="Void",L2001,IF(M2001="Cash out",N(N2001),IF(M2001="Lost",0,"")))))</f>
        <v/>
      </c>
      <c r="P2001" s="10">
        <f>IF(OR(L2001="",M2001="",M2001="Pending"),"",O2001-L2001)</f>
        <v/>
      </c>
      <c r="Q2001" s="21" t="n"/>
      <c r="R2001" s="11">
        <f>IF(OR(G2001="",Q2001=""),"",G2001/Q2001-1)</f>
        <v/>
      </c>
      <c r="S2001" s="10">
        <f>IF(OR(L2001="",J2001=""),"",L2001*J2001)</f>
        <v/>
      </c>
      <c r="T2001" s="10">
        <f>IF(P2001="","",StartBank+SUM(P$2:P2001))</f>
        <v/>
      </c>
    </row>
  </sheetData>
  <conditionalFormatting sqref="P2:P2001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3">
    <dataValidation sqref="D2:D2001" showDropDown="0" showInputMessage="0" showErrorMessage="0" allowBlank="1" type="list">
      <formula1>"Single,Player,Builder"</formula1>
    </dataValidation>
    <dataValidation sqref="E2:E2001" showDropDown="0" showInputMessage="0" showErrorMessage="0" allowBlank="1" type="list">
      <formula1>"Result,Goals,BTTS,Corners,Cards,Shots,Player,Builder,Other"</formula1>
    </dataValidation>
    <dataValidation sqref="M2:M2001" showDropDown="0" showInputMessage="0" showErrorMessage="0" allowBlank="1" type="list">
      <formula1>"Pending,Won,Lost,Void,Cash 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3" t="inlineStr">
        <is>
          <t>How to use this tracker</t>
        </is>
      </c>
    </row>
    <row r="2">
      <c r="A2" t="inlineStr"/>
    </row>
    <row r="3">
      <c r="A3" t="inlineStr">
        <is>
          <t>1. Settings: enter your starting bank (money set aside for betting only). Leave the rest unless you want to change the plan.</t>
        </is>
      </c>
    </row>
    <row r="4">
      <c r="A4" t="inlineStr">
        <is>
          <t>2. Bets: add one row per bet before the match. Fill in the yellow cells: date, match, bookmaker, type (Single, Player or Builder),</t>
        </is>
      </c>
    </row>
    <row r="5">
      <c r="A5" t="inlineStr">
        <is>
          <t xml:space="preserve">   market, what you backed, the odds you took, the model's chance (from the match report) and your stake.</t>
        </is>
      </c>
    </row>
    <row r="6">
      <c r="A6" t="inlineStr">
        <is>
          <t xml:space="preserve">   'Suggested stake' shows what the staking plan recommends. 0 means the edge is too small: skip the bet.</t>
        </is>
      </c>
    </row>
    <row r="7">
      <c r="A7" t="inlineStr">
        <is>
          <t>3. After the match set Result to Won, Lost, Void or Cash out (and enter the cash-out amount).</t>
        </is>
      </c>
    </row>
    <row r="8">
      <c r="A8" t="inlineStr">
        <is>
          <t>4. Optional but valuable: enter the closing odds (the price just before kick-off) so the sheet can work out CLV.</t>
        </is>
      </c>
    </row>
    <row r="9">
      <c r="A9" t="inlineStr">
        <is>
          <t>5. Summary updates itself: profit, ROI, strike rate, model-expected profit versus actual, and results by month,</t>
        </is>
      </c>
    </row>
    <row r="10">
      <c r="A10" t="inlineStr">
        <is>
          <t xml:space="preserve">   bet type and market.</t>
        </is>
      </c>
    </row>
    <row r="11">
      <c r="A11" t="inlineStr"/>
    </row>
    <row r="12">
      <c r="A12" s="23" t="inlineStr">
        <is>
          <t>Reading the numbers</t>
        </is>
      </c>
    </row>
    <row r="13">
      <c r="A13" t="inlineStr">
        <is>
          <t>- ROI = profit ÷ total staked. Bookmaker margins mean the average bettor's ROI is negative; anything above 0% over</t>
        </is>
      </c>
    </row>
    <row r="14">
      <c r="A14" t="inlineStr">
        <is>
          <t xml:space="preserve">  several hundred bets is good. Over 50 bets, luck dominates: do not judge the model on a handful of results.</t>
        </is>
      </c>
    </row>
    <row r="15">
      <c r="A15" t="inlineStr">
        <is>
          <t>- Actual minus expected: positive means you have run better than the model expected, negative worse.</t>
        </is>
      </c>
    </row>
    <row r="16">
      <c r="A16" t="inlineStr">
        <is>
          <t>- CLV above 0% on most bets means you are consistently getting better prices than the final market. That is the</t>
        </is>
      </c>
    </row>
    <row r="17">
      <c r="A17" t="inlineStr">
        <is>
          <t xml:space="preserve">  clearest early sign the edge is real.</t>
        </is>
      </c>
    </row>
    <row r="18">
      <c r="A18" t="inlineStr"/>
    </row>
    <row r="19">
      <c r="A19" t="inlineStr">
        <is>
          <t>You can also just tell Claude in the project what you backed and the result, and it will fill the sheet in for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2026-10-09T19:24:14Z</dcterms:created>
  <dcterms:modified xmlns:dcterms="http://purl.org/dc/terms/" xmlns:xsi="http://www.w3.org/2001/XMLSchema-instance" xsi:type="dcterms:W3CDTF">2026-10-09T19:24:14Z</dcterms:modified>
</cp:coreProperties>
</file>